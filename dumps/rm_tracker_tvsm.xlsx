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2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slin-my.sharepoint.com/personal/163559_tatasteel_com/Documents/Tubes/DM/Aug'26/pq/"/>
    </mc:Choice>
  </mc:AlternateContent>
  <xr:revisionPtr revIDLastSave="0" documentId="8_{F51CBA69-3407-4099-9E4B-002C17F01072}" xr6:coauthVersionLast="47" xr6:coauthVersionMax="47" xr10:uidLastSave="{00000000-0000-0000-0000-000000000000}"/>
  <bookViews>
    <workbookView xWindow="-120" yWindow="-120" windowWidth="20730" windowHeight="11040" activeTab="3" xr2:uid="{6222D266-C0B1-4AA1-8AC5-0C22E99CFAD2}"/>
  </bookViews>
  <sheets>
    <sheet name="SOP" sheetId="3" r:id="rId1"/>
    <sheet name="vsm req" sheetId="4" r:id="rId2"/>
    <sheet name="TVSM" sheetId="1" r:id="rId3"/>
    <sheet name="vsm stock" sheetId="2" r:id="rId4"/>
  </sheets>
  <definedNames>
    <definedName name="_xlnm._FilterDatabase" localSheetId="3" hidden="1">'vsm stock'!$A$3:$V$39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" i="2" l="1"/>
  <c r="I125" i="4"/>
  <c r="I124" i="4"/>
  <c r="I118" i="4"/>
  <c r="I117" i="4"/>
  <c r="I114" i="4"/>
  <c r="I111" i="4"/>
  <c r="I107" i="4"/>
  <c r="I106" i="4"/>
  <c r="I105" i="4"/>
  <c r="I104" i="4"/>
  <c r="I103" i="4"/>
  <c r="I102" i="4"/>
  <c r="I101" i="4"/>
  <c r="I100" i="4"/>
  <c r="I99" i="4"/>
  <c r="I93" i="4"/>
  <c r="I77" i="4"/>
  <c r="I76" i="4"/>
  <c r="I74" i="4"/>
  <c r="I73" i="4"/>
  <c r="I72" i="4"/>
  <c r="I71" i="4"/>
  <c r="I70" i="4"/>
  <c r="I69" i="4"/>
  <c r="I57" i="4"/>
  <c r="I46" i="4"/>
  <c r="I45" i="4"/>
  <c r="I31" i="4"/>
  <c r="I18" i="4"/>
  <c r="I13" i="4"/>
  <c r="I9" i="4"/>
  <c r="I7" i="4"/>
  <c r="I6" i="4"/>
  <c r="I5" i="4"/>
  <c r="J8" i="2"/>
  <c r="R8" i="2" s="1"/>
  <c r="J10" i="2"/>
  <c r="R10" i="2" s="1"/>
  <c r="J11" i="2"/>
  <c r="R11" i="2" s="1"/>
  <c r="J12" i="2"/>
  <c r="R12" i="2" s="1"/>
  <c r="J14" i="2"/>
  <c r="R14" i="2" s="1"/>
  <c r="J15" i="2"/>
  <c r="R15" i="2" s="1"/>
  <c r="J16" i="2"/>
  <c r="R16" i="2" s="1"/>
  <c r="J17" i="2"/>
  <c r="R17" i="2" s="1"/>
  <c r="J19" i="2"/>
  <c r="R19" i="2" s="1"/>
  <c r="J20" i="2"/>
  <c r="R20" i="2" s="1"/>
  <c r="J21" i="2"/>
  <c r="J22" i="2"/>
  <c r="J23" i="2"/>
  <c r="J24" i="2"/>
  <c r="R24" i="2" s="1"/>
  <c r="J25" i="2"/>
  <c r="J26" i="2"/>
  <c r="R26" i="2" s="1"/>
  <c r="J27" i="2"/>
  <c r="R27" i="2" s="1"/>
  <c r="J28" i="2"/>
  <c r="R28" i="2" s="1"/>
  <c r="J29" i="2"/>
  <c r="R29" i="2" s="1"/>
  <c r="J30" i="2"/>
  <c r="R30" i="2" s="1"/>
  <c r="J31" i="2"/>
  <c r="R31" i="2" s="1"/>
  <c r="J32" i="2"/>
  <c r="R32" i="2" s="1"/>
  <c r="J34" i="2"/>
  <c r="R34" i="2" s="1"/>
  <c r="J35" i="2"/>
  <c r="R35" i="2" s="1"/>
  <c r="J36" i="2"/>
  <c r="R36" i="2" s="1"/>
  <c r="J37" i="2"/>
  <c r="R37" i="2" s="1"/>
  <c r="J38" i="2"/>
  <c r="R38" i="2" s="1"/>
  <c r="J39" i="2"/>
  <c r="R39" i="2" s="1"/>
  <c r="J40" i="2"/>
  <c r="R40" i="2" s="1"/>
  <c r="J41" i="2"/>
  <c r="R41" i="2" s="1"/>
  <c r="J44" i="2"/>
  <c r="R44" i="2" s="1"/>
  <c r="J45" i="2"/>
  <c r="R45" i="2" s="1"/>
  <c r="J46" i="2"/>
  <c r="R46" i="2" s="1"/>
  <c r="J48" i="2"/>
  <c r="J49" i="2"/>
  <c r="J50" i="2"/>
  <c r="J51" i="2"/>
  <c r="J52" i="2"/>
  <c r="J55" i="2"/>
  <c r="J56" i="2"/>
  <c r="J57" i="2"/>
  <c r="J59" i="2"/>
  <c r="J61" i="2"/>
  <c r="J62" i="2"/>
  <c r="J63" i="2"/>
  <c r="J64" i="2"/>
  <c r="J65" i="2"/>
  <c r="J75" i="2"/>
  <c r="J76" i="2"/>
  <c r="J77" i="2"/>
  <c r="J78" i="2"/>
  <c r="J80" i="2"/>
  <c r="J81" i="2"/>
  <c r="R81" i="2" s="1"/>
  <c r="J83" i="2"/>
  <c r="J84" i="2"/>
  <c r="J85" i="2"/>
  <c r="J86" i="2"/>
  <c r="J87" i="2"/>
  <c r="J89" i="2"/>
  <c r="J90" i="2"/>
  <c r="J91" i="2"/>
  <c r="R91" i="2" s="1"/>
  <c r="J92" i="2"/>
  <c r="J93" i="2"/>
  <c r="J102" i="2"/>
  <c r="J103" i="2"/>
  <c r="J104" i="2"/>
  <c r="J107" i="2"/>
  <c r="J108" i="2"/>
  <c r="J111" i="2"/>
  <c r="R111" i="2" s="1"/>
  <c r="J112" i="2"/>
  <c r="J113" i="2"/>
  <c r="J114" i="2"/>
  <c r="J115" i="2"/>
  <c r="J116" i="2"/>
  <c r="J119" i="2"/>
  <c r="J120" i="2"/>
  <c r="J4" i="2"/>
  <c r="R4" i="2" s="1"/>
  <c r="I8" i="4"/>
  <c r="I10" i="4"/>
  <c r="I11" i="4"/>
  <c r="I12" i="4"/>
  <c r="I14" i="4"/>
  <c r="I15" i="4"/>
  <c r="I16" i="4"/>
  <c r="I17" i="4"/>
  <c r="I19" i="4"/>
  <c r="I20" i="4"/>
  <c r="I23" i="4"/>
  <c r="I24" i="4"/>
  <c r="I25" i="4"/>
  <c r="I26" i="4"/>
  <c r="I27" i="4"/>
  <c r="I28" i="4"/>
  <c r="I29" i="4"/>
  <c r="I30" i="4"/>
  <c r="I32" i="4"/>
  <c r="I33" i="4"/>
  <c r="I34" i="4"/>
  <c r="I35" i="4"/>
  <c r="I36" i="4"/>
  <c r="I37" i="4"/>
  <c r="I38" i="4"/>
  <c r="I41" i="4"/>
  <c r="I42" i="4"/>
  <c r="I43" i="4"/>
  <c r="I44" i="4"/>
  <c r="I47" i="4"/>
  <c r="I48" i="4"/>
  <c r="I49" i="4"/>
  <c r="I51" i="4"/>
  <c r="I52" i="4"/>
  <c r="I53" i="4"/>
  <c r="I54" i="4"/>
  <c r="I55" i="4"/>
  <c r="I56" i="4"/>
  <c r="I58" i="4"/>
  <c r="I59" i="4"/>
  <c r="I60" i="4"/>
  <c r="I62" i="4"/>
  <c r="I64" i="4"/>
  <c r="I65" i="4"/>
  <c r="I66" i="4"/>
  <c r="I67" i="4"/>
  <c r="I68" i="4"/>
  <c r="I78" i="4"/>
  <c r="I79" i="4"/>
  <c r="I80" i="4"/>
  <c r="I81" i="4"/>
  <c r="I82" i="4"/>
  <c r="I85" i="4"/>
  <c r="I86" i="4"/>
  <c r="I88" i="4"/>
  <c r="I89" i="4"/>
  <c r="I90" i="4"/>
  <c r="I91" i="4"/>
  <c r="I94" i="4"/>
  <c r="I95" i="4"/>
  <c r="I96" i="4"/>
  <c r="I97" i="4"/>
  <c r="I98" i="4"/>
  <c r="I108" i="4"/>
  <c r="I109" i="4"/>
  <c r="I112" i="4"/>
  <c r="I115" i="4"/>
  <c r="I116" i="4"/>
  <c r="I119" i="4"/>
  <c r="I120" i="4"/>
  <c r="I121" i="4"/>
  <c r="I122" i="4"/>
  <c r="I123" i="4"/>
  <c r="I126" i="4"/>
  <c r="I127" i="4"/>
  <c r="I128" i="4"/>
  <c r="I4" i="4"/>
  <c r="R116" i="2" l="1"/>
  <c r="R72" i="2"/>
  <c r="R85" i="2"/>
  <c r="R104" i="2"/>
  <c r="R113" i="2"/>
  <c r="R71" i="2"/>
  <c r="R63" i="2"/>
  <c r="R53" i="2"/>
  <c r="R59" i="2"/>
  <c r="R50" i="2"/>
  <c r="R89" i="2"/>
  <c r="R90" i="2"/>
  <c r="R51" i="2"/>
  <c r="R93" i="2"/>
  <c r="R78" i="2"/>
  <c r="R87" i="2"/>
  <c r="R77" i="2"/>
  <c r="R65" i="2"/>
  <c r="R80" i="2"/>
  <c r="R102" i="2"/>
  <c r="R121" i="2"/>
  <c r="R120" i="2"/>
  <c r="R75" i="2"/>
  <c r="R119" i="2"/>
  <c r="R49" i="2"/>
  <c r="R62" i="2"/>
  <c r="R115" i="2"/>
  <c r="R76" i="2"/>
  <c r="R82" i="2"/>
  <c r="R123" i="2"/>
  <c r="R114" i="2"/>
  <c r="R108" i="2"/>
  <c r="R61" i="2"/>
  <c r="R52" i="2"/>
  <c r="R103" i="2"/>
  <c r="R56" i="2"/>
  <c r="R55" i="2"/>
  <c r="R84" i="2"/>
  <c r="R107" i="2"/>
  <c r="R22" i="2"/>
  <c r="R57" i="2"/>
  <c r="R23" i="2"/>
  <c r="R122" i="2"/>
  <c r="R112" i="2"/>
  <c r="R92" i="2"/>
  <c r="R83" i="2"/>
  <c r="R64" i="2"/>
  <c r="R73" i="2"/>
  <c r="R48" i="2"/>
  <c r="R86" i="2"/>
  <c r="R47" i="2"/>
  <c r="R25" i="2"/>
  <c r="R21" i="2"/>
  <c r="R69" i="2"/>
  <c r="R74" i="2"/>
  <c r="R70" i="2"/>
  <c r="K95" i="1"/>
  <c r="K92" i="1"/>
  <c r="K71" i="1"/>
  <c r="K67" i="1"/>
  <c r="K66" i="1"/>
  <c r="K64" i="1"/>
  <c r="K61" i="1"/>
  <c r="K60" i="1"/>
  <c r="K59" i="1"/>
  <c r="K49" i="1"/>
  <c r="K38" i="1"/>
  <c r="K34" i="1"/>
  <c r="K30" i="1"/>
  <c r="K26" i="1"/>
  <c r="K25" i="1"/>
  <c r="K23" i="1"/>
  <c r="K19" i="1"/>
  <c r="K4" i="1"/>
  <c r="K43" i="1"/>
  <c r="K36" i="1"/>
  <c r="S53" i="2"/>
  <c r="K88" i="1"/>
  <c r="K82" i="1"/>
  <c r="K20" i="1"/>
  <c r="S24" i="2"/>
  <c r="V24" i="2" s="1"/>
  <c r="S23" i="2"/>
  <c r="K53" i="1"/>
  <c r="K47" i="1"/>
  <c r="V2" i="4"/>
  <c r="U2" i="4"/>
  <c r="T2" i="4"/>
  <c r="S2" i="4"/>
  <c r="R2" i="4"/>
  <c r="Q2" i="4"/>
  <c r="P2" i="4"/>
  <c r="O2" i="4"/>
  <c r="N2" i="4"/>
  <c r="M2" i="4"/>
  <c r="S101" i="2"/>
  <c r="S100" i="2"/>
  <c r="S99" i="2"/>
  <c r="I54" i="2"/>
  <c r="J54" i="2" s="1"/>
  <c r="R54" i="2" s="1"/>
  <c r="I9" i="2"/>
  <c r="J9" i="2" s="1"/>
  <c r="R9" i="2" s="1"/>
  <c r="I118" i="2"/>
  <c r="J118" i="2" s="1"/>
  <c r="R118" i="2" s="1"/>
  <c r="I117" i="2"/>
  <c r="J117" i="2" s="1"/>
  <c r="R117" i="2" s="1"/>
  <c r="I110" i="2"/>
  <c r="J110" i="2" s="1"/>
  <c r="R110" i="2" s="1"/>
  <c r="I109" i="2"/>
  <c r="J109" i="2" s="1"/>
  <c r="R109" i="2" s="1"/>
  <c r="I106" i="2"/>
  <c r="J106" i="2" s="1"/>
  <c r="R106" i="2" s="1"/>
  <c r="I105" i="2"/>
  <c r="J105" i="2" s="1"/>
  <c r="R105" i="2" s="1"/>
  <c r="I101" i="2"/>
  <c r="J101" i="2" s="1"/>
  <c r="R101" i="2" s="1"/>
  <c r="I100" i="2"/>
  <c r="J100" i="2" s="1"/>
  <c r="R100" i="2" s="1"/>
  <c r="I99" i="2"/>
  <c r="J99" i="2" s="1"/>
  <c r="R99" i="2" s="1"/>
  <c r="I98" i="2"/>
  <c r="J98" i="2" s="1"/>
  <c r="R98" i="2" s="1"/>
  <c r="I97" i="2"/>
  <c r="J97" i="2" s="1"/>
  <c r="R97" i="2" s="1"/>
  <c r="I96" i="2"/>
  <c r="J96" i="2" s="1"/>
  <c r="R96" i="2" s="1"/>
  <c r="I95" i="2"/>
  <c r="J95" i="2" s="1"/>
  <c r="R95" i="2" s="1"/>
  <c r="I94" i="2"/>
  <c r="J94" i="2" s="1"/>
  <c r="R94" i="2" s="1"/>
  <c r="I88" i="2"/>
  <c r="J88" i="2" s="1"/>
  <c r="R88" i="2" s="1"/>
  <c r="I79" i="2"/>
  <c r="J79" i="2" s="1"/>
  <c r="R79" i="2" s="1"/>
  <c r="I68" i="2"/>
  <c r="J68" i="2" s="1"/>
  <c r="R68" i="2" s="1"/>
  <c r="I67" i="2"/>
  <c r="J67" i="2" s="1"/>
  <c r="R67" i="2" s="1"/>
  <c r="I66" i="2"/>
  <c r="J66" i="2" s="1"/>
  <c r="R66" i="2" s="1"/>
  <c r="I60" i="2"/>
  <c r="J60" i="2" s="1"/>
  <c r="R60" i="2" s="1"/>
  <c r="I58" i="2"/>
  <c r="J58" i="2" s="1"/>
  <c r="R58" i="2" s="1"/>
  <c r="I43" i="2"/>
  <c r="J43" i="2" s="1"/>
  <c r="R43" i="2" s="1"/>
  <c r="I42" i="2"/>
  <c r="J42" i="2" s="1"/>
  <c r="R42" i="2" s="1"/>
  <c r="I33" i="2"/>
  <c r="J33" i="2" s="1"/>
  <c r="R33" i="2" s="1"/>
  <c r="I18" i="2"/>
  <c r="J18" i="2" s="1"/>
  <c r="R18" i="2" s="1"/>
  <c r="I13" i="2"/>
  <c r="J13" i="2" s="1"/>
  <c r="R13" i="2" s="1"/>
  <c r="I7" i="2"/>
  <c r="J7" i="2" s="1"/>
  <c r="R7" i="2" s="1"/>
  <c r="I6" i="2"/>
  <c r="J6" i="2" s="1"/>
  <c r="R6" i="2" s="1"/>
  <c r="I5" i="2"/>
  <c r="J5" i="2" s="1"/>
  <c r="R5" i="2" s="1"/>
  <c r="W76" i="2"/>
  <c r="W33" i="2"/>
  <c r="V53" i="2" l="1"/>
  <c r="AB23" i="2"/>
  <c r="AA23" i="2" s="1"/>
  <c r="R2" i="2"/>
  <c r="AB24" i="2"/>
  <c r="AA24" i="2" s="1"/>
  <c r="AB53" i="2"/>
  <c r="AA53" i="2" s="1"/>
  <c r="V23" i="2"/>
  <c r="S75" i="2"/>
  <c r="S116" i="2"/>
  <c r="AB116" i="2" s="1"/>
  <c r="AA116" i="2" s="1"/>
  <c r="S104" i="2"/>
  <c r="V104" i="2" s="1"/>
  <c r="K97" i="1"/>
  <c r="M2" i="1"/>
  <c r="N2" i="1"/>
  <c r="O2" i="1"/>
  <c r="P2" i="1"/>
  <c r="Q2" i="1"/>
  <c r="R2" i="1"/>
  <c r="S2" i="1"/>
  <c r="T2" i="1"/>
  <c r="K2" i="1"/>
  <c r="L5" i="1"/>
  <c r="L6" i="1"/>
  <c r="L7" i="1"/>
  <c r="L9" i="1"/>
  <c r="L10" i="1"/>
  <c r="L13" i="1"/>
  <c r="L18" i="1"/>
  <c r="L22" i="1"/>
  <c r="L24" i="1"/>
  <c r="L27" i="1"/>
  <c r="L28" i="1"/>
  <c r="L32" i="1"/>
  <c r="L33" i="1"/>
  <c r="L35" i="1"/>
  <c r="L37" i="1"/>
  <c r="L41" i="1"/>
  <c r="L44" i="1"/>
  <c r="L46" i="1"/>
  <c r="L48" i="1"/>
  <c r="L50" i="1"/>
  <c r="L51" i="1"/>
  <c r="L52" i="1"/>
  <c r="L54" i="1"/>
  <c r="L55" i="1"/>
  <c r="L56" i="1"/>
  <c r="L57" i="1"/>
  <c r="L62" i="1"/>
  <c r="L63" i="1"/>
  <c r="L65" i="1"/>
  <c r="L68" i="1"/>
  <c r="L69" i="1"/>
  <c r="L73" i="1"/>
  <c r="L74" i="1"/>
  <c r="L75" i="1"/>
  <c r="L76" i="1"/>
  <c r="L77" i="1"/>
  <c r="L78" i="1"/>
  <c r="L79" i="1"/>
  <c r="L80" i="1"/>
  <c r="L81" i="1"/>
  <c r="L83" i="1"/>
  <c r="L84" i="1"/>
  <c r="L85" i="1"/>
  <c r="L86" i="1"/>
  <c r="L87" i="1"/>
  <c r="L89" i="1"/>
  <c r="L90" i="1"/>
  <c r="L93" i="1"/>
  <c r="L94" i="1"/>
  <c r="L96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1" i="1"/>
  <c r="J22" i="1"/>
  <c r="J24" i="1"/>
  <c r="J26" i="1"/>
  <c r="J27" i="1"/>
  <c r="J28" i="1"/>
  <c r="J29" i="1"/>
  <c r="J30" i="1"/>
  <c r="J31" i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3" i="1"/>
  <c r="J94" i="1"/>
  <c r="J96" i="1"/>
  <c r="J4" i="1"/>
  <c r="S59" i="2"/>
  <c r="L45" i="1" s="1"/>
  <c r="S105" i="2"/>
  <c r="S28" i="2"/>
  <c r="S85" i="2"/>
  <c r="S2" i="2"/>
  <c r="V59" i="2" l="1"/>
  <c r="V75" i="2"/>
  <c r="V28" i="2"/>
  <c r="V116" i="2"/>
  <c r="V105" i="2"/>
  <c r="AB75" i="2"/>
  <c r="AA75" i="2" s="1"/>
  <c r="AB104" i="2"/>
  <c r="AA104" i="2" s="1"/>
  <c r="AB59" i="2"/>
  <c r="AA59" i="2" s="1"/>
  <c r="J2" i="1"/>
  <c r="AB105" i="2"/>
  <c r="AA105" i="2" s="1"/>
  <c r="AB28" i="2"/>
  <c r="AA28" i="2" s="1"/>
  <c r="S87" i="2"/>
  <c r="AB87" i="2" s="1"/>
  <c r="AA87" i="2" s="1"/>
  <c r="V87" i="2" l="1"/>
  <c r="S82" i="2" l="1"/>
  <c r="AB82" i="2" s="1"/>
  <c r="AA82" i="2" s="1"/>
  <c r="V82" i="2" l="1"/>
  <c r="S118" i="2" l="1"/>
  <c r="V118" i="2" s="1"/>
  <c r="AB85" i="2"/>
  <c r="AB101" i="2"/>
  <c r="AA101" i="2" s="1"/>
  <c r="S10" i="2"/>
  <c r="AB10" i="2" s="1"/>
  <c r="AA10" i="2" s="1"/>
  <c r="S18" i="2"/>
  <c r="AB18" i="2" s="1"/>
  <c r="AB118" i="2" l="1"/>
  <c r="AA118" i="2" s="1"/>
  <c r="V10" i="2"/>
  <c r="V101" i="2"/>
  <c r="Q2" i="2"/>
  <c r="S27" i="2"/>
  <c r="V27" i="2" l="1"/>
  <c r="AB27" i="2"/>
  <c r="AA27" i="2" s="1"/>
  <c r="S88" i="2" l="1"/>
  <c r="S91" i="2"/>
  <c r="S92" i="2"/>
  <c r="S30" i="2"/>
  <c r="S45" i="2"/>
  <c r="S48" i="2"/>
  <c r="AB92" i="2" l="1"/>
  <c r="AB91" i="2"/>
  <c r="L71" i="1"/>
  <c r="V48" i="2"/>
  <c r="AB48" i="2"/>
  <c r="AA48" i="2" s="1"/>
  <c r="V45" i="2"/>
  <c r="AB45" i="2"/>
  <c r="AA45" i="2" s="1"/>
  <c r="AB30" i="2"/>
  <c r="AA30" i="2" s="1"/>
  <c r="AB88" i="2"/>
  <c r="AA88" i="2" s="1"/>
  <c r="V88" i="2"/>
  <c r="V30" i="2"/>
  <c r="S65" i="2"/>
  <c r="S122" i="2"/>
  <c r="V122" i="2" l="1"/>
  <c r="AB122" i="2"/>
  <c r="AA122" i="2" s="1"/>
  <c r="V65" i="2"/>
  <c r="AB65" i="2"/>
  <c r="AA65" i="2" s="1"/>
  <c r="S31" i="2"/>
  <c r="S123" i="2"/>
  <c r="S4" i="2"/>
  <c r="L4" i="1" s="1"/>
  <c r="S68" i="2"/>
  <c r="AB68" i="2" s="1"/>
  <c r="S40" i="2"/>
  <c r="AB40" i="2" s="1"/>
  <c r="S74" i="2"/>
  <c r="S72" i="2"/>
  <c r="S73" i="2"/>
  <c r="S61" i="2"/>
  <c r="AB99" i="2"/>
  <c r="AB100" i="2"/>
  <c r="S69" i="2"/>
  <c r="S70" i="2"/>
  <c r="S50" i="2"/>
  <c r="S44" i="2"/>
  <c r="AB44" i="2" s="1"/>
  <c r="S79" i="2"/>
  <c r="AB79" i="2" s="1"/>
  <c r="S43" i="2"/>
  <c r="AB43" i="2" s="1"/>
  <c r="S97" i="2"/>
  <c r="S36" i="2"/>
  <c r="AB36" i="2" s="1"/>
  <c r="S25" i="2"/>
  <c r="S84" i="2"/>
  <c r="AB84" i="2" s="1"/>
  <c r="S5" i="2"/>
  <c r="S6" i="2"/>
  <c r="AB6" i="2" s="1"/>
  <c r="S7" i="2"/>
  <c r="AB7" i="2" s="1"/>
  <c r="S8" i="2"/>
  <c r="S9" i="2"/>
  <c r="S11" i="2"/>
  <c r="S12" i="2"/>
  <c r="S13" i="2"/>
  <c r="AB13" i="2" s="1"/>
  <c r="S14" i="2"/>
  <c r="S15" i="2"/>
  <c r="L15" i="1" s="1"/>
  <c r="S16" i="2"/>
  <c r="S17" i="2"/>
  <c r="S19" i="2"/>
  <c r="AB19" i="2" s="1"/>
  <c r="S20" i="2"/>
  <c r="S21" i="2"/>
  <c r="S22" i="2"/>
  <c r="AB22" i="2" s="1"/>
  <c r="S26" i="2"/>
  <c r="S29" i="2"/>
  <c r="S32" i="2"/>
  <c r="S33" i="2"/>
  <c r="AB33" i="2" s="1"/>
  <c r="S35" i="2"/>
  <c r="S34" i="2"/>
  <c r="S37" i="2"/>
  <c r="AB37" i="2" s="1"/>
  <c r="S38" i="2"/>
  <c r="L29" i="1" s="1"/>
  <c r="S41" i="2"/>
  <c r="S39" i="2"/>
  <c r="S42" i="2"/>
  <c r="AB42" i="2" s="1"/>
  <c r="S46" i="2"/>
  <c r="S47" i="2"/>
  <c r="S49" i="2"/>
  <c r="S51" i="2"/>
  <c r="S52" i="2"/>
  <c r="AB52" i="2" s="1"/>
  <c r="S54" i="2"/>
  <c r="AB54" i="2" s="1"/>
  <c r="S55" i="2"/>
  <c r="L42" i="1" s="1"/>
  <c r="S58" i="2"/>
  <c r="AB58" i="2" s="1"/>
  <c r="S56" i="2"/>
  <c r="S57" i="2"/>
  <c r="AB57" i="2" s="1"/>
  <c r="S60" i="2"/>
  <c r="AB60" i="2" s="1"/>
  <c r="S62" i="2"/>
  <c r="AB62" i="2" s="1"/>
  <c r="S63" i="2"/>
  <c r="S64" i="2"/>
  <c r="AB64" i="2" s="1"/>
  <c r="S66" i="2"/>
  <c r="AB66" i="2" s="1"/>
  <c r="S67" i="2"/>
  <c r="AB67" i="2" s="1"/>
  <c r="S71" i="2"/>
  <c r="S76" i="2"/>
  <c r="S77" i="2"/>
  <c r="S78" i="2"/>
  <c r="S83" i="2"/>
  <c r="S86" i="2"/>
  <c r="S89" i="2"/>
  <c r="S90" i="2"/>
  <c r="AB90" i="2" s="1"/>
  <c r="S94" i="2"/>
  <c r="AB94" i="2" s="1"/>
  <c r="S95" i="2"/>
  <c r="S96" i="2"/>
  <c r="AB96" i="2" s="1"/>
  <c r="S98" i="2"/>
  <c r="S106" i="2"/>
  <c r="AB106" i="2" s="1"/>
  <c r="S107" i="2"/>
  <c r="S108" i="2"/>
  <c r="AB108" i="2" s="1"/>
  <c r="AA108" i="2" s="1"/>
  <c r="S110" i="2"/>
  <c r="AB110" i="2" s="1"/>
  <c r="S109" i="2"/>
  <c r="AB109" i="2" s="1"/>
  <c r="S111" i="2"/>
  <c r="S117" i="2"/>
  <c r="AB117" i="2" s="1"/>
  <c r="S113" i="2"/>
  <c r="AB113" i="2" s="1"/>
  <c r="S115" i="2"/>
  <c r="AB115" i="2" s="1"/>
  <c r="S114" i="2"/>
  <c r="S112" i="2"/>
  <c r="S81" i="2"/>
  <c r="S80" i="2"/>
  <c r="AB80" i="2" s="1"/>
  <c r="S93" i="2"/>
  <c r="S121" i="2"/>
  <c r="S103" i="2"/>
  <c r="AB103" i="2" s="1"/>
  <c r="S102" i="2"/>
  <c r="S120" i="2"/>
  <c r="AB120" i="2" s="1"/>
  <c r="S119" i="2"/>
  <c r="L82" i="1" l="1"/>
  <c r="AB107" i="2"/>
  <c r="AA107" i="2" s="1"/>
  <c r="L88" i="1"/>
  <c r="AB51" i="2"/>
  <c r="AA51" i="2" s="1"/>
  <c r="L40" i="1"/>
  <c r="AB39" i="2"/>
  <c r="AA39" i="2" s="1"/>
  <c r="L26" i="1"/>
  <c r="AB29" i="2"/>
  <c r="AA29" i="2" s="1"/>
  <c r="L21" i="1"/>
  <c r="L47" i="1"/>
  <c r="AB41" i="2"/>
  <c r="AA41" i="2" s="1"/>
  <c r="L30" i="1"/>
  <c r="AB14" i="2"/>
  <c r="AA14" i="2" s="1"/>
  <c r="L14" i="1"/>
  <c r="AB50" i="2"/>
  <c r="AA50" i="2" s="1"/>
  <c r="L39" i="1"/>
  <c r="AB76" i="2"/>
  <c r="AA76" i="2" s="1"/>
  <c r="L59" i="1"/>
  <c r="AB89" i="2"/>
  <c r="AA89" i="2" s="1"/>
  <c r="L70" i="1"/>
  <c r="AB56" i="2"/>
  <c r="AA56" i="2" s="1"/>
  <c r="L43" i="1"/>
  <c r="AB21" i="2"/>
  <c r="AA21" i="2" s="1"/>
  <c r="L19" i="1"/>
  <c r="AB12" i="2"/>
  <c r="AA12" i="2" s="1"/>
  <c r="L12" i="1"/>
  <c r="AB25" i="2"/>
  <c r="AA25" i="2" s="1"/>
  <c r="L20" i="1"/>
  <c r="L58" i="1"/>
  <c r="AB93" i="2"/>
  <c r="AA93" i="2" s="1"/>
  <c r="L72" i="1"/>
  <c r="AB111" i="2"/>
  <c r="AA111" i="2" s="1"/>
  <c r="L91" i="1"/>
  <c r="AB86" i="2"/>
  <c r="AA86" i="2" s="1"/>
  <c r="L67" i="1"/>
  <c r="AB34" i="2"/>
  <c r="L25" i="1"/>
  <c r="AB11" i="2"/>
  <c r="AA11" i="2" s="1"/>
  <c r="L11" i="1"/>
  <c r="AB8" i="2"/>
  <c r="AA8" i="2" s="1"/>
  <c r="L8" i="1"/>
  <c r="L95" i="1"/>
  <c r="AB77" i="2"/>
  <c r="AA77" i="2" s="1"/>
  <c r="L60" i="1"/>
  <c r="L31" i="1"/>
  <c r="AB16" i="2"/>
  <c r="AA16" i="2" s="1"/>
  <c r="L16" i="1"/>
  <c r="L49" i="1"/>
  <c r="AB69" i="2"/>
  <c r="AA69" i="2" s="1"/>
  <c r="L53" i="1"/>
  <c r="AB112" i="2"/>
  <c r="AA112" i="2" s="1"/>
  <c r="L92" i="1"/>
  <c r="AB81" i="2"/>
  <c r="AA81" i="2" s="1"/>
  <c r="L64" i="1"/>
  <c r="AB17" i="2"/>
  <c r="AA17" i="2" s="1"/>
  <c r="L17" i="1"/>
  <c r="AB46" i="2"/>
  <c r="AA46" i="2" s="1"/>
  <c r="L34" i="1"/>
  <c r="AB83" i="2"/>
  <c r="AA83" i="2" s="1"/>
  <c r="L66" i="1"/>
  <c r="AB32" i="2"/>
  <c r="AA32" i="2" s="1"/>
  <c r="L23" i="1"/>
  <c r="AB49" i="2"/>
  <c r="AA49" i="2" s="1"/>
  <c r="L38" i="1"/>
  <c r="AB47" i="2"/>
  <c r="AA47" i="2" s="1"/>
  <c r="L36" i="1"/>
  <c r="AB78" i="2"/>
  <c r="AA78" i="2" s="1"/>
  <c r="L61" i="1"/>
  <c r="AB119" i="2"/>
  <c r="AA119" i="2" s="1"/>
  <c r="V121" i="2"/>
  <c r="AB121" i="2"/>
  <c r="AA121" i="2" s="1"/>
  <c r="V114" i="2"/>
  <c r="AB114" i="2"/>
  <c r="AA114" i="2" s="1"/>
  <c r="V98" i="2"/>
  <c r="AB98" i="2"/>
  <c r="AA98" i="2" s="1"/>
  <c r="AB71" i="2"/>
  <c r="AA71" i="2" s="1"/>
  <c r="V63" i="2"/>
  <c r="AB63" i="2"/>
  <c r="AA63" i="2" s="1"/>
  <c r="AB38" i="2"/>
  <c r="AA38" i="2" s="1"/>
  <c r="V35" i="2"/>
  <c r="AB35" i="2"/>
  <c r="AA35" i="2" s="1"/>
  <c r="V26" i="2"/>
  <c r="AB26" i="2"/>
  <c r="AA26" i="2" s="1"/>
  <c r="V20" i="2"/>
  <c r="AB20" i="2"/>
  <c r="AA20" i="2" s="1"/>
  <c r="AB15" i="2"/>
  <c r="AA15" i="2" s="1"/>
  <c r="V9" i="2"/>
  <c r="AB9" i="2"/>
  <c r="AA9" i="2" s="1"/>
  <c r="V5" i="2"/>
  <c r="AB5" i="2"/>
  <c r="AA5" i="2" s="1"/>
  <c r="V97" i="2"/>
  <c r="AB97" i="2"/>
  <c r="AA97" i="2" s="1"/>
  <c r="V70" i="2"/>
  <c r="AB70" i="2"/>
  <c r="AA70" i="2" s="1"/>
  <c r="V61" i="2"/>
  <c r="AB61" i="2"/>
  <c r="AA61" i="2" s="1"/>
  <c r="V73" i="2"/>
  <c r="AB73" i="2"/>
  <c r="AA73" i="2" s="1"/>
  <c r="V72" i="2"/>
  <c r="AB72" i="2"/>
  <c r="AA72" i="2" s="1"/>
  <c r="V74" i="2"/>
  <c r="AB74" i="2"/>
  <c r="AA74" i="2" s="1"/>
  <c r="AB4" i="2"/>
  <c r="AA4" i="2" s="1"/>
  <c r="V123" i="2"/>
  <c r="AB123" i="2"/>
  <c r="AA123" i="2" s="1"/>
  <c r="AB55" i="2"/>
  <c r="AA55" i="2" s="1"/>
  <c r="AB102" i="2"/>
  <c r="AA102" i="2" s="1"/>
  <c r="V31" i="2"/>
  <c r="AB31" i="2"/>
  <c r="AA31" i="2" s="1"/>
  <c r="V95" i="2"/>
  <c r="AB95" i="2"/>
  <c r="AA95" i="2" s="1"/>
  <c r="V80" i="2"/>
  <c r="V89" i="2"/>
  <c r="V56" i="2"/>
  <c r="V55" i="2"/>
  <c r="V69" i="2"/>
  <c r="V4" i="2"/>
  <c r="V120" i="2"/>
  <c r="V77" i="2"/>
  <c r="V32" i="2"/>
  <c r="V85" i="2"/>
  <c r="AA43" i="2"/>
  <c r="V76" i="2"/>
  <c r="V38" i="2"/>
  <c r="V18" i="2"/>
  <c r="V40" i="2"/>
  <c r="V78" i="2"/>
  <c r="V25" i="2"/>
  <c r="V83" i="2"/>
  <c r="V39" i="2"/>
  <c r="V86" i="2"/>
  <c r="V100" i="2"/>
  <c r="AA100" i="2"/>
  <c r="V92" i="2"/>
  <c r="AA92" i="2"/>
  <c r="V103" i="2"/>
  <c r="V93" i="2"/>
  <c r="AA91" i="2"/>
  <c r="V91" i="2"/>
  <c r="AA52" i="2"/>
  <c r="V52" i="2"/>
  <c r="V17" i="2"/>
  <c r="V8" i="2"/>
  <c r="AA99" i="2"/>
  <c r="V99" i="2"/>
  <c r="V51" i="2"/>
  <c r="V29" i="2"/>
  <c r="V16" i="2"/>
  <c r="AA7" i="2"/>
  <c r="V7" i="2"/>
  <c r="AA94" i="2"/>
  <c r="V94" i="2"/>
  <c r="V111" i="2"/>
  <c r="AA60" i="2"/>
  <c r="V60" i="2"/>
  <c r="V49" i="2"/>
  <c r="V41" i="2"/>
  <c r="AA6" i="2"/>
  <c r="V6" i="2"/>
  <c r="V43" i="2"/>
  <c r="AA113" i="2"/>
  <c r="V113" i="2"/>
  <c r="AA64" i="2"/>
  <c r="V64" i="2"/>
  <c r="AA36" i="2"/>
  <c r="V36" i="2"/>
  <c r="AA90" i="2"/>
  <c r="V90" i="2"/>
  <c r="AA62" i="2"/>
  <c r="V62" i="2"/>
  <c r="AA109" i="2"/>
  <c r="V109" i="2"/>
  <c r="V119" i="2"/>
  <c r="AA110" i="2"/>
  <c r="V110" i="2"/>
  <c r="AA57" i="2"/>
  <c r="V57" i="2"/>
  <c r="V47" i="2"/>
  <c r="AA22" i="2"/>
  <c r="V22" i="2"/>
  <c r="V14" i="2"/>
  <c r="AA68" i="2"/>
  <c r="V68" i="2"/>
  <c r="V71" i="2"/>
  <c r="AA37" i="2"/>
  <c r="V37" i="2"/>
  <c r="AA13" i="2"/>
  <c r="V13" i="2"/>
  <c r="AA84" i="2"/>
  <c r="V84" i="2"/>
  <c r="AA79" i="2"/>
  <c r="V79" i="2"/>
  <c r="AA54" i="2"/>
  <c r="V54" i="2"/>
  <c r="AA33" i="2"/>
  <c r="V33" i="2"/>
  <c r="V102" i="2"/>
  <c r="V107" i="2"/>
  <c r="AA67" i="2"/>
  <c r="V67" i="2"/>
  <c r="AA58" i="2"/>
  <c r="V58" i="2"/>
  <c r="V46" i="2"/>
  <c r="V12" i="2"/>
  <c r="AA44" i="2"/>
  <c r="V44" i="2"/>
  <c r="AA66" i="2"/>
  <c r="V66" i="2"/>
  <c r="AA19" i="2"/>
  <c r="V19" i="2"/>
  <c r="V11" i="2"/>
  <c r="V50" i="2"/>
  <c r="AA115" i="2"/>
  <c r="V115" i="2"/>
  <c r="AA42" i="2"/>
  <c r="V42" i="2"/>
  <c r="V15" i="2"/>
  <c r="V112" i="2"/>
  <c r="AA117" i="2"/>
  <c r="V117" i="2"/>
  <c r="AA96" i="2"/>
  <c r="V96" i="2"/>
  <c r="V108" i="2"/>
  <c r="AA106" i="2"/>
  <c r="V106" i="2"/>
  <c r="V21" i="2"/>
  <c r="V81" i="2"/>
  <c r="V34" i="2"/>
  <c r="AA80" i="2"/>
  <c r="AA18" i="2"/>
  <c r="AA103" i="2"/>
  <c r="AA40" i="2"/>
  <c r="AA85" i="2"/>
  <c r="AA120" i="2"/>
  <c r="L2" i="1" l="1"/>
  <c r="L97" i="1" s="1"/>
  <c r="A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tc={F8B716AB-F6D3-4137-9AD4-843F8A7EF411}</author>
    <author>tc={5259FDE8-04D1-4110-A093-D3B95CAB6763}</author>
  </authors>
  <commentList>
    <comment ref="O42" authorId="0" shapeId="0" xr:uid="{F8B716AB-F6D3-4137-9AD4-843F8A7EF411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length to 5530</t>
      </text>
    </comment>
    <comment ref="G69" authorId="1" shapeId="0" xr:uid="{5259FDE8-04D1-4110-A093-D3B95CAB6763}">
      <text>
        <t>[Threaded comment]
Your version of Excel allows you to read this threaded comment; however, any edits to it will get removed if the file is opened in a newer version of Excel. Learn more: https://go.microsoft.com/fwlink/?linkid=870924
Comment:
    6.3/5530</t>
      </text>
    </comment>
  </commentList>
</comments>
</file>

<file path=xl/sharedStrings.xml><?xml version="1.0" encoding="utf-8"?>
<sst xmlns="http://schemas.openxmlformats.org/spreadsheetml/2006/main" count="2254" uniqueCount="181">
  <si>
    <t>For TSL</t>
  </si>
  <si>
    <t>Update OMS for 056</t>
  </si>
  <si>
    <t>Filter greater than 0 in qty to be logged</t>
  </si>
  <si>
    <t>Log order min 5 MT</t>
  </si>
  <si>
    <t>Update only peach color columns</t>
  </si>
  <si>
    <t> </t>
  </si>
  <si>
    <t>VSM To Update</t>
  </si>
  <si>
    <t>Total schedule</t>
  </si>
  <si>
    <t>Rucha</t>
  </si>
  <si>
    <t>Metalman</t>
  </si>
  <si>
    <t>Marathwada</t>
  </si>
  <si>
    <t>Rajsriya tvs</t>
  </si>
  <si>
    <t>supangita</t>
  </si>
  <si>
    <t>pams eng</t>
  </si>
  <si>
    <t>KP ENG</t>
  </si>
  <si>
    <t>Rajsriya RE</t>
  </si>
  <si>
    <t>belrise chennai</t>
  </si>
  <si>
    <t>Belrise malur</t>
  </si>
  <si>
    <t>S.NO</t>
  </si>
  <si>
    <t>Section</t>
  </si>
  <si>
    <t>Column1</t>
  </si>
  <si>
    <t>O D</t>
  </si>
  <si>
    <t>Thk.</t>
  </si>
  <si>
    <t>Length</t>
  </si>
  <si>
    <t>Wt/Len</t>
  </si>
  <si>
    <t>key</t>
  </si>
  <si>
    <t>Grade</t>
  </si>
  <si>
    <t>FC/NFC</t>
  </si>
  <si>
    <t>12.7-0-1.2-ERW 1-PE</t>
  </si>
  <si>
    <t>ERW 1</t>
  </si>
  <si>
    <t>NFC</t>
  </si>
  <si>
    <t>12.7-0-1.6-ERW 1-PE</t>
  </si>
  <si>
    <t>15.88-0-1-ERW 1-PE</t>
  </si>
  <si>
    <t>15.88-0-1.2-ERW 1-PE</t>
  </si>
  <si>
    <t>15.88-0-1.6-ERW 1-PE</t>
  </si>
  <si>
    <t>15.88-0-2-ERW 1-PE</t>
  </si>
  <si>
    <t>16.1-10.4-2.7-CEW-CEW</t>
  </si>
  <si>
    <t>18.2-0-1-ERW 1-PE</t>
  </si>
  <si>
    <t>ERW 2</t>
  </si>
  <si>
    <t>19.05-0-1.6-ERW 1-PE</t>
  </si>
  <si>
    <t>19.05-0-2-ERW 1-PE</t>
  </si>
  <si>
    <t>19.05-0-2.3-ERW 1-PE</t>
  </si>
  <si>
    <t>21.4-0-1.6-ERW 1-PE</t>
  </si>
  <si>
    <t>22.23-0-1.2-ERW 1-PE</t>
  </si>
  <si>
    <t>22.23-0-1.6-ERW 1-PE</t>
  </si>
  <si>
    <t>22.23-0-2-ERW 1-PE</t>
  </si>
  <si>
    <t>22.23-0-2-ERW 1-FC</t>
  </si>
  <si>
    <t>FC</t>
  </si>
  <si>
    <t>22.23-0-2-ERW 2-FC</t>
  </si>
  <si>
    <t>22.23-0-2.3-ERW 1-PE</t>
  </si>
  <si>
    <t>25.4-0-1.6-ERW 1-FC</t>
  </si>
  <si>
    <t>25.4-0-2-ERW 1-FC</t>
  </si>
  <si>
    <t>25.4-0-2.5-ERW 1-FC</t>
  </si>
  <si>
    <t xml:space="preserve">25.4-0-2.5-ERW 1-FC </t>
  </si>
  <si>
    <t>25.4-0-2.5-CEW-CEW</t>
  </si>
  <si>
    <t>CEW</t>
  </si>
  <si>
    <t>28.58-0-1.2-ERW 1-PE</t>
  </si>
  <si>
    <t>28.6-0-2.65-CEW-CEW</t>
  </si>
  <si>
    <t>31.75-0-1.2-ERW 1-FC</t>
  </si>
  <si>
    <t>.</t>
  </si>
  <si>
    <t>31.75-0-2.3-ERW 1-FC</t>
  </si>
  <si>
    <t>34.93-0-1.2-ERW 1-FC</t>
  </si>
  <si>
    <t>38.1-0-1.6-ERW 1-FC</t>
  </si>
  <si>
    <t>38.1-0-1.6-ERW 2 MAHS-FC</t>
  </si>
  <si>
    <t>HST</t>
  </si>
  <si>
    <t>38.1-0-2-ERW 1-FC</t>
  </si>
  <si>
    <t>38.1-0-2.5-ERW 2 MAHS-FC</t>
  </si>
  <si>
    <t>cew</t>
  </si>
  <si>
    <t>40X25</t>
  </si>
  <si>
    <t>40-25-1.6-ERW 1-FC</t>
  </si>
  <si>
    <t>41.28-0-2.6-ERW 1-FC</t>
  </si>
  <si>
    <t>41.28-0-3.2-ERW 1-FC</t>
  </si>
  <si>
    <t>42.7-0-3.5-ERW 1-FC</t>
  </si>
  <si>
    <t>42.7-0-4-ERW 1-FC</t>
  </si>
  <si>
    <t>40X30</t>
  </si>
  <si>
    <t>40-30-1.6-ERW 1-FC</t>
  </si>
  <si>
    <t>59X30</t>
  </si>
  <si>
    <t>59-30-1.6-ERW 1-FIN CUT</t>
  </si>
  <si>
    <t>48.6-0-3.5-ERW 1-FC</t>
  </si>
  <si>
    <t>54-0-3-ERW 1-FC</t>
  </si>
  <si>
    <t>57.15-0-2.5-ERW 1-FC</t>
  </si>
  <si>
    <t>60.3-0-2-ERW 1-FC</t>
  </si>
  <si>
    <t>50X50</t>
  </si>
  <si>
    <t>11.08.2026</t>
  </si>
  <si>
    <t>VSM Requirement</t>
  </si>
  <si>
    <t>VSM Sales</t>
  </si>
  <si>
    <t>VSM Stock</t>
  </si>
  <si>
    <t> 2</t>
  </si>
  <si>
    <t>29.4-20.4-4.5-CEW-CEW</t>
  </si>
  <si>
    <t>TSL to update</t>
  </si>
  <si>
    <t>ID</t>
  </si>
  <si>
    <t>HR/CR</t>
  </si>
  <si>
    <t>NOS</t>
  </si>
  <si>
    <t>056</t>
  </si>
  <si>
    <t>0789</t>
  </si>
  <si>
    <t>0788</t>
  </si>
  <si>
    <t>Schedule</t>
  </si>
  <si>
    <t>Stock</t>
  </si>
  <si>
    <t>In Transit</t>
  </si>
  <si>
    <t>Column2</t>
  </si>
  <si>
    <t>Coverage</t>
  </si>
  <si>
    <t>056 Order</t>
  </si>
  <si>
    <t>0789 Order</t>
  </si>
  <si>
    <t>0788 Order</t>
  </si>
  <si>
    <t>789 Order</t>
  </si>
  <si>
    <t>Order qty to be logged</t>
  </si>
  <si>
    <t>Coverage post order</t>
  </si>
  <si>
    <t>Remark</t>
  </si>
  <si>
    <t>Check</t>
  </si>
  <si>
    <t>14-0-2.45-CEW-CEW</t>
  </si>
  <si>
    <t>don't log</t>
  </si>
  <si>
    <t>19-12.5-3.25-CEW-CEW</t>
  </si>
  <si>
    <t>21.4-0-2-ERW 1-PE</t>
  </si>
  <si>
    <t>x</t>
  </si>
  <si>
    <t>CR</t>
  </si>
  <si>
    <t>30 MT order</t>
  </si>
  <si>
    <t>25.4-0-2-ERW 1-PE</t>
  </si>
  <si>
    <t>NEW MCR</t>
  </si>
  <si>
    <t>SEE CODE</t>
  </si>
  <si>
    <t>no</t>
  </si>
  <si>
    <t>no need log order</t>
  </si>
  <si>
    <t>31.75-0-2-ERW 1-FC</t>
  </si>
  <si>
    <t>don't log order as stock in 5.1 meter length</t>
  </si>
  <si>
    <t>dont log</t>
  </si>
  <si>
    <t>log in jsr only</t>
  </si>
  <si>
    <t>10MT place in 0789 - 21/4/26</t>
  </si>
  <si>
    <t>50 - 0789 - 65mt &amp; 50- 056 - 65mt</t>
  </si>
  <si>
    <t xml:space="preserve">check 1 or 2 </t>
  </si>
  <si>
    <t>old one you will check</t>
  </si>
  <si>
    <t xml:space="preserve">789 - 30 MT </t>
  </si>
  <si>
    <t>1 MT PLAN</t>
  </si>
  <si>
    <t>new order</t>
  </si>
  <si>
    <t>Megh-12.7-0-1.4-5.67</t>
  </si>
  <si>
    <t>Megh-12.7-0-1.4-6</t>
  </si>
  <si>
    <t>Megh-12.7-0-1.4-6.035</t>
  </si>
  <si>
    <t>Megh-12.7-0-2-6</t>
  </si>
  <si>
    <t>Megh-15.88-0-1.4-6</t>
  </si>
  <si>
    <t>Megh-19.05-0-1.4-6</t>
  </si>
  <si>
    <t>Megh-22.2-0-1.4-6</t>
  </si>
  <si>
    <t>Megh-25.4-0-1.4-5.531</t>
  </si>
  <si>
    <t>Megh-25.4-0-1.4-6.06</t>
  </si>
  <si>
    <t>Megh-25.4-0-4-4.4</t>
  </si>
  <si>
    <t>Megh-31.75-0-3.65-6</t>
  </si>
  <si>
    <t>Megh-31.9-0-4.55-6</t>
  </si>
  <si>
    <t>Megh-34-0-1.4-6.52</t>
  </si>
  <si>
    <t>Megh-34.93-0-1.2-ERW 1-FC-5.9</t>
  </si>
  <si>
    <t>Megh-34.93-0-1.2-ERW 1-FC-5.1</t>
  </si>
  <si>
    <t>Megh-34.93-0-1.2-ERW 1-FC-6</t>
  </si>
  <si>
    <t>Megh-34.93-0-1.2-ERW 1-FC-0.650</t>
  </si>
  <si>
    <t>Megh-34.93-0-1.2-ERW 1-FC-0.780</t>
  </si>
  <si>
    <t>Megh-42.7-0-1.6-5.94</t>
  </si>
  <si>
    <t>Megh-45-0-1.4-5.7</t>
  </si>
  <si>
    <t>Megh-45-0-1.4-6.4</t>
  </si>
  <si>
    <t>Megh-45-0-1.6-6.4</t>
  </si>
  <si>
    <t>Megh-45-0-1.4-6.46</t>
  </si>
  <si>
    <t>Megh-45-0-3.5-6.1</t>
  </si>
  <si>
    <t>Megh-47.63-0-4-6</t>
  </si>
  <si>
    <t>Megh-48-0-1.2-5.55</t>
  </si>
  <si>
    <t>Megh-48-0-1.2-5.67</t>
  </si>
  <si>
    <t>Megh-48-0-1.2-5.285</t>
  </si>
  <si>
    <t>Megh-48.6-0-2-6.27</t>
  </si>
  <si>
    <t>Megh-48.6-0-2.3-6.27</t>
  </si>
  <si>
    <t>Megh-50.8-0-2.6-5.94</t>
  </si>
  <si>
    <t>Megh-50.8-0-2.6-6</t>
  </si>
  <si>
    <t>Megh-57.15-0-3-5.15</t>
  </si>
  <si>
    <t>Megh-57.15-0-3-5.65</t>
  </si>
  <si>
    <t>length key</t>
  </si>
  <si>
    <t>Last refreshed: 8/13/2026, 5:30:34 AM</t>
  </si>
  <si>
    <t>19.05-0-2-ERW 1-PE-5.58</t>
  </si>
  <si>
    <t>19.05-0-2-ERW 1-PE-5.8</t>
  </si>
  <si>
    <t>25.4-0-2-ERW 1-PE-5.84</t>
  </si>
  <si>
    <t>Megh-28.58-0-3.2-6.06</t>
  </si>
  <si>
    <t>Megh-30-0-3-3.5</t>
  </si>
  <si>
    <t>Megh-34.93-0-1.2-ERW 1-FC-5.53</t>
  </si>
  <si>
    <t>Megh-34.93-0-1.2-ERW 1-FC-0.620</t>
  </si>
  <si>
    <t>Megh-38.1-0-3.2-6.16</t>
  </si>
  <si>
    <t>40-25-1.6-ERW 1-FC-6.02</t>
  </si>
  <si>
    <t>Megh-50-50-1.6-ERW 1-PE</t>
  </si>
  <si>
    <t>Megh-50-50-1.6-ERW 1-PE-6.06</t>
  </si>
  <si>
    <t>Megh-50-50-1.6-ERW 1-PE-6.121</t>
  </si>
  <si>
    <t>Megh-50-50-1.6-ERW 1-PE-6.04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</si>
</sst>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4"/>
      <color rgb="FF000000"/>
      <name val="Calibri"/>
      <family val="2"/>
    </font>
    <font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00"/>
      <name val="Calibri"/>
      <family val="2"/>
      <charset val="1"/>
    </font>
    <font>
      <b/>
      <sz val="11"/>
      <color theme="5"/>
      <name val="Calibri"/>
      <family val="2"/>
      <scheme val="minor"/>
    </font>
    <font>
      <b/>
      <sz val="11"/>
      <color rgb="FF000000"/>
      <name val="Calibri"/>
      <family val="2"/>
    </font>
    <font>
      <u/>
      <sz val="11"/>
      <name val="Arial"/>
      <family val="2"/>
    </font>
    <font>
      <sz val="26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164" fontId="0" fillId="4" borderId="1" xfId="0" applyNumberFormat="1" applyFill="1" applyBorder="1"/>
    <xf numFmtId="0" fontId="2" fillId="0" borderId="1" xfId="0" applyFont="1" applyBorder="1"/>
    <xf numFmtId="0" fontId="2" fillId="0" borderId="4" xfId="0" applyFont="1" applyBorder="1"/>
    <xf numFmtId="0" fontId="2" fillId="0" borderId="2" xfId="0" applyFont="1" applyBorder="1"/>
    <xf numFmtId="0" fontId="3" fillId="0" borderId="1" xfId="0" applyFont="1" applyBorder="1"/>
    <xf numFmtId="0" fontId="3" fillId="0" borderId="4" xfId="0" applyFont="1" applyBorder="1"/>
    <xf numFmtId="0" fontId="4" fillId="0" borderId="0" xfId="0" applyFont="1"/>
    <xf numFmtId="0" fontId="3" fillId="0" borderId="3" xfId="0" applyFont="1" applyBorder="1"/>
    <xf numFmtId="0" fontId="3" fillId="0" borderId="2" xfId="0" applyFont="1" applyBorder="1"/>
    <xf numFmtId="0" fontId="3" fillId="2" borderId="2" xfId="0" applyFont="1" applyFill="1" applyBorder="1"/>
    <xf numFmtId="0" fontId="4" fillId="2" borderId="0" xfId="0" applyFont="1" applyFill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2" borderId="9" xfId="0" applyFont="1" applyFill="1" applyBorder="1"/>
    <xf numFmtId="0" fontId="5" fillId="0" borderId="2" xfId="0" applyFont="1" applyBorder="1"/>
    <xf numFmtId="0" fontId="5" fillId="2" borderId="2" xfId="0" applyFont="1" applyFill="1" applyBorder="1"/>
    <xf numFmtId="0" fontId="5" fillId="0" borderId="6" xfId="0" applyFont="1" applyBorder="1"/>
    <xf numFmtId="0" fontId="0" fillId="4" borderId="1" xfId="0" applyFill="1" applyBorder="1"/>
    <xf numFmtId="0" fontId="0" fillId="3" borderId="1" xfId="0" applyFill="1" applyBorder="1"/>
    <xf numFmtId="0" fontId="6" fillId="6" borderId="5" xfId="0" applyFont="1" applyFill="1" applyBorder="1" applyAlignment="1">
      <alignment horizontal="center" vertical="center"/>
    </xf>
    <xf numFmtId="0" fontId="6" fillId="6" borderId="5" xfId="0" quotePrefix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6" fillId="7" borderId="1" xfId="0" quotePrefix="1" applyFont="1" applyFill="1" applyBorder="1" applyAlignment="1">
      <alignment horizontal="center" vertical="center"/>
    </xf>
    <xf numFmtId="0" fontId="6" fillId="6" borderId="0" xfId="0" quotePrefix="1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0" fontId="0" fillId="2" borderId="1" xfId="0" applyFill="1" applyBorder="1"/>
    <xf numFmtId="0" fontId="7" fillId="2" borderId="1" xfId="0" applyFont="1" applyFill="1" applyBorder="1"/>
    <xf numFmtId="1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0" fontId="7" fillId="5" borderId="1" xfId="0" applyFont="1" applyFill="1" applyBorder="1"/>
    <xf numFmtId="0" fontId="0" fillId="5" borderId="1" xfId="0" applyFill="1" applyBorder="1"/>
    <xf numFmtId="1" fontId="0" fillId="5" borderId="1" xfId="0" applyNumberFormat="1" applyFill="1" applyBorder="1"/>
    <xf numFmtId="0" fontId="0" fillId="0" borderId="1" xfId="0" applyBorder="1"/>
    <xf numFmtId="1" fontId="7" fillId="2" borderId="1" xfId="0" applyNumberFormat="1" applyFont="1" applyFill="1" applyBorder="1"/>
    <xf numFmtId="1" fontId="0" fillId="3" borderId="1" xfId="0" applyNumberFormat="1" applyFill="1" applyBorder="1"/>
    <xf numFmtId="0" fontId="0" fillId="0" borderId="1" xfId="0" applyBorder="1" applyAlignment="1">
      <alignment horizontal="center"/>
    </xf>
    <xf numFmtId="0" fontId="2" fillId="2" borderId="1" xfId="0" applyFont="1" applyFill="1" applyBorder="1"/>
    <xf numFmtId="1" fontId="7" fillId="5" borderId="1" xfId="0" applyNumberFormat="1" applyFont="1" applyFill="1" applyBorder="1"/>
    <xf numFmtId="0" fontId="0" fillId="0" borderId="1" xfId="0" quotePrefix="1" applyBorder="1"/>
    <xf numFmtId="0" fontId="8" fillId="4" borderId="1" xfId="0" applyFont="1" applyFill="1" applyBorder="1"/>
    <xf numFmtId="0" fontId="9" fillId="5" borderId="1" xfId="0" applyFont="1" applyFill="1" applyBorder="1"/>
    <xf numFmtId="0" fontId="0" fillId="2" borderId="1" xfId="0" quotePrefix="1" applyFill="1" applyBorder="1" applyAlignment="1">
      <alignment horizontal="center"/>
    </xf>
    <xf numFmtId="0" fontId="2" fillId="4" borderId="1" xfId="0" applyFont="1" applyFill="1" applyBorder="1" applyAlignment="1">
      <alignment wrapText="1"/>
    </xf>
    <xf numFmtId="1" fontId="0" fillId="8" borderId="1" xfId="0" applyNumberFormat="1" applyFill="1" applyBorder="1"/>
    <xf numFmtId="0" fontId="10" fillId="2" borderId="1" xfId="0" applyFont="1" applyFill="1" applyBorder="1"/>
    <xf numFmtId="0" fontId="2" fillId="2" borderId="0" xfId="0" applyFont="1" applyFill="1"/>
    <xf numFmtId="0" fontId="11" fillId="2" borderId="1" xfId="0" applyFont="1" applyFill="1" applyBorder="1"/>
    <xf numFmtId="0" fontId="7" fillId="0" borderId="0" xfId="0" applyFont="1"/>
    <xf numFmtId="0" fontId="0" fillId="4" borderId="1" xfId="0" applyFill="1" applyBorder="1" applyAlignment="1">
      <alignment wrapText="1"/>
    </xf>
    <xf numFmtId="0" fontId="0" fillId="9" borderId="1" xfId="0" applyFill="1" applyBorder="1"/>
    <xf numFmtId="0" fontId="7" fillId="9" borderId="1" xfId="0" applyFont="1" applyFill="1" applyBorder="1"/>
    <xf numFmtId="1" fontId="7" fillId="9" borderId="1" xfId="0" applyNumberFormat="1" applyFont="1" applyFill="1" applyBorder="1"/>
    <xf numFmtId="1" fontId="0" fillId="9" borderId="1" xfId="0" applyNumberFormat="1" applyFill="1" applyBorder="1"/>
    <xf numFmtId="0" fontId="0" fillId="9" borderId="0" xfId="0" applyFill="1"/>
    <xf numFmtId="0" fontId="0" fillId="2" borderId="1" xfId="0" quotePrefix="1" applyFill="1" applyBorder="1"/>
    <xf numFmtId="0" fontId="0" fillId="0" borderId="1" xfId="0" applyBorder="1" applyAlignment="1">
      <alignment horizontal="left"/>
    </xf>
    <xf numFmtId="0" fontId="12" fillId="0" borderId="2" xfId="0" applyFont="1" applyBorder="1"/>
    <xf numFmtId="0" fontId="2" fillId="2" borderId="2" xfId="0" applyFont="1" applyFill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0" xfId="0" applyFont="1" applyBorder="1"/>
  </cellXfs>
  <cellStyles count="1">
    <cellStyle name="Normal" xfId="0" builtinId="0"/>
  </cellStyles>
  <dxfs count="9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/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1"/>
      </font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1"/>
      </font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1"/>
      </font>
      <fill>
        <patternFill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z val="11"/>
      </font>
      <fill>
        <patternFill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1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1"/>
      </font>
      <fill>
        <patternFill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numFmt numFmtId="0" formatCode="General"/>
      <fill>
        <patternFill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1"/>
      </font>
      <fill>
        <patternFill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fill>
        <patternFill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</border>
    </dxf>
    <dxf>
      <font>
        <sz val="11"/>
        <family val="2"/>
      </font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/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Apoorv Gupta" id="{E777AEA9-1213-40C2-8D76-C991376DA16C}" userId="S::163559@tatasteel.com::9ecb0929-8677-49c6-b468-f366e90eac1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B1FAB8-394F-44C8-A099-CE61E930C264}" name="Table2" displayName="Table2" ref="A3:V130" totalsRowShown="0" headerRowDxfId="18" dataDxfId="19" headerRowBorderDxfId="41" tableBorderDxfId="42">
  <autoFilter ref="A3:V130" xr:uid="{12B1FAB8-394F-44C8-A099-CE61E930C264}"/>
  <tableColumns count="22">
    <tableColumn id="1" xr3:uid="{8CB5263D-46FC-4657-9A63-A9ABBEBF2D6E}" name="S.NO" dataDxfId="40"/>
    <tableColumn id="2" xr3:uid="{4395B71B-C74E-466F-B814-78448666F36D}" name="Section" dataDxfId="39"/>
    <tableColumn id="3" xr3:uid="{6B6A49D8-903A-4EB4-B065-6C65181071B8}" name="Column1" dataDxfId="38"/>
    <tableColumn id="4" xr3:uid="{DE9E458B-0F54-428B-B3B7-ACE76FEA185B}" name="O D" dataDxfId="37"/>
    <tableColumn id="5" xr3:uid="{54D6099E-9C28-4867-AEEC-9A00D9CA7907}" name="Thk." dataDxfId="36"/>
    <tableColumn id="6" xr3:uid="{2D4FB385-AF1C-48B5-85BB-29EF6587A6DE}" name="Length" dataDxfId="35"/>
    <tableColumn id="7" xr3:uid="{DA57015F-0108-40D9-A9B6-25AD6B1FC1B8}" name="Wt/Len" dataDxfId="34"/>
    <tableColumn id="8" xr3:uid="{E8DE8CCD-2523-4AC2-992A-5E5407F756E9}" name="key" dataDxfId="33"/>
    <tableColumn id="22" xr3:uid="{27CF37E6-4523-4914-9105-E4A5F02AF99D}" name="length key" dataDxfId="17">
      <calculatedColumnFormula>_xlfn.CONCAT(Table2[[#This Row],[key]],"-",Table2[[#This Row],[Length]])</calculatedColumnFormula>
    </tableColumn>
    <tableColumn id="9" xr3:uid="{994C8941-615C-47A8-A7E2-796710BD0382}" name="Grade" dataDxfId="32"/>
    <tableColumn id="10" xr3:uid="{D2F4E9FD-A776-4A6C-8E37-34FDB7D63CA2}" name="FC/NFC" dataDxfId="31"/>
    <tableColumn id="11" xr3:uid="{176984D1-18FE-4606-AE5F-0A5357925367}" name="Total schedule" dataDxfId="30"/>
    <tableColumn id="12" xr3:uid="{DB652E94-4233-48E7-839F-29DD9F84A15B}" name="Rucha" dataDxfId="29"/>
    <tableColumn id="13" xr3:uid="{FF4D23BB-EE42-4571-8BBD-1D24038DF81F}" name="Metalman" dataDxfId="28"/>
    <tableColumn id="14" xr3:uid="{0ED3057E-0502-4464-AB30-4F489CE74E46}" name="Marathwada" dataDxfId="27"/>
    <tableColumn id="15" xr3:uid="{215913D5-6D55-4BB0-9264-7222DBEABCF7}" name="Rajsriya tvs" dataDxfId="26"/>
    <tableColumn id="16" xr3:uid="{5A921341-93F3-4994-9A45-8B156566259B}" name="supangita" dataDxfId="25"/>
    <tableColumn id="17" xr3:uid="{9188AA32-0F2A-4D67-950E-ADACD1430ED0}" name="pams eng" dataDxfId="24"/>
    <tableColumn id="18" xr3:uid="{67ECED55-325A-430B-80FD-37F66AFEE5BB}" name="KP ENG" dataDxfId="23"/>
    <tableColumn id="19" xr3:uid="{B76FD7CF-8F82-455B-A149-50BA163331D2}" name="Rajsriya RE" dataDxfId="22"/>
    <tableColumn id="20" xr3:uid="{7EF9EB48-A2C4-432A-B7D8-AF89FEBD38F9}" name="belrise chennai" dataDxfId="21"/>
    <tableColumn id="21" xr3:uid="{1BF4B172-E1FB-4774-97E1-43D5EBAADED2}" name="Belrise malur" dataDxfId="2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5EF9F4-4D3A-44D5-870B-70AA9CF01352}" name="Table1" displayName="Table1" ref="A3:T96" totalsRowShown="0" headerRowDxfId="97" dataDxfId="95" headerRowBorderDxfId="96" tableBorderDxfId="94">
  <autoFilter ref="A3:T96" xr:uid="{A95EF9F4-4D3A-44D5-870B-70AA9CF01352}"/>
  <tableColumns count="20">
    <tableColumn id="1" xr3:uid="{49C2D27F-914D-48B4-B53B-E3E01FDDD0CF}" name="S.NO" dataDxfId="93"/>
    <tableColumn id="2" xr3:uid="{EB187352-D2C4-4202-A23D-721A0D628DB4}" name="Section" dataDxfId="92"/>
    <tableColumn id="3" xr3:uid="{427CCAB9-4232-476F-9B2F-921835F81D9D}" name="Column1" dataDxfId="91"/>
    <tableColumn id="4" xr3:uid="{4C3C0895-6506-4226-AF6D-136758A1DCC6}" name="O D" dataDxfId="90"/>
    <tableColumn id="5" xr3:uid="{525253E0-8FA6-4C18-B709-1620545070C3}" name="Thk." dataDxfId="89"/>
    <tableColumn id="7" xr3:uid="{DF7452BD-FCDA-4FA9-97ED-084F296AED13}" name="Wt/Len" dataDxfId="88"/>
    <tableColumn id="8" xr3:uid="{997B6017-73CA-42B0-8FA5-1CD37E18A544}" name="key" dataDxfId="87"/>
    <tableColumn id="9" xr3:uid="{C5E67704-417C-4956-95D4-B5194E6C1C1E}" name="Grade" dataDxfId="86"/>
    <tableColumn id="10" xr3:uid="{AFC10C33-24FD-4D03-B39A-E989C89AC132}" name="FC/NFC" dataDxfId="85"/>
    <tableColumn id="11" xr3:uid="{3719040A-1986-40A0-8DCB-4932001B4A99}" name="VSM Requirement" dataDxfId="84">
      <calculatedColumnFormula>SUM(M4:R4)</calculatedColumnFormula>
    </tableColumn>
    <tableColumn id="12" xr3:uid="{5DF3D2FC-B981-4866-86FC-B68D0300F28B}" name="VSM Sales" dataDxfId="83">
      <calculatedColumnFormula>(173)/1000</calculatedColumnFormula>
    </tableColumn>
    <tableColumn id="21" xr3:uid="{7D66569C-186E-4F4F-BB9B-73ACC5A742DA}" name="VSM Stock" dataDxfId="82"/>
    <tableColumn id="13" xr3:uid="{850068CB-E3ED-4CB3-B375-8DEB0F6D048E}" name="Rucha" dataDxfId="81"/>
    <tableColumn id="14" xr3:uid="{7CA5B920-FCEA-4343-AA29-93B95573FE25}" name="Metalman" dataDxfId="80"/>
    <tableColumn id="15" xr3:uid="{6679665C-5C82-4C47-BDBD-90DC15C3DCE2}" name="Marathwada" dataDxfId="79"/>
    <tableColumn id="16" xr3:uid="{49521C1F-6216-4303-AA6A-AA622C5B33A4}" name="Rajsriya tvs" dataDxfId="78"/>
    <tableColumn id="17" xr3:uid="{03F1A6C0-31CC-4113-99C3-84DBF8675A85}" name="supangita" dataDxfId="77"/>
    <tableColumn id="18" xr3:uid="{ED213E37-666F-42EC-B088-270375D14D0F}" name="pams eng" dataDxfId="76"/>
    <tableColumn id="19" xr3:uid="{119D7102-0DAB-46CC-8554-18E7C5BC50F0}" name=" " dataDxfId="75"/>
    <tableColumn id="20" xr3:uid="{466C8C1E-1AF7-46B6-82F6-279FCF5DA7AD}" name=" 2" dataDxfId="7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70FECC-C8DB-441D-A1FE-CE75CB838EF7}" name="Table3" displayName="Table3" ref="A3:AC123" totalsRowShown="0" headerRowDxfId="73" dataDxfId="72" tableBorderDxfId="71">
  <autoFilter ref="A3:AC123" xr:uid="{5970FECC-C8DB-441D-A1FE-CE75CB838EF7}"/>
  <tableColumns count="29">
    <tableColumn id="1" xr3:uid="{8C1244B0-B643-4854-9501-71D8D5D5F74C}" name="S.NO" dataDxfId="70"/>
    <tableColumn id="2" xr3:uid="{0BC36141-0A2D-481C-8F23-5D39E603789C}" name="Section" dataDxfId="69"/>
    <tableColumn id="24" xr3:uid="{BDC6E565-2D0C-4FC8-9B47-9598424F429F}" name="Column1" dataDxfId="68"/>
    <tableColumn id="3" xr3:uid="{75C1E727-C16C-40E2-BB6F-5AB316736C1F}" name="O D" dataDxfId="67"/>
    <tableColumn id="28" xr3:uid="{3CF279CE-DC3D-4BEF-BC28-AA042BAA4429}" name="ID" dataDxfId="66"/>
    <tableColumn id="4" xr3:uid="{B24E6D35-3F35-45A9-AF7C-C36AE7B06385}" name="Thk." dataDxfId="65"/>
    <tableColumn id="5" xr3:uid="{2905F19A-11BA-4398-89D6-27085B438BEE}" name="Length" dataDxfId="64"/>
    <tableColumn id="6" xr3:uid="{8E8FD8B2-E024-4236-9B6A-77A12DC34849}" name="Wt/Len" dataDxfId="63"/>
    <tableColumn id="7" xr3:uid="{D0AAB649-9C49-44A4-8C93-4556260EBC97}" name="key" dataDxfId="62"/>
    <tableColumn id="29" xr3:uid="{4639552F-0230-4857-9B91-04A797418EB1}" name="length key" dataDxfId="15">
      <calculatedColumnFormula>_xlfn.CONCAT(Table3[[#This Row],[key]],"-",Table3[[#This Row],[Length]])</calculatedColumnFormula>
    </tableColumn>
    <tableColumn id="8" xr3:uid="{B435130F-ED0D-4C6C-91A1-F6486EF9FD34}" name="Grade" dataDxfId="61"/>
    <tableColumn id="9" xr3:uid="{17AAF7D0-C019-4B18-82C1-564403E2AB86}" name="FC/NFC" dataDxfId="60"/>
    <tableColumn id="10" xr3:uid="{FE4CD104-63F6-4C8D-A983-2062A095C6DB}" name="HR/CR" dataDxfId="59"/>
    <tableColumn id="11" xr3:uid="{D4CE7D9B-93E1-4A56-9A4D-46D1E165D841}" name="NOS" dataDxfId="58"/>
    <tableColumn id="19" xr3:uid="{E71CBB01-EACA-42F6-A525-0591B759797A}" name="056" dataDxfId="57"/>
    <tableColumn id="18" xr3:uid="{AEE07ECA-FF55-4EA5-BF63-A8BA1EB1E873}" name="0789" dataDxfId="56"/>
    <tableColumn id="15" xr3:uid="{19D463D1-101F-48F9-B857-56B2C8C8830A}" name="0788" dataDxfId="55"/>
    <tableColumn id="14" xr3:uid="{D3DDBDCF-5172-44E3-909B-26D8803CA015}" name="Schedule" dataDxfId="54">
      <calculatedColumnFormula>VLOOKUP(Table3[[#This Row],[length key]],Table2[[#All],[length key]:[Total schedule]],4,0)</calculatedColumnFormula>
    </tableColumn>
    <tableColumn id="16" xr3:uid="{5E6341F4-EE75-45CB-A3B0-CDF5F8700B7C}" name="Stock" dataDxfId="53">
      <calculatedColumnFormula>((D4-F4)*F4*0.0246615*G4*N4)</calculatedColumnFormula>
    </tableColumn>
    <tableColumn id="12" xr3:uid="{6E45D67C-326A-45A6-AB73-EF72DDBD4BE7}" name="In Transit" dataDxfId="52"/>
    <tableColumn id="26" xr3:uid="{9B11A325-9F44-4490-A5F8-3E0F92EB04C7}" name="Column2" dataDxfId="51"/>
    <tableColumn id="17" xr3:uid="{142F8EE0-8C4A-4F52-B433-6E16EFFB4F68}" name="Coverage" dataDxfId="50">
      <calculatedColumnFormula>ROUND((S4+Table3[[#This Row],[In Transit]])/R4*30,0)</calculatedColumnFormula>
    </tableColumn>
    <tableColumn id="23" xr3:uid="{64A78895-0BDE-40C2-A7F8-BA39EA1FCBB5}" name="056 Order" dataDxfId="49"/>
    <tableColumn id="22" xr3:uid="{2053E59C-F208-4452-8DD9-F3EEB97BB984}" name="0789 Order" dataDxfId="48"/>
    <tableColumn id="21" xr3:uid="{4FFA58A4-AF31-45D3-9B65-94409B43BD85}" name="0788 Order" dataDxfId="47"/>
    <tableColumn id="27" xr3:uid="{B6E21D69-3AAD-4545-81FF-3E7CCA4A4BAF}" name="789 Order" dataDxfId="46"/>
    <tableColumn id="13" xr3:uid="{8B4D4A22-DD54-4E3C-8A7A-C3BC233240DA}" name="Order qty to be logged" dataDxfId="45">
      <calculatedColumnFormula>IF((45-Table3[[#This Row],[Coverage post order]])&gt;0,Table3[[#This Row],[Schedule]]*1.5,0)</calculatedColumnFormula>
    </tableColumn>
    <tableColumn id="25" xr3:uid="{C79EBC91-58E3-4259-BC86-81ACA4EFA386}" name="Coverage post order" dataDxfId="44">
      <calculatedColumnFormula>ROUND((Table3[[#This Row],[Stock]]+Table3[[#This Row],[056 Order]]+Table3[[#This Row],[0789 Order]]+Table3[[#This Row],[0788 Order]])/Table3[[#This Row],[Schedule]]*30,0)</calculatedColumnFormula>
    </tableColumn>
    <tableColumn id="20" xr3:uid="{98D20B4C-4DB6-41A5-82DA-7E4662A6A5B9}" name="Remark" dataDxfId="4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42" dT="2026-01-02T06:24:35.68" personId="{E777AEA9-1213-40C2-8D76-C991376DA16C}" id="{F8B716AB-F6D3-4137-9AD4-843F8A7EF411}">
    <text>Change length to 5530</text>
  </threadedComment>
  <threadedComment ref="G69" dT="2025-12-02T09:13:04.96" personId="{E777AEA9-1213-40C2-8D76-C991376DA16C}" id="{5259FDE8-04D1-4110-A093-D3B95CAB6763}">
    <text>6.3/5530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06960-FE7A-4138-BB86-7613FEC608AB}">
  <dimension ref="A1:C7"/>
  <sheetViews>
    <sheetView workbookViewId="0">
      <selection activeCell="C7" sqref="C7"/>
    </sheetView>
  </sheetViews>
  <sheetFormatPr defaultRowHeight="15" x14ac:dyDescent="0.25"/>
  <cols>
    <col min="2" max="2" width="36.140625" bestFit="1" customWidth="1"/>
  </cols>
  <sheetData>
    <row r="1" spans="1:3" x14ac:dyDescent="0.25">
      <c r="A1" t="s">
        <v>167</v>
      </c>
    </row>
    <row r="3" spans="1:3" x14ac:dyDescent="0.25">
      <c r="A3" t="s">
        <v>0</v>
      </c>
    </row>
    <row r="4" spans="1:3" x14ac:dyDescent="0.25">
      <c r="A4">
        <v>1</v>
      </c>
      <c r="B4" t="s">
        <v>1</v>
      </c>
    </row>
    <row r="5" spans="1:3" x14ac:dyDescent="0.25">
      <c r="A5">
        <v>2</v>
      </c>
      <c r="B5" t="s">
        <v>2</v>
      </c>
    </row>
    <row r="6" spans="1:3" x14ac:dyDescent="0.25">
      <c r="A6">
        <v>3</v>
      </c>
      <c r="B6" t="s">
        <v>3</v>
      </c>
    </row>
    <row r="7" spans="1:3" x14ac:dyDescent="0.25">
      <c r="A7">
        <v>4</v>
      </c>
      <c r="B7" t="s">
        <v>4</v>
      </c>
      <c r="C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63D18-7D0B-4BEB-A031-03028B7422B0}">
  <dimension ref="A1:V130"/>
  <sheetViews>
    <sheetView topLeftCell="A118" workbookViewId="0">
      <selection activeCell="H130" sqref="H130:I130"/>
    </sheetView>
  </sheetViews>
  <sheetFormatPr defaultRowHeight="15" x14ac:dyDescent="0.25"/>
  <cols>
    <col min="2" max="2" width="9.7109375" customWidth="1"/>
    <col min="3" max="3" width="11" customWidth="1"/>
    <col min="7" max="7" width="9.85546875" customWidth="1"/>
    <col min="8" max="8" width="29.140625" bestFit="1" customWidth="1"/>
    <col min="9" max="9" width="29.140625" customWidth="1"/>
    <col min="11" max="11" width="9.7109375" customWidth="1"/>
    <col min="12" max="12" width="16" customWidth="1"/>
    <col min="14" max="14" width="12.28515625" customWidth="1"/>
    <col min="15" max="15" width="14.28515625" customWidth="1"/>
    <col min="16" max="16" width="13" customWidth="1"/>
    <col min="17" max="17" width="11.7109375" customWidth="1"/>
    <col min="18" max="18" width="11.5703125" customWidth="1"/>
    <col min="19" max="19" width="9.7109375" customWidth="1"/>
    <col min="20" max="20" width="12.5703125" customWidth="1"/>
    <col min="21" max="21" width="16.7109375" customWidth="1"/>
    <col min="22" max="22" width="14.85546875" customWidth="1"/>
  </cols>
  <sheetData>
    <row r="1" spans="1:22" x14ac:dyDescent="0.25">
      <c r="A1" s="2" t="s">
        <v>5</v>
      </c>
      <c r="B1" s="3" t="s">
        <v>5</v>
      </c>
      <c r="C1" s="3" t="s">
        <v>5</v>
      </c>
      <c r="D1" s="3" t="s">
        <v>5</v>
      </c>
      <c r="E1" s="3" t="s">
        <v>5</v>
      </c>
      <c r="F1" s="3" t="s">
        <v>5</v>
      </c>
      <c r="G1" s="3" t="s">
        <v>5</v>
      </c>
      <c r="H1" s="3"/>
      <c r="I1" s="3"/>
      <c r="J1" s="3" t="s">
        <v>5</v>
      </c>
      <c r="K1" s="3" t="s">
        <v>5</v>
      </c>
    </row>
    <row r="2" spans="1:22" x14ac:dyDescent="0.25">
      <c r="A2" s="61" t="s">
        <v>5</v>
      </c>
      <c r="B2" s="62" t="s">
        <v>5</v>
      </c>
      <c r="C2" s="62" t="s">
        <v>5</v>
      </c>
      <c r="D2" s="62" t="s">
        <v>5</v>
      </c>
      <c r="E2" s="62" t="s">
        <v>5</v>
      </c>
      <c r="F2" s="62" t="s">
        <v>5</v>
      </c>
      <c r="G2" s="62" t="s">
        <v>5</v>
      </c>
      <c r="H2" s="62" t="s">
        <v>5</v>
      </c>
      <c r="I2" s="62"/>
      <c r="J2" s="62" t="s">
        <v>5</v>
      </c>
      <c r="K2" s="62" t="s">
        <v>5</v>
      </c>
      <c r="L2" s="63">
        <v>1721.5</v>
      </c>
      <c r="M2" s="63">
        <f>SUM(M4:M130)</f>
        <v>923000</v>
      </c>
      <c r="N2" s="63">
        <f>SUM(N4:N130)</f>
        <v>139500</v>
      </c>
      <c r="O2" s="63">
        <f>SUM(O4:O130)</f>
        <v>23000</v>
      </c>
      <c r="P2" s="63">
        <f>SUM(P4:P130)</f>
        <v>101000</v>
      </c>
      <c r="Q2" s="63">
        <f>SUM(Q4:Q130)</f>
        <v>80000</v>
      </c>
      <c r="R2" s="63">
        <f>SUM(R4:R130)</f>
        <v>15000</v>
      </c>
      <c r="S2" s="63">
        <f>SUM(S4:S130)</f>
        <v>15000</v>
      </c>
      <c r="T2" s="63">
        <f>SUM(T4:T130)</f>
        <v>15000</v>
      </c>
      <c r="U2" s="63">
        <f>SUM(U4:U130)</f>
        <v>0</v>
      </c>
      <c r="V2" s="63">
        <f>SUM(V4:V130)</f>
        <v>0</v>
      </c>
    </row>
    <row r="3" spans="1:22" x14ac:dyDescent="0.25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166</v>
      </c>
      <c r="J3" s="4" t="s">
        <v>26</v>
      </c>
      <c r="K3" s="4" t="s">
        <v>27</v>
      </c>
      <c r="L3" s="4" t="s">
        <v>7</v>
      </c>
      <c r="M3" s="4" t="s">
        <v>8</v>
      </c>
      <c r="N3" s="4" t="s">
        <v>9</v>
      </c>
      <c r="O3" s="4" t="s">
        <v>10</v>
      </c>
      <c r="P3" s="4" t="s">
        <v>11</v>
      </c>
      <c r="Q3" s="4" t="s">
        <v>12</v>
      </c>
      <c r="R3" s="4" t="s">
        <v>13</v>
      </c>
      <c r="S3" s="4" t="s">
        <v>14</v>
      </c>
      <c r="T3" s="4" t="s">
        <v>15</v>
      </c>
      <c r="U3" s="4" t="s">
        <v>16</v>
      </c>
      <c r="V3" s="60" t="s">
        <v>17</v>
      </c>
    </row>
    <row r="4" spans="1:22" x14ac:dyDescent="0.25">
      <c r="A4" s="4">
        <v>1</v>
      </c>
      <c r="B4" s="4" t="s">
        <v>5</v>
      </c>
      <c r="C4" s="4">
        <v>943209</v>
      </c>
      <c r="D4" s="4">
        <v>12.7</v>
      </c>
      <c r="E4" s="4">
        <v>1.2</v>
      </c>
      <c r="F4" s="4">
        <v>6</v>
      </c>
      <c r="G4" s="4">
        <v>2.0419999999999998</v>
      </c>
      <c r="H4" s="4" t="s">
        <v>28</v>
      </c>
      <c r="I4" s="4" t="str">
        <f>_xlfn.CONCAT(Table2[[#This Row],[key]],"-",Table2[[#This Row],[Length]])</f>
        <v>12.7-0-1.2-ERW 1-PE-6</v>
      </c>
      <c r="J4" s="4" t="s">
        <v>29</v>
      </c>
      <c r="K4" s="4" t="s">
        <v>30</v>
      </c>
      <c r="L4" s="4">
        <v>6000</v>
      </c>
      <c r="M4" s="4">
        <v>6000</v>
      </c>
      <c r="N4" s="4">
        <v>0</v>
      </c>
      <c r="O4" s="4"/>
      <c r="P4" s="4"/>
      <c r="Q4" s="4"/>
      <c r="R4" s="4"/>
      <c r="S4" s="4"/>
      <c r="T4" s="4"/>
      <c r="U4" s="4"/>
      <c r="V4" s="60"/>
    </row>
    <row r="5" spans="1:22" x14ac:dyDescent="0.25">
      <c r="A5" s="4">
        <v>2</v>
      </c>
      <c r="B5" s="4" t="s">
        <v>5</v>
      </c>
      <c r="C5" s="4">
        <v>943210</v>
      </c>
      <c r="D5" s="4">
        <v>12.7</v>
      </c>
      <c r="E5" s="4">
        <v>1.4</v>
      </c>
      <c r="F5" s="4">
        <v>5.67</v>
      </c>
      <c r="G5" s="4">
        <v>2.2120000000000002</v>
      </c>
      <c r="H5" s="4" t="s">
        <v>132</v>
      </c>
      <c r="I5" s="4" t="str">
        <f>_xlfn.CONCAT(Table2[[#This Row],[key]])</f>
        <v>Megh-12.7-0-1.4-5.67</v>
      </c>
      <c r="J5" s="4" t="s">
        <v>29</v>
      </c>
      <c r="K5" s="4" t="s">
        <v>30</v>
      </c>
      <c r="L5" s="4">
        <v>1500</v>
      </c>
      <c r="M5" s="4">
        <v>0</v>
      </c>
      <c r="N5" s="4">
        <v>0</v>
      </c>
      <c r="O5" s="4"/>
      <c r="P5" s="4"/>
      <c r="Q5" s="4"/>
      <c r="R5" s="4"/>
      <c r="S5" s="4"/>
      <c r="T5" s="4"/>
      <c r="U5" s="4"/>
      <c r="V5" s="60"/>
    </row>
    <row r="6" spans="1:22" x14ac:dyDescent="0.25">
      <c r="A6" s="4">
        <v>3</v>
      </c>
      <c r="B6" s="4" t="s">
        <v>5</v>
      </c>
      <c r="C6" s="4" t="s">
        <v>5</v>
      </c>
      <c r="D6" s="4">
        <v>12.7</v>
      </c>
      <c r="E6" s="4">
        <v>1.4</v>
      </c>
      <c r="F6" s="4">
        <v>6</v>
      </c>
      <c r="G6" s="4">
        <v>2.3410000000000002</v>
      </c>
      <c r="H6" s="4" t="s">
        <v>133</v>
      </c>
      <c r="I6" s="4" t="str">
        <f>_xlfn.CONCAT(Table2[[#This Row],[key]])</f>
        <v>Megh-12.7-0-1.4-6</v>
      </c>
      <c r="J6" s="4" t="s">
        <v>29</v>
      </c>
      <c r="K6" s="4" t="s">
        <v>30</v>
      </c>
      <c r="L6" s="4">
        <v>0</v>
      </c>
      <c r="M6" s="4">
        <v>0</v>
      </c>
      <c r="N6" s="4">
        <v>0</v>
      </c>
      <c r="O6" s="4"/>
      <c r="P6" s="4"/>
      <c r="Q6" s="4"/>
      <c r="R6" s="4"/>
      <c r="S6" s="4"/>
      <c r="T6" s="4"/>
      <c r="U6" s="4"/>
      <c r="V6" s="60"/>
    </row>
    <row r="7" spans="1:22" x14ac:dyDescent="0.25">
      <c r="A7" s="4">
        <v>4</v>
      </c>
      <c r="B7" s="4" t="s">
        <v>5</v>
      </c>
      <c r="C7" s="4" t="s">
        <v>5</v>
      </c>
      <c r="D7" s="4">
        <v>12.7</v>
      </c>
      <c r="E7" s="4">
        <v>1.4</v>
      </c>
      <c r="F7" s="4">
        <v>6.0350000000000001</v>
      </c>
      <c r="G7" s="4">
        <v>2.355</v>
      </c>
      <c r="H7" s="4" t="s">
        <v>134</v>
      </c>
      <c r="I7" s="4" t="str">
        <f>_xlfn.CONCAT(Table2[[#This Row],[key]])</f>
        <v>Megh-12.7-0-1.4-6.035</v>
      </c>
      <c r="J7" s="4" t="s">
        <v>29</v>
      </c>
      <c r="K7" s="4" t="s">
        <v>30</v>
      </c>
      <c r="L7" s="4">
        <v>0</v>
      </c>
      <c r="M7" s="4">
        <v>0</v>
      </c>
      <c r="N7" s="4">
        <v>0</v>
      </c>
      <c r="O7" s="4"/>
      <c r="P7" s="4"/>
      <c r="Q7" s="4"/>
      <c r="R7" s="4"/>
      <c r="S7" s="4"/>
      <c r="T7" s="4"/>
      <c r="U7" s="4"/>
      <c r="V7" s="60"/>
    </row>
    <row r="8" spans="1:22" x14ac:dyDescent="0.25">
      <c r="A8" s="4">
        <v>5</v>
      </c>
      <c r="B8" s="4" t="s">
        <v>5</v>
      </c>
      <c r="C8" s="4">
        <v>943210</v>
      </c>
      <c r="D8" s="4">
        <v>12.7</v>
      </c>
      <c r="E8" s="4">
        <v>1.6</v>
      </c>
      <c r="F8" s="4">
        <v>6</v>
      </c>
      <c r="G8" s="4">
        <v>2.6280000000000001</v>
      </c>
      <c r="H8" s="4" t="s">
        <v>31</v>
      </c>
      <c r="I8" s="4" t="str">
        <f>_xlfn.CONCAT(Table2[[#This Row],[key]],"-",Table2[[#This Row],[Length]])</f>
        <v>12.7-0-1.6-ERW 1-PE-6</v>
      </c>
      <c r="J8" s="4" t="s">
        <v>29</v>
      </c>
      <c r="K8" s="4" t="s">
        <v>30</v>
      </c>
      <c r="L8" s="4">
        <v>0</v>
      </c>
      <c r="M8" s="4">
        <v>0</v>
      </c>
      <c r="N8" s="4">
        <v>0</v>
      </c>
      <c r="O8" s="4"/>
      <c r="P8" s="4"/>
      <c r="Q8" s="4"/>
      <c r="R8" s="4"/>
      <c r="S8" s="4"/>
      <c r="T8" s="4"/>
      <c r="U8" s="4"/>
      <c r="V8" s="60"/>
    </row>
    <row r="9" spans="1:22" x14ac:dyDescent="0.25">
      <c r="A9" s="4">
        <v>6</v>
      </c>
      <c r="B9" s="4" t="s">
        <v>5</v>
      </c>
      <c r="C9" s="4" t="s">
        <v>5</v>
      </c>
      <c r="D9" s="4">
        <v>12.7</v>
      </c>
      <c r="E9" s="4">
        <v>2</v>
      </c>
      <c r="F9" s="4">
        <v>6</v>
      </c>
      <c r="G9" s="4">
        <v>3.1669999999999998</v>
      </c>
      <c r="H9" s="4" t="s">
        <v>135</v>
      </c>
      <c r="I9" s="4" t="str">
        <f>_xlfn.CONCAT(Table2[[#This Row],[key]])</f>
        <v>Megh-12.7-0-2-6</v>
      </c>
      <c r="J9" s="4" t="s">
        <v>29</v>
      </c>
      <c r="K9" s="4" t="s">
        <v>30</v>
      </c>
      <c r="L9" s="4">
        <v>2000</v>
      </c>
      <c r="M9" s="4">
        <v>0</v>
      </c>
      <c r="N9" s="4">
        <v>0</v>
      </c>
      <c r="O9" s="4"/>
      <c r="P9" s="4"/>
      <c r="Q9" s="4"/>
      <c r="R9" s="4"/>
      <c r="S9" s="4"/>
      <c r="T9" s="4"/>
      <c r="U9" s="4"/>
      <c r="V9" s="60"/>
    </row>
    <row r="10" spans="1:22" x14ac:dyDescent="0.25">
      <c r="A10" s="4">
        <v>7</v>
      </c>
      <c r="B10" s="4" t="s">
        <v>5</v>
      </c>
      <c r="C10" s="4" t="s">
        <v>5</v>
      </c>
      <c r="D10" s="4">
        <v>14</v>
      </c>
      <c r="E10" s="4">
        <v>2.4500000000000002</v>
      </c>
      <c r="F10" s="4">
        <v>5</v>
      </c>
      <c r="G10" s="4" t="s">
        <v>5</v>
      </c>
      <c r="H10" s="4" t="s">
        <v>109</v>
      </c>
      <c r="I10" s="4" t="str">
        <f>_xlfn.CONCAT(Table2[[#This Row],[key]],"-",Table2[[#This Row],[Length]])</f>
        <v>14-0-2.45-CEW-CEW-5</v>
      </c>
      <c r="J10" s="4" t="s">
        <v>5</v>
      </c>
      <c r="K10" s="4" t="s">
        <v>5</v>
      </c>
      <c r="L10" s="4">
        <v>0</v>
      </c>
      <c r="M10" s="4">
        <v>0</v>
      </c>
      <c r="N10" s="4">
        <v>0</v>
      </c>
      <c r="O10" s="4"/>
      <c r="P10" s="4"/>
      <c r="Q10" s="4"/>
      <c r="R10" s="4"/>
      <c r="S10" s="4"/>
      <c r="T10" s="4"/>
      <c r="U10" s="4"/>
      <c r="V10" s="60"/>
    </row>
    <row r="11" spans="1:22" x14ac:dyDescent="0.25">
      <c r="A11" s="4">
        <v>8</v>
      </c>
      <c r="B11" s="4" t="s">
        <v>5</v>
      </c>
      <c r="C11" s="4" t="s">
        <v>5</v>
      </c>
      <c r="D11" s="4">
        <v>15.88</v>
      </c>
      <c r="E11" s="4">
        <v>1</v>
      </c>
      <c r="F11" s="4">
        <v>6.19</v>
      </c>
      <c r="G11" s="4">
        <v>2.2719999999999998</v>
      </c>
      <c r="H11" s="4" t="s">
        <v>32</v>
      </c>
      <c r="I11" s="4" t="str">
        <f>_xlfn.CONCAT(Table2[[#This Row],[key]],"-",Table2[[#This Row],[Length]])</f>
        <v>15.88-0-1-ERW 1-PE-6.19</v>
      </c>
      <c r="J11" s="4" t="s">
        <v>29</v>
      </c>
      <c r="K11" s="4" t="s">
        <v>30</v>
      </c>
      <c r="L11" s="4">
        <v>0</v>
      </c>
      <c r="M11" s="4">
        <v>0</v>
      </c>
      <c r="N11" s="4">
        <v>0</v>
      </c>
      <c r="O11" s="4"/>
      <c r="P11" s="4"/>
      <c r="Q11" s="4"/>
      <c r="R11" s="4"/>
      <c r="S11" s="4"/>
      <c r="T11" s="4"/>
      <c r="U11" s="4"/>
      <c r="V11" s="60"/>
    </row>
    <row r="12" spans="1:22" x14ac:dyDescent="0.25">
      <c r="A12" s="4">
        <v>9</v>
      </c>
      <c r="B12" s="4" t="s">
        <v>5</v>
      </c>
      <c r="C12" s="4">
        <v>943210</v>
      </c>
      <c r="D12" s="4">
        <v>15.88</v>
      </c>
      <c r="E12" s="4">
        <v>1.2</v>
      </c>
      <c r="F12" s="4">
        <v>6</v>
      </c>
      <c r="G12" s="4">
        <v>2.6070000000000002</v>
      </c>
      <c r="H12" s="4" t="s">
        <v>33</v>
      </c>
      <c r="I12" s="4" t="str">
        <f>_xlfn.CONCAT(Table2[[#This Row],[key]],"-",Table2[[#This Row],[Length]])</f>
        <v>15.88-0-1.2-ERW 1-PE-6</v>
      </c>
      <c r="J12" s="4" t="s">
        <v>29</v>
      </c>
      <c r="K12" s="4" t="s">
        <v>30</v>
      </c>
      <c r="L12" s="4">
        <v>5000</v>
      </c>
      <c r="M12" s="4">
        <v>8000</v>
      </c>
      <c r="N12" s="4">
        <v>0</v>
      </c>
      <c r="O12" s="4"/>
      <c r="P12" s="4"/>
      <c r="Q12" s="4"/>
      <c r="R12" s="4"/>
      <c r="S12" s="4"/>
      <c r="T12" s="4"/>
      <c r="U12" s="4"/>
      <c r="V12" s="60"/>
    </row>
    <row r="13" spans="1:22" x14ac:dyDescent="0.25">
      <c r="A13" s="4">
        <v>10</v>
      </c>
      <c r="B13" s="4" t="s">
        <v>5</v>
      </c>
      <c r="C13" s="4" t="s">
        <v>5</v>
      </c>
      <c r="D13" s="4">
        <v>15.88</v>
      </c>
      <c r="E13" s="4">
        <v>1.4</v>
      </c>
      <c r="F13" s="4">
        <v>6</v>
      </c>
      <c r="G13" s="4">
        <v>2.6070000000000002</v>
      </c>
      <c r="H13" s="4" t="s">
        <v>136</v>
      </c>
      <c r="I13" s="4" t="str">
        <f>_xlfn.CONCAT(Table2[[#This Row],[key]])</f>
        <v>Megh-15.88-0-1.4-6</v>
      </c>
      <c r="J13" s="4" t="s">
        <v>29</v>
      </c>
      <c r="K13" s="4" t="s">
        <v>30</v>
      </c>
      <c r="L13" s="4">
        <v>0</v>
      </c>
      <c r="M13" s="4">
        <v>0</v>
      </c>
      <c r="N13" s="4">
        <v>0</v>
      </c>
      <c r="O13" s="4"/>
      <c r="P13" s="4"/>
      <c r="Q13" s="4"/>
      <c r="R13" s="4"/>
      <c r="S13" s="4"/>
      <c r="T13" s="4"/>
      <c r="U13" s="4"/>
      <c r="V13" s="60"/>
    </row>
    <row r="14" spans="1:22" x14ac:dyDescent="0.25">
      <c r="A14" s="4">
        <v>11</v>
      </c>
      <c r="B14" s="4" t="s">
        <v>5</v>
      </c>
      <c r="C14" s="4" t="s">
        <v>5</v>
      </c>
      <c r="D14" s="4">
        <v>15.88</v>
      </c>
      <c r="E14" s="4">
        <v>1.6</v>
      </c>
      <c r="F14" s="4">
        <v>6</v>
      </c>
      <c r="G14" s="4">
        <v>3.3809999999999998</v>
      </c>
      <c r="H14" s="4" t="s">
        <v>34</v>
      </c>
      <c r="I14" s="4" t="str">
        <f>_xlfn.CONCAT(Table2[[#This Row],[key]],"-",Table2[[#This Row],[Length]])</f>
        <v>15.88-0-1.6-ERW 1-PE-6</v>
      </c>
      <c r="J14" s="4" t="s">
        <v>29</v>
      </c>
      <c r="K14" s="4" t="s">
        <v>30</v>
      </c>
      <c r="L14" s="4">
        <v>1000</v>
      </c>
      <c r="M14" s="4">
        <v>1000</v>
      </c>
      <c r="N14" s="4">
        <v>0</v>
      </c>
      <c r="O14" s="4"/>
      <c r="P14" s="4"/>
      <c r="Q14" s="4"/>
      <c r="R14" s="4"/>
      <c r="S14" s="4"/>
      <c r="T14" s="4"/>
      <c r="U14" s="4"/>
      <c r="V14" s="60"/>
    </row>
    <row r="15" spans="1:22" x14ac:dyDescent="0.25">
      <c r="A15" s="4">
        <v>12</v>
      </c>
      <c r="B15" s="4" t="s">
        <v>5</v>
      </c>
      <c r="C15" s="4">
        <v>943209</v>
      </c>
      <c r="D15" s="4">
        <v>15.88</v>
      </c>
      <c r="E15" s="4">
        <v>2</v>
      </c>
      <c r="F15" s="4">
        <v>6</v>
      </c>
      <c r="G15" s="4">
        <v>4.1079999999999997</v>
      </c>
      <c r="H15" s="4" t="s">
        <v>35</v>
      </c>
      <c r="I15" s="4" t="str">
        <f>_xlfn.CONCAT(Table2[[#This Row],[key]],"-",Table2[[#This Row],[Length]])</f>
        <v>15.88-0-2-ERW 1-PE-6</v>
      </c>
      <c r="J15" s="4" t="s">
        <v>29</v>
      </c>
      <c r="K15" s="4" t="s">
        <v>30</v>
      </c>
      <c r="L15" s="4">
        <v>3000</v>
      </c>
      <c r="M15" s="4">
        <v>0</v>
      </c>
      <c r="N15" s="4">
        <v>1000</v>
      </c>
      <c r="O15" s="4"/>
      <c r="P15" s="4"/>
      <c r="Q15" s="4"/>
      <c r="R15" s="4"/>
      <c r="S15" s="4"/>
      <c r="T15" s="4"/>
      <c r="U15" s="4"/>
      <c r="V15" s="60"/>
    </row>
    <row r="16" spans="1:22" x14ac:dyDescent="0.25">
      <c r="A16" s="4">
        <v>13</v>
      </c>
      <c r="B16" s="4" t="s">
        <v>5</v>
      </c>
      <c r="C16" s="4" t="s">
        <v>5</v>
      </c>
      <c r="D16" s="4">
        <v>16.8</v>
      </c>
      <c r="E16" s="4">
        <v>2.4</v>
      </c>
      <c r="F16" s="4">
        <v>4.4000000000000004</v>
      </c>
      <c r="G16" s="4">
        <v>3.75</v>
      </c>
      <c r="H16" s="4" t="s">
        <v>36</v>
      </c>
      <c r="I16" s="4" t="str">
        <f>_xlfn.CONCAT(Table2[[#This Row],[key]],"-",Table2[[#This Row],[Length]])</f>
        <v>16.1-10.4-2.7-CEW-CEW-4.4</v>
      </c>
      <c r="J16" s="4" t="s">
        <v>29</v>
      </c>
      <c r="K16" s="4" t="s">
        <v>30</v>
      </c>
      <c r="L16" s="4">
        <v>0</v>
      </c>
      <c r="M16" s="4">
        <v>0</v>
      </c>
      <c r="N16" s="4">
        <v>0</v>
      </c>
      <c r="O16" s="4"/>
      <c r="P16" s="4"/>
      <c r="Q16" s="4"/>
      <c r="R16" s="4"/>
      <c r="S16" s="4"/>
      <c r="T16" s="4"/>
      <c r="U16" s="4"/>
      <c r="V16" s="60"/>
    </row>
    <row r="17" spans="1:22" x14ac:dyDescent="0.25">
      <c r="A17" s="4">
        <v>14</v>
      </c>
      <c r="B17" s="4" t="s">
        <v>5</v>
      </c>
      <c r="C17" s="4" t="s">
        <v>5</v>
      </c>
      <c r="D17" s="4">
        <v>18.2</v>
      </c>
      <c r="E17" s="4">
        <v>1</v>
      </c>
      <c r="F17" s="4">
        <v>6.1449999999999996</v>
      </c>
      <c r="G17" s="4">
        <v>2.6070000000000002</v>
      </c>
      <c r="H17" s="4" t="s">
        <v>37</v>
      </c>
      <c r="I17" s="4" t="str">
        <f>_xlfn.CONCAT(Table2[[#This Row],[key]],"-",Table2[[#This Row],[Length]])</f>
        <v>18.2-0-1-ERW 1-PE-6.145</v>
      </c>
      <c r="J17" s="4" t="s">
        <v>29</v>
      </c>
      <c r="K17" s="4" t="s">
        <v>30</v>
      </c>
      <c r="L17" s="4">
        <v>5000</v>
      </c>
      <c r="M17" s="4">
        <v>0</v>
      </c>
      <c r="N17" s="4">
        <v>0</v>
      </c>
      <c r="O17" s="4"/>
      <c r="P17" s="4"/>
      <c r="Q17" s="4"/>
      <c r="R17" s="4"/>
      <c r="S17" s="4"/>
      <c r="T17" s="4"/>
      <c r="U17" s="4"/>
      <c r="V17" s="60"/>
    </row>
    <row r="18" spans="1:22" x14ac:dyDescent="0.25">
      <c r="A18" s="4">
        <v>15</v>
      </c>
      <c r="B18" s="4" t="s">
        <v>5</v>
      </c>
      <c r="C18" s="4">
        <v>943210</v>
      </c>
      <c r="D18" s="4">
        <v>19.05</v>
      </c>
      <c r="E18" s="4">
        <v>1.4</v>
      </c>
      <c r="F18" s="4">
        <v>6</v>
      </c>
      <c r="G18" s="4">
        <v>3.6560000000000001</v>
      </c>
      <c r="H18" s="4" t="s">
        <v>137</v>
      </c>
      <c r="I18" s="4" t="str">
        <f>_xlfn.CONCAT(Table2[[#This Row],[key]])</f>
        <v>Megh-19.05-0-1.4-6</v>
      </c>
      <c r="J18" s="4" t="s">
        <v>38</v>
      </c>
      <c r="K18" s="4" t="s">
        <v>30</v>
      </c>
      <c r="L18" s="4">
        <v>11000</v>
      </c>
      <c r="M18" s="4">
        <v>0</v>
      </c>
      <c r="N18" s="4">
        <v>0</v>
      </c>
      <c r="O18" s="4"/>
      <c r="P18" s="4"/>
      <c r="Q18" s="4"/>
      <c r="R18" s="4"/>
      <c r="S18" s="4"/>
      <c r="T18" s="4"/>
      <c r="U18" s="4"/>
      <c r="V18" s="60"/>
    </row>
    <row r="19" spans="1:22" x14ac:dyDescent="0.25">
      <c r="A19" s="4">
        <v>16</v>
      </c>
      <c r="B19" s="4" t="s">
        <v>5</v>
      </c>
      <c r="C19" s="4">
        <v>943209</v>
      </c>
      <c r="D19" s="4">
        <v>19.05</v>
      </c>
      <c r="E19" s="4">
        <v>1.6</v>
      </c>
      <c r="F19" s="4">
        <v>6</v>
      </c>
      <c r="G19" s="4">
        <v>4.0620000000000003</v>
      </c>
      <c r="H19" s="4" t="s">
        <v>39</v>
      </c>
      <c r="I19" s="4" t="str">
        <f>_xlfn.CONCAT(Table2[[#This Row],[key]],"-",Table2[[#This Row],[Length]])</f>
        <v>19.05-0-1.6-ERW 1-PE-6</v>
      </c>
      <c r="J19" s="4" t="s">
        <v>29</v>
      </c>
      <c r="K19" s="4" t="s">
        <v>30</v>
      </c>
      <c r="L19" s="4">
        <v>25000</v>
      </c>
      <c r="M19" s="4">
        <v>0</v>
      </c>
      <c r="N19" s="4">
        <v>0</v>
      </c>
      <c r="O19" s="4"/>
      <c r="P19" s="4"/>
      <c r="Q19" s="4"/>
      <c r="R19" s="4"/>
      <c r="S19" s="4"/>
      <c r="T19" s="4"/>
      <c r="U19" s="4"/>
      <c r="V19" s="60"/>
    </row>
    <row r="20" spans="1:22" x14ac:dyDescent="0.25">
      <c r="A20" s="4">
        <v>17</v>
      </c>
      <c r="B20" s="4" t="s">
        <v>5</v>
      </c>
      <c r="C20" s="4" t="s">
        <v>5</v>
      </c>
      <c r="D20" s="4">
        <v>19.05</v>
      </c>
      <c r="E20" s="4">
        <v>1.6</v>
      </c>
      <c r="F20" s="4">
        <v>6.2</v>
      </c>
      <c r="G20" s="4">
        <v>4.1310000000000002</v>
      </c>
      <c r="H20" s="4" t="s">
        <v>39</v>
      </c>
      <c r="I20" s="4" t="str">
        <f>_xlfn.CONCAT(Table2[[#This Row],[key]],"-",Table2[[#This Row],[Length]])</f>
        <v>19.05-0-1.6-ERW 1-PE-6.2</v>
      </c>
      <c r="J20" s="4" t="s">
        <v>29</v>
      </c>
      <c r="K20" s="4" t="s">
        <v>30</v>
      </c>
      <c r="L20" s="4">
        <v>0</v>
      </c>
      <c r="M20" s="4">
        <v>0</v>
      </c>
      <c r="N20" s="4">
        <v>0</v>
      </c>
      <c r="O20" s="4"/>
      <c r="P20" s="4"/>
      <c r="Q20" s="4"/>
      <c r="R20" s="4"/>
      <c r="S20" s="4"/>
      <c r="T20" s="4"/>
      <c r="U20" s="4"/>
      <c r="V20" s="60"/>
    </row>
    <row r="21" spans="1:22" x14ac:dyDescent="0.25">
      <c r="A21" s="4">
        <v>18</v>
      </c>
      <c r="B21" s="4" t="s">
        <v>5</v>
      </c>
      <c r="C21" s="4">
        <v>943209</v>
      </c>
      <c r="D21" s="4">
        <v>19.05</v>
      </c>
      <c r="E21" s="4">
        <v>2</v>
      </c>
      <c r="F21" s="4">
        <v>5.8</v>
      </c>
      <c r="G21" s="4">
        <v>4.8780000000000001</v>
      </c>
      <c r="H21" s="4" t="s">
        <v>40</v>
      </c>
      <c r="I21" s="4" t="s">
        <v>168</v>
      </c>
      <c r="J21" s="4" t="s">
        <v>29</v>
      </c>
      <c r="K21" s="4" t="s">
        <v>30</v>
      </c>
      <c r="L21" s="4">
        <v>17000</v>
      </c>
      <c r="M21" s="4">
        <v>40000</v>
      </c>
      <c r="N21" s="4">
        <v>4000</v>
      </c>
      <c r="O21" s="4"/>
      <c r="P21" s="4">
        <v>11000</v>
      </c>
      <c r="Q21" s="4"/>
      <c r="R21" s="4"/>
      <c r="S21" s="4"/>
      <c r="T21" s="4"/>
      <c r="U21" s="4"/>
      <c r="V21" s="60"/>
    </row>
    <row r="22" spans="1:22" x14ac:dyDescent="0.25">
      <c r="A22" s="4">
        <v>19</v>
      </c>
      <c r="B22" s="4" t="s">
        <v>5</v>
      </c>
      <c r="C22" s="4" t="s">
        <v>5</v>
      </c>
      <c r="D22" s="4">
        <v>19.05</v>
      </c>
      <c r="E22" s="4">
        <v>2</v>
      </c>
      <c r="F22" s="4">
        <v>5.8410000000000002</v>
      </c>
      <c r="G22" s="4">
        <v>4.9119999999999999</v>
      </c>
      <c r="H22" s="4" t="s">
        <v>40</v>
      </c>
      <c r="I22" s="4" t="s">
        <v>169</v>
      </c>
      <c r="J22" s="4" t="s">
        <v>29</v>
      </c>
      <c r="K22" s="4" t="s">
        <v>30</v>
      </c>
      <c r="L22" s="4">
        <v>48000</v>
      </c>
      <c r="M22" s="4">
        <v>10000</v>
      </c>
      <c r="N22" s="4">
        <v>0</v>
      </c>
      <c r="O22" s="4"/>
      <c r="P22" s="4"/>
      <c r="Q22" s="4"/>
      <c r="R22" s="4"/>
      <c r="S22" s="4"/>
      <c r="T22" s="4"/>
      <c r="U22" s="4"/>
      <c r="V22" s="60"/>
    </row>
    <row r="23" spans="1:22" x14ac:dyDescent="0.25">
      <c r="A23" s="4">
        <v>20</v>
      </c>
      <c r="B23" s="4" t="s">
        <v>5</v>
      </c>
      <c r="C23" s="4" t="s">
        <v>5</v>
      </c>
      <c r="D23" s="4">
        <v>19.05</v>
      </c>
      <c r="E23" s="4">
        <v>2.2999999999999998</v>
      </c>
      <c r="F23" s="4">
        <v>6</v>
      </c>
      <c r="G23" s="4">
        <v>6.6509999999999998</v>
      </c>
      <c r="H23" s="4" t="s">
        <v>41</v>
      </c>
      <c r="I23" s="4" t="str">
        <f>_xlfn.CONCAT(Table2[[#This Row],[key]],"-",Table2[[#This Row],[Length]])</f>
        <v>19.05-0-2.3-ERW 1-PE-6</v>
      </c>
      <c r="J23" s="4" t="s">
        <v>29</v>
      </c>
      <c r="K23" s="4" t="s">
        <v>30</v>
      </c>
      <c r="L23" s="4">
        <v>4000</v>
      </c>
      <c r="M23" s="4">
        <v>0</v>
      </c>
      <c r="N23" s="4">
        <v>2500</v>
      </c>
      <c r="O23" s="4"/>
      <c r="P23" s="4"/>
      <c r="Q23" s="4"/>
      <c r="R23" s="4"/>
      <c r="S23" s="4"/>
      <c r="T23" s="4"/>
      <c r="U23" s="4"/>
      <c r="V23" s="60"/>
    </row>
    <row r="24" spans="1:22" x14ac:dyDescent="0.25">
      <c r="A24" s="4">
        <v>21</v>
      </c>
      <c r="B24" s="4" t="s">
        <v>5</v>
      </c>
      <c r="C24" s="4" t="s">
        <v>5</v>
      </c>
      <c r="D24" s="4">
        <v>19.05</v>
      </c>
      <c r="E24" s="4">
        <v>2.2999999999999998</v>
      </c>
      <c r="F24" s="4">
        <v>6.32</v>
      </c>
      <c r="G24" s="4">
        <v>6.6509999999999998</v>
      </c>
      <c r="H24" s="4" t="s">
        <v>41</v>
      </c>
      <c r="I24" s="4" t="str">
        <f>_xlfn.CONCAT(Table2[[#This Row],[key]],"-",Table2[[#This Row],[Length]])</f>
        <v>19.05-0-2.3-ERW 1-PE-6.32</v>
      </c>
      <c r="J24" s="4" t="s">
        <v>29</v>
      </c>
      <c r="K24" s="4" t="s">
        <v>30</v>
      </c>
      <c r="L24" s="4">
        <v>0</v>
      </c>
      <c r="M24" s="4"/>
      <c r="N24" s="4">
        <v>0</v>
      </c>
      <c r="O24" s="4"/>
      <c r="P24" s="4"/>
      <c r="Q24" s="4"/>
      <c r="R24" s="4"/>
      <c r="S24" s="4"/>
      <c r="T24" s="4"/>
      <c r="U24" s="4"/>
      <c r="V24" s="60"/>
    </row>
    <row r="25" spans="1:22" x14ac:dyDescent="0.25">
      <c r="A25" s="4">
        <v>22</v>
      </c>
      <c r="B25" s="4" t="s">
        <v>5</v>
      </c>
      <c r="C25" s="4" t="s">
        <v>5</v>
      </c>
      <c r="D25" s="4">
        <v>19.05</v>
      </c>
      <c r="E25" s="4">
        <v>2.2999999999999998</v>
      </c>
      <c r="F25" s="4">
        <v>7</v>
      </c>
      <c r="G25" s="4" t="s">
        <v>5</v>
      </c>
      <c r="H25" s="4" t="s">
        <v>41</v>
      </c>
      <c r="I25" s="4" t="str">
        <f>_xlfn.CONCAT(Table2[[#This Row],[key]],"-",Table2[[#This Row],[Length]])</f>
        <v>19.05-0-2.3-ERW 1-PE-7</v>
      </c>
      <c r="J25" s="4" t="s">
        <v>5</v>
      </c>
      <c r="K25" s="4" t="s">
        <v>5</v>
      </c>
      <c r="L25" s="4">
        <v>30000</v>
      </c>
      <c r="M25" s="4">
        <v>15000</v>
      </c>
      <c r="N25" s="4"/>
      <c r="O25" s="4"/>
      <c r="P25" s="4"/>
      <c r="Q25" s="4"/>
      <c r="R25" s="4"/>
      <c r="S25" s="4"/>
      <c r="T25" s="4"/>
      <c r="U25" s="4"/>
      <c r="V25" s="60"/>
    </row>
    <row r="26" spans="1:22" x14ac:dyDescent="0.25">
      <c r="A26" s="4">
        <v>23</v>
      </c>
      <c r="B26" s="4" t="s">
        <v>5</v>
      </c>
      <c r="C26" s="4" t="s">
        <v>5</v>
      </c>
      <c r="D26" s="4">
        <v>19</v>
      </c>
      <c r="E26" s="4">
        <v>3.25</v>
      </c>
      <c r="F26" s="4">
        <v>6.2</v>
      </c>
      <c r="G26" s="4" t="s">
        <v>5</v>
      </c>
      <c r="H26" s="4" t="s">
        <v>111</v>
      </c>
      <c r="I26" s="4" t="str">
        <f>_xlfn.CONCAT(Table2[[#This Row],[key]],"-",Table2[[#This Row],[Length]])</f>
        <v>19-12.5-3.25-CEW-CEW-6.2</v>
      </c>
      <c r="J26" s="4" t="s">
        <v>5</v>
      </c>
      <c r="K26" s="4" t="s">
        <v>5</v>
      </c>
      <c r="L26" s="4">
        <v>0</v>
      </c>
      <c r="M26" s="4"/>
      <c r="N26" s="4">
        <v>0</v>
      </c>
      <c r="O26" s="4"/>
      <c r="P26" s="4"/>
      <c r="Q26" s="4"/>
      <c r="R26" s="4"/>
      <c r="S26" s="4"/>
      <c r="T26" s="4"/>
      <c r="U26" s="4"/>
      <c r="V26" s="60"/>
    </row>
    <row r="27" spans="1:22" x14ac:dyDescent="0.25">
      <c r="A27" s="4">
        <v>24</v>
      </c>
      <c r="B27" s="4" t="s">
        <v>5</v>
      </c>
      <c r="C27" s="4">
        <v>943209</v>
      </c>
      <c r="D27" s="4">
        <v>21.4</v>
      </c>
      <c r="E27" s="4">
        <v>1.6</v>
      </c>
      <c r="F27" s="4">
        <v>6</v>
      </c>
      <c r="G27" s="4">
        <v>4.6879999999999997</v>
      </c>
      <c r="H27" s="4" t="s">
        <v>42</v>
      </c>
      <c r="I27" s="4" t="str">
        <f>_xlfn.CONCAT(Table2[[#This Row],[key]],"-",Table2[[#This Row],[Length]])</f>
        <v>21.4-0-1.6-ERW 1-PE-6</v>
      </c>
      <c r="J27" s="4" t="s">
        <v>29</v>
      </c>
      <c r="K27" s="4" t="s">
        <v>30</v>
      </c>
      <c r="L27" s="4">
        <v>5000</v>
      </c>
      <c r="M27" s="4">
        <v>0</v>
      </c>
      <c r="N27" s="4">
        <v>0</v>
      </c>
      <c r="O27" s="4"/>
      <c r="P27" s="4"/>
      <c r="Q27" s="4"/>
      <c r="R27" s="4"/>
      <c r="S27" s="4"/>
      <c r="T27" s="4"/>
      <c r="U27" s="4"/>
      <c r="V27" s="60"/>
    </row>
    <row r="28" spans="1:22" x14ac:dyDescent="0.25">
      <c r="A28" s="4">
        <v>25</v>
      </c>
      <c r="B28" s="4" t="s">
        <v>5</v>
      </c>
      <c r="C28" s="4">
        <v>943209</v>
      </c>
      <c r="D28" s="4">
        <v>21.4</v>
      </c>
      <c r="E28" s="4">
        <v>2</v>
      </c>
      <c r="F28" s="4">
        <v>5.66</v>
      </c>
      <c r="G28" s="4" t="s">
        <v>5</v>
      </c>
      <c r="H28" s="4" t="s">
        <v>112</v>
      </c>
      <c r="I28" s="4" t="str">
        <f>_xlfn.CONCAT(Table2[[#This Row],[key]],"-",Table2[[#This Row],[Length]])</f>
        <v>21.4-0-2-ERW 1-PE-5.66</v>
      </c>
      <c r="J28" s="4" t="s">
        <v>29</v>
      </c>
      <c r="K28" s="4" t="s">
        <v>30</v>
      </c>
      <c r="L28" s="4">
        <v>0</v>
      </c>
      <c r="M28" s="4">
        <v>0</v>
      </c>
      <c r="N28" s="4">
        <v>0</v>
      </c>
      <c r="O28" s="4"/>
      <c r="P28" s="4"/>
      <c r="Q28" s="4"/>
      <c r="R28" s="4"/>
      <c r="S28" s="4"/>
      <c r="T28" s="4"/>
      <c r="U28" s="4"/>
      <c r="V28" s="60"/>
    </row>
    <row r="29" spans="1:22" x14ac:dyDescent="0.25">
      <c r="A29" s="4">
        <v>26</v>
      </c>
      <c r="B29" s="4" t="s">
        <v>5</v>
      </c>
      <c r="C29" s="4" t="s">
        <v>5</v>
      </c>
      <c r="D29" s="4">
        <v>22.2</v>
      </c>
      <c r="E29" s="4">
        <v>1.2</v>
      </c>
      <c r="F29" s="4">
        <v>5.3</v>
      </c>
      <c r="G29" s="4" t="s">
        <v>5</v>
      </c>
      <c r="H29" s="4" t="s">
        <v>43</v>
      </c>
      <c r="I29" s="4" t="str">
        <f>_xlfn.CONCAT(Table2[[#This Row],[key]],"-",Table2[[#This Row],[Length]])</f>
        <v>22.23-0-1.2-ERW 1-PE-5.3</v>
      </c>
      <c r="J29" s="4" t="s">
        <v>5</v>
      </c>
      <c r="K29" s="4" t="s">
        <v>5</v>
      </c>
      <c r="L29" s="4">
        <v>9500</v>
      </c>
      <c r="M29" s="4">
        <v>10000</v>
      </c>
      <c r="N29" s="4">
        <v>2000</v>
      </c>
      <c r="O29" s="4"/>
      <c r="P29" s="4"/>
      <c r="Q29" s="4"/>
      <c r="R29" s="4"/>
      <c r="S29" s="4"/>
      <c r="T29" s="4"/>
      <c r="U29" s="4"/>
      <c r="V29" s="60"/>
    </row>
    <row r="30" spans="1:22" x14ac:dyDescent="0.25">
      <c r="A30" s="4">
        <v>27</v>
      </c>
      <c r="B30" s="4" t="s">
        <v>5</v>
      </c>
      <c r="C30" s="4">
        <v>943209</v>
      </c>
      <c r="D30" s="4">
        <v>22.2</v>
      </c>
      <c r="E30" s="4">
        <v>1.2</v>
      </c>
      <c r="F30" s="4">
        <v>5.87</v>
      </c>
      <c r="G30" s="4">
        <v>3.6480000000000001</v>
      </c>
      <c r="H30" s="4" t="s">
        <v>43</v>
      </c>
      <c r="I30" s="4" t="str">
        <f>_xlfn.CONCAT(Table2[[#This Row],[key]],"-",Table2[[#This Row],[Length]])</f>
        <v>22.23-0-1.2-ERW 1-PE-5.87</v>
      </c>
      <c r="J30" s="4" t="s">
        <v>29</v>
      </c>
      <c r="K30" s="4" t="s">
        <v>30</v>
      </c>
      <c r="L30" s="4">
        <v>10000</v>
      </c>
      <c r="M30" s="4">
        <v>12000</v>
      </c>
      <c r="N30" s="4">
        <v>2500</v>
      </c>
      <c r="O30" s="4"/>
      <c r="P30" s="4"/>
      <c r="Q30" s="4"/>
      <c r="R30" s="4"/>
      <c r="S30" s="4"/>
      <c r="T30" s="4"/>
      <c r="U30" s="4"/>
      <c r="V30" s="60"/>
    </row>
    <row r="31" spans="1:22" x14ac:dyDescent="0.25">
      <c r="A31" s="4">
        <v>28</v>
      </c>
      <c r="B31" s="4" t="s">
        <v>5</v>
      </c>
      <c r="C31" s="4">
        <v>943209</v>
      </c>
      <c r="D31" s="4">
        <v>22.2</v>
      </c>
      <c r="E31" s="4">
        <v>1.4</v>
      </c>
      <c r="F31" s="4">
        <v>6</v>
      </c>
      <c r="G31" s="4">
        <v>4.3090000000000002</v>
      </c>
      <c r="H31" s="4" t="s">
        <v>138</v>
      </c>
      <c r="I31" s="4" t="str">
        <f>_xlfn.CONCAT(Table2[[#This Row],[key]])</f>
        <v>Megh-22.2-0-1.4-6</v>
      </c>
      <c r="J31" s="4" t="s">
        <v>38</v>
      </c>
      <c r="K31" s="4" t="s">
        <v>30</v>
      </c>
      <c r="L31" s="4">
        <v>6000</v>
      </c>
      <c r="M31" s="4">
        <v>0</v>
      </c>
      <c r="N31" s="4">
        <v>0</v>
      </c>
      <c r="O31" s="4"/>
      <c r="P31" s="4"/>
      <c r="Q31" s="4"/>
      <c r="R31" s="4"/>
      <c r="S31" s="4"/>
      <c r="T31" s="4"/>
      <c r="U31" s="4"/>
      <c r="V31" s="60"/>
    </row>
    <row r="32" spans="1:22" x14ac:dyDescent="0.25">
      <c r="A32" s="4">
        <v>29</v>
      </c>
      <c r="B32" s="4" t="s">
        <v>5</v>
      </c>
      <c r="C32" s="4">
        <v>943209</v>
      </c>
      <c r="D32" s="4">
        <v>22.2</v>
      </c>
      <c r="E32" s="4">
        <v>1.6</v>
      </c>
      <c r="F32" s="4">
        <v>5.27</v>
      </c>
      <c r="G32" s="4">
        <v>4.609</v>
      </c>
      <c r="H32" s="4" t="s">
        <v>44</v>
      </c>
      <c r="I32" s="4" t="str">
        <f>_xlfn.CONCAT(Table2[[#This Row],[key]],"-",Table2[[#This Row],[Length]])</f>
        <v>22.23-0-1.6-ERW 1-PE-5.27</v>
      </c>
      <c r="J32" s="4" t="s">
        <v>29</v>
      </c>
      <c r="K32" s="4" t="s">
        <v>30</v>
      </c>
      <c r="L32" s="4">
        <v>1000</v>
      </c>
      <c r="M32" s="4">
        <v>25000</v>
      </c>
      <c r="N32" s="4">
        <v>2000</v>
      </c>
      <c r="O32" s="4">
        <v>23000</v>
      </c>
      <c r="P32" s="4"/>
      <c r="Q32" s="4"/>
      <c r="R32" s="4"/>
      <c r="S32" s="4"/>
      <c r="T32" s="4"/>
      <c r="U32" s="4"/>
      <c r="V32" s="60"/>
    </row>
    <row r="33" spans="1:22" x14ac:dyDescent="0.25">
      <c r="A33" s="4">
        <v>30</v>
      </c>
      <c r="B33" s="4" t="s">
        <v>5</v>
      </c>
      <c r="C33" s="4">
        <v>943209</v>
      </c>
      <c r="D33" s="4">
        <v>22.2</v>
      </c>
      <c r="E33" s="4">
        <v>1.6</v>
      </c>
      <c r="F33" s="4">
        <v>5.2640000000000002</v>
      </c>
      <c r="G33" s="4">
        <v>4.2839999999999998</v>
      </c>
      <c r="H33" s="4" t="s">
        <v>44</v>
      </c>
      <c r="I33" s="4" t="str">
        <f>_xlfn.CONCAT(Table2[[#This Row],[key]],"-",Table2[[#This Row],[Length]])</f>
        <v>22.23-0-1.6-ERW 1-PE-5.264</v>
      </c>
      <c r="J33" s="4" t="s">
        <v>29</v>
      </c>
      <c r="K33" s="4" t="s">
        <v>30</v>
      </c>
      <c r="L33" s="4">
        <v>55000</v>
      </c>
      <c r="M33" s="4">
        <v>0</v>
      </c>
      <c r="N33" s="4">
        <v>0</v>
      </c>
      <c r="O33" s="4"/>
      <c r="P33" s="4"/>
      <c r="Q33" s="4"/>
      <c r="R33" s="4"/>
      <c r="S33" s="4"/>
      <c r="T33" s="4"/>
      <c r="U33" s="4"/>
      <c r="V33" s="60"/>
    </row>
    <row r="34" spans="1:22" x14ac:dyDescent="0.25">
      <c r="A34" s="4">
        <v>31</v>
      </c>
      <c r="B34" s="4" t="s">
        <v>5</v>
      </c>
      <c r="C34" s="4">
        <v>943209</v>
      </c>
      <c r="D34" s="4">
        <v>22.2</v>
      </c>
      <c r="E34" s="4">
        <v>1.6</v>
      </c>
      <c r="F34" s="4">
        <v>5.6849999999999996</v>
      </c>
      <c r="G34" s="4">
        <v>4.8769999999999998</v>
      </c>
      <c r="H34" s="4" t="s">
        <v>44</v>
      </c>
      <c r="I34" s="4" t="str">
        <f>_xlfn.CONCAT(Table2[[#This Row],[key]],"-",Table2[[#This Row],[Length]])</f>
        <v>22.23-0-1.6-ERW 1-PE-5.685</v>
      </c>
      <c r="J34" s="4" t="s">
        <v>29</v>
      </c>
      <c r="K34" s="4" t="s">
        <v>30</v>
      </c>
      <c r="L34" s="4">
        <v>0</v>
      </c>
      <c r="M34" s="4">
        <v>0</v>
      </c>
      <c r="N34" s="4">
        <v>1000</v>
      </c>
      <c r="O34" s="4"/>
      <c r="P34" s="4"/>
      <c r="Q34" s="4"/>
      <c r="R34" s="4"/>
      <c r="S34" s="4"/>
      <c r="T34" s="4"/>
      <c r="U34" s="4"/>
      <c r="V34" s="60"/>
    </row>
    <row r="35" spans="1:22" x14ac:dyDescent="0.25">
      <c r="A35" s="4">
        <v>32</v>
      </c>
      <c r="B35" s="4" t="s">
        <v>5</v>
      </c>
      <c r="C35" s="4">
        <v>943209</v>
      </c>
      <c r="D35" s="4">
        <v>22.2</v>
      </c>
      <c r="E35" s="4">
        <v>1.6</v>
      </c>
      <c r="F35" s="4">
        <v>5.8</v>
      </c>
      <c r="G35" s="4">
        <v>4.609</v>
      </c>
      <c r="H35" s="4" t="s">
        <v>44</v>
      </c>
      <c r="I35" s="4" t="str">
        <f>_xlfn.CONCAT(Table2[[#This Row],[key]],"-",Table2[[#This Row],[Length]])</f>
        <v>22.23-0-1.6-ERW 1-PE-5.8</v>
      </c>
      <c r="J35" s="4" t="s">
        <v>29</v>
      </c>
      <c r="K35" s="4" t="s">
        <v>30</v>
      </c>
      <c r="L35" s="4">
        <v>0</v>
      </c>
      <c r="M35" s="4">
        <v>0</v>
      </c>
      <c r="N35" s="4">
        <v>0</v>
      </c>
      <c r="O35" s="4"/>
      <c r="P35" s="4"/>
      <c r="Q35" s="4"/>
      <c r="R35" s="4"/>
      <c r="S35" s="4"/>
      <c r="T35" s="4"/>
      <c r="U35" s="4"/>
      <c r="V35" s="60"/>
    </row>
    <row r="36" spans="1:22" x14ac:dyDescent="0.25">
      <c r="A36" s="4">
        <v>33</v>
      </c>
      <c r="B36" s="4" t="s">
        <v>5</v>
      </c>
      <c r="C36" s="4">
        <v>943209</v>
      </c>
      <c r="D36" s="4">
        <v>22.2</v>
      </c>
      <c r="E36" s="4">
        <v>1.6</v>
      </c>
      <c r="F36" s="4">
        <v>5.67</v>
      </c>
      <c r="G36" s="4">
        <v>4.8769999999999998</v>
      </c>
      <c r="H36" s="4" t="s">
        <v>44</v>
      </c>
      <c r="I36" s="4" t="str">
        <f>_xlfn.CONCAT(Table2[[#This Row],[key]],"-",Table2[[#This Row],[Length]])</f>
        <v>22.23-0-1.6-ERW 1-PE-5.67</v>
      </c>
      <c r="J36" s="4" t="s">
        <v>29</v>
      </c>
      <c r="K36" s="4" t="s">
        <v>30</v>
      </c>
      <c r="L36" s="4">
        <v>50000</v>
      </c>
      <c r="M36" s="4">
        <v>50000</v>
      </c>
      <c r="N36" s="4">
        <v>0</v>
      </c>
      <c r="O36" s="4"/>
      <c r="P36" s="4"/>
      <c r="Q36" s="4"/>
      <c r="R36" s="4"/>
      <c r="S36" s="4"/>
      <c r="T36" s="4"/>
      <c r="U36" s="4"/>
      <c r="V36" s="60"/>
    </row>
    <row r="37" spans="1:22" x14ac:dyDescent="0.25">
      <c r="A37" s="4">
        <v>34</v>
      </c>
      <c r="B37" s="4" t="s">
        <v>5</v>
      </c>
      <c r="C37" s="4">
        <v>943209</v>
      </c>
      <c r="D37" s="4">
        <v>22.2</v>
      </c>
      <c r="E37" s="4">
        <v>2</v>
      </c>
      <c r="F37" s="4">
        <v>5.0999999999999996</v>
      </c>
      <c r="G37" s="4">
        <v>5.0810000000000004</v>
      </c>
      <c r="H37" s="4" t="s">
        <v>45</v>
      </c>
      <c r="I37" s="4" t="str">
        <f>_xlfn.CONCAT(Table2[[#This Row],[key]],"-",Table2[[#This Row],[Length]])</f>
        <v>22.23-0-2-ERW 1-PE-5.1</v>
      </c>
      <c r="J37" s="4" t="s">
        <v>29</v>
      </c>
      <c r="K37" s="4" t="s">
        <v>30</v>
      </c>
      <c r="L37" s="4">
        <v>0</v>
      </c>
      <c r="M37" s="4">
        <v>0</v>
      </c>
      <c r="N37" s="4">
        <v>0</v>
      </c>
      <c r="O37" s="4"/>
      <c r="P37" s="4"/>
      <c r="Q37" s="4"/>
      <c r="R37" s="4"/>
      <c r="S37" s="4"/>
      <c r="T37" s="4"/>
      <c r="U37" s="4"/>
      <c r="V37" s="60"/>
    </row>
    <row r="38" spans="1:22" x14ac:dyDescent="0.25">
      <c r="A38" s="4">
        <v>35</v>
      </c>
      <c r="B38" s="4" t="s">
        <v>5</v>
      </c>
      <c r="C38" s="4">
        <v>943209</v>
      </c>
      <c r="D38" s="4">
        <v>22.2</v>
      </c>
      <c r="E38" s="4">
        <v>2</v>
      </c>
      <c r="F38" s="4">
        <v>5.4</v>
      </c>
      <c r="G38" s="4">
        <v>5.38</v>
      </c>
      <c r="H38" s="4" t="s">
        <v>46</v>
      </c>
      <c r="I38" s="4" t="str">
        <f>_xlfn.CONCAT(Table2[[#This Row],[key]],"-",Table2[[#This Row],[Length]])</f>
        <v>22.23-0-2-ERW 1-FC-5.4</v>
      </c>
      <c r="J38" s="4" t="s">
        <v>29</v>
      </c>
      <c r="K38" s="4" t="s">
        <v>47</v>
      </c>
      <c r="L38" s="4">
        <v>0</v>
      </c>
      <c r="M38" s="4">
        <v>10000</v>
      </c>
      <c r="N38" s="4">
        <v>0</v>
      </c>
      <c r="O38" s="4"/>
      <c r="P38" s="4"/>
      <c r="Q38" s="4"/>
      <c r="R38" s="4"/>
      <c r="S38" s="4"/>
      <c r="T38" s="4"/>
      <c r="U38" s="4"/>
      <c r="V38" s="60"/>
    </row>
    <row r="39" spans="1:22" x14ac:dyDescent="0.25">
      <c r="A39" s="4">
        <v>36</v>
      </c>
      <c r="B39" s="4" t="s">
        <v>5</v>
      </c>
      <c r="C39" s="4" t="s">
        <v>5</v>
      </c>
      <c r="D39" s="4">
        <v>22.2</v>
      </c>
      <c r="E39" s="4">
        <v>2</v>
      </c>
      <c r="F39" s="4">
        <v>5.5</v>
      </c>
      <c r="G39" s="4" t="s">
        <v>5</v>
      </c>
      <c r="H39" s="4" t="s">
        <v>5</v>
      </c>
      <c r="I39" s="4"/>
      <c r="J39" s="4" t="s">
        <v>5</v>
      </c>
      <c r="K39" s="4" t="s">
        <v>5</v>
      </c>
      <c r="L39" s="4">
        <v>0</v>
      </c>
      <c r="M39" s="4">
        <v>0</v>
      </c>
      <c r="N39" s="4">
        <v>0</v>
      </c>
      <c r="O39" s="4"/>
      <c r="P39" s="4"/>
      <c r="Q39" s="4"/>
      <c r="R39" s="4"/>
      <c r="S39" s="4"/>
      <c r="T39" s="4"/>
      <c r="U39" s="4"/>
      <c r="V39" s="60"/>
    </row>
    <row r="40" spans="1:22" x14ac:dyDescent="0.25">
      <c r="A40" s="4">
        <v>37</v>
      </c>
      <c r="B40" s="4" t="s">
        <v>5</v>
      </c>
      <c r="C40" s="4" t="s">
        <v>5</v>
      </c>
      <c r="D40" s="4">
        <v>22.2</v>
      </c>
      <c r="E40" s="4">
        <v>2</v>
      </c>
      <c r="F40" s="4">
        <v>5.65</v>
      </c>
      <c r="G40" s="4" t="s">
        <v>5</v>
      </c>
      <c r="H40" s="4" t="s">
        <v>5</v>
      </c>
      <c r="I40" s="4"/>
      <c r="J40" s="4" t="s">
        <v>29</v>
      </c>
      <c r="K40" s="4" t="s">
        <v>30</v>
      </c>
      <c r="L40" s="4">
        <v>0</v>
      </c>
      <c r="M40" s="4">
        <v>0</v>
      </c>
      <c r="N40" s="4">
        <v>0</v>
      </c>
      <c r="O40" s="4"/>
      <c r="P40" s="4"/>
      <c r="Q40" s="4"/>
      <c r="R40" s="4"/>
      <c r="S40" s="4"/>
      <c r="T40" s="4"/>
      <c r="U40" s="4"/>
      <c r="V40" s="60"/>
    </row>
    <row r="41" spans="1:22" x14ac:dyDescent="0.25">
      <c r="A41" s="4">
        <v>38</v>
      </c>
      <c r="B41" s="4" t="s">
        <v>5</v>
      </c>
      <c r="C41" s="4">
        <v>943209</v>
      </c>
      <c r="D41" s="4">
        <v>22.2</v>
      </c>
      <c r="E41" s="4">
        <v>2</v>
      </c>
      <c r="F41" s="4">
        <v>5.9509999999999996</v>
      </c>
      <c r="G41" s="4">
        <v>5.9279999999999999</v>
      </c>
      <c r="H41" s="4" t="s">
        <v>45</v>
      </c>
      <c r="I41" s="4" t="str">
        <f>_xlfn.CONCAT(Table2[[#This Row],[key]],"-",Table2[[#This Row],[Length]])</f>
        <v>22.23-0-2-ERW 1-PE-5.951</v>
      </c>
      <c r="J41" s="4" t="s">
        <v>29</v>
      </c>
      <c r="K41" s="4" t="s">
        <v>30</v>
      </c>
      <c r="L41" s="4">
        <v>159000</v>
      </c>
      <c r="M41" s="4">
        <v>75000</v>
      </c>
      <c r="N41" s="4">
        <v>0</v>
      </c>
      <c r="O41" s="4"/>
      <c r="P41" s="4"/>
      <c r="Q41" s="4">
        <v>80000</v>
      </c>
      <c r="R41" s="4"/>
      <c r="S41" s="4"/>
      <c r="T41" s="4"/>
      <c r="U41" s="4"/>
      <c r="V41" s="60"/>
    </row>
    <row r="42" spans="1:22" x14ac:dyDescent="0.25">
      <c r="A42" s="4">
        <v>39</v>
      </c>
      <c r="B42" s="4" t="s">
        <v>5</v>
      </c>
      <c r="C42" s="4">
        <v>943209</v>
      </c>
      <c r="D42" s="4">
        <v>22.2</v>
      </c>
      <c r="E42" s="4">
        <v>2</v>
      </c>
      <c r="F42" s="4">
        <v>6</v>
      </c>
      <c r="G42" s="4">
        <v>5.9779999999999998</v>
      </c>
      <c r="H42" s="4" t="s">
        <v>48</v>
      </c>
      <c r="I42" s="4" t="str">
        <f>_xlfn.CONCAT(Table2[[#This Row],[key]],"-",Table2[[#This Row],[Length]])</f>
        <v>22.23-0-2-ERW 2-FC-6</v>
      </c>
      <c r="J42" s="4" t="s">
        <v>38</v>
      </c>
      <c r="K42" s="4" t="s">
        <v>47</v>
      </c>
      <c r="L42" s="4">
        <v>60000</v>
      </c>
      <c r="M42" s="4">
        <v>60000</v>
      </c>
      <c r="N42" s="4">
        <v>0</v>
      </c>
      <c r="O42" s="4"/>
      <c r="P42" s="4"/>
      <c r="Q42" s="4"/>
      <c r="R42" s="4"/>
      <c r="S42" s="4"/>
      <c r="T42" s="4"/>
      <c r="U42" s="4"/>
      <c r="V42" s="60"/>
    </row>
    <row r="43" spans="1:22" x14ac:dyDescent="0.25">
      <c r="A43" s="4">
        <v>40</v>
      </c>
      <c r="B43" s="4" t="s">
        <v>5</v>
      </c>
      <c r="C43" s="4" t="s">
        <v>5</v>
      </c>
      <c r="D43" s="4">
        <v>22.2</v>
      </c>
      <c r="E43" s="4">
        <v>2.2999999999999998</v>
      </c>
      <c r="F43" s="4">
        <v>5.76</v>
      </c>
      <c r="G43" s="4">
        <v>6.5019999999999998</v>
      </c>
      <c r="H43" s="4" t="s">
        <v>49</v>
      </c>
      <c r="I43" s="4" t="str">
        <f>_xlfn.CONCAT(Table2[[#This Row],[key]],"-",Table2[[#This Row],[Length]])</f>
        <v>22.23-0-2.3-ERW 1-PE-5.76</v>
      </c>
      <c r="J43" s="4" t="s">
        <v>38</v>
      </c>
      <c r="K43" s="4" t="s">
        <v>30</v>
      </c>
      <c r="L43" s="4">
        <v>0</v>
      </c>
      <c r="M43" s="4">
        <v>0</v>
      </c>
      <c r="N43" s="4">
        <v>0</v>
      </c>
      <c r="O43" s="4"/>
      <c r="P43" s="4"/>
      <c r="Q43" s="4"/>
      <c r="R43" s="4"/>
      <c r="S43" s="4"/>
      <c r="T43" s="4"/>
      <c r="U43" s="4"/>
      <c r="V43" s="60"/>
    </row>
    <row r="44" spans="1:22" x14ac:dyDescent="0.25">
      <c r="A44" s="4">
        <v>41</v>
      </c>
      <c r="B44" s="4" t="s">
        <v>5</v>
      </c>
      <c r="C44" s="4" t="s">
        <v>5</v>
      </c>
      <c r="D44" s="4">
        <v>22.2</v>
      </c>
      <c r="E44" s="4">
        <v>2.2999999999999998</v>
      </c>
      <c r="F44" s="4">
        <v>5.98</v>
      </c>
      <c r="G44" s="4">
        <v>6.75</v>
      </c>
      <c r="H44" s="4" t="s">
        <v>49</v>
      </c>
      <c r="I44" s="4" t="str">
        <f>_xlfn.CONCAT(Table2[[#This Row],[key]],"-",Table2[[#This Row],[Length]])</f>
        <v>22.23-0-2.3-ERW 1-PE-5.98</v>
      </c>
      <c r="J44" s="4" t="s">
        <v>29</v>
      </c>
      <c r="K44" s="4" t="s">
        <v>30</v>
      </c>
      <c r="L44" s="4">
        <v>0</v>
      </c>
      <c r="M44" s="4">
        <v>0</v>
      </c>
      <c r="N44" s="4">
        <v>0</v>
      </c>
      <c r="O44" s="4"/>
      <c r="P44" s="4"/>
      <c r="Q44" s="4"/>
      <c r="R44" s="4"/>
      <c r="S44" s="4"/>
      <c r="T44" s="4"/>
      <c r="U44" s="4"/>
      <c r="V44" s="60"/>
    </row>
    <row r="45" spans="1:22" x14ac:dyDescent="0.25">
      <c r="A45" s="4">
        <v>42</v>
      </c>
      <c r="B45" s="4" t="s">
        <v>5</v>
      </c>
      <c r="C45" s="4">
        <v>943210</v>
      </c>
      <c r="D45" s="4">
        <v>25.4</v>
      </c>
      <c r="E45" s="4">
        <v>1.4</v>
      </c>
      <c r="F45" s="4">
        <v>5.5309999999999997</v>
      </c>
      <c r="G45" s="4">
        <v>4.5830000000000002</v>
      </c>
      <c r="H45" s="4" t="s">
        <v>139</v>
      </c>
      <c r="I45" s="4" t="str">
        <f>_xlfn.CONCAT(Table2[[#This Row],[key]])</f>
        <v>Megh-25.4-0-1.4-5.531</v>
      </c>
      <c r="J45" s="4" t="s">
        <v>38</v>
      </c>
      <c r="K45" s="4" t="s">
        <v>47</v>
      </c>
      <c r="L45" s="4">
        <v>0</v>
      </c>
      <c r="M45" s="4">
        <v>0</v>
      </c>
      <c r="N45" s="4">
        <v>0</v>
      </c>
      <c r="O45" s="4"/>
      <c r="P45" s="4"/>
      <c r="Q45" s="4"/>
      <c r="R45" s="4"/>
      <c r="S45" s="4"/>
      <c r="T45" s="4"/>
      <c r="U45" s="4"/>
      <c r="V45" s="60"/>
    </row>
    <row r="46" spans="1:22" x14ac:dyDescent="0.25">
      <c r="A46" s="4">
        <v>43</v>
      </c>
      <c r="B46" s="4" t="s">
        <v>5</v>
      </c>
      <c r="C46" s="4">
        <v>943210</v>
      </c>
      <c r="D46" s="4">
        <v>25.4</v>
      </c>
      <c r="E46" s="4">
        <v>1.4</v>
      </c>
      <c r="F46" s="4">
        <v>6.06</v>
      </c>
      <c r="G46" s="4" t="s">
        <v>5</v>
      </c>
      <c r="H46" s="4" t="s">
        <v>140</v>
      </c>
      <c r="I46" s="4" t="str">
        <f>_xlfn.CONCAT(Table2[[#This Row],[key]])</f>
        <v>Megh-25.4-0-1.4-6.06</v>
      </c>
      <c r="J46" s="4" t="s">
        <v>29</v>
      </c>
      <c r="K46" s="4" t="s">
        <v>47</v>
      </c>
      <c r="L46" s="4">
        <v>23000</v>
      </c>
      <c r="M46" s="4">
        <v>0</v>
      </c>
      <c r="N46" s="4">
        <v>0</v>
      </c>
      <c r="O46" s="4"/>
      <c r="P46" s="4"/>
      <c r="Q46" s="4"/>
      <c r="R46" s="4"/>
      <c r="S46" s="4"/>
      <c r="T46" s="4"/>
      <c r="U46" s="4"/>
      <c r="V46" s="60"/>
    </row>
    <row r="47" spans="1:22" x14ac:dyDescent="0.25">
      <c r="A47" s="4">
        <v>44</v>
      </c>
      <c r="B47" s="4" t="s">
        <v>5</v>
      </c>
      <c r="C47" s="4" t="s">
        <v>5</v>
      </c>
      <c r="D47" s="4">
        <v>25.4</v>
      </c>
      <c r="E47" s="4">
        <v>1.6</v>
      </c>
      <c r="F47" s="4">
        <v>5.84</v>
      </c>
      <c r="G47" s="4" t="s">
        <v>5</v>
      </c>
      <c r="H47" s="4" t="s">
        <v>50</v>
      </c>
      <c r="I47" s="4" t="str">
        <f>_xlfn.CONCAT(Table2[[#This Row],[key]],"-",Table2[[#This Row],[Length]])</f>
        <v>25.4-0-1.6-ERW 1-FC-5.84</v>
      </c>
      <c r="J47" s="4" t="s">
        <v>29</v>
      </c>
      <c r="K47" s="4" t="s">
        <v>30</v>
      </c>
      <c r="L47" s="4">
        <v>31000</v>
      </c>
      <c r="M47" s="4">
        <v>15000</v>
      </c>
      <c r="N47" s="4">
        <v>0</v>
      </c>
      <c r="O47" s="4"/>
      <c r="P47" s="4"/>
      <c r="Q47" s="4"/>
      <c r="R47" s="4"/>
      <c r="S47" s="4"/>
      <c r="T47" s="4"/>
      <c r="U47" s="4"/>
      <c r="V47" s="60"/>
    </row>
    <row r="48" spans="1:22" x14ac:dyDescent="0.25">
      <c r="A48" s="4">
        <v>45</v>
      </c>
      <c r="B48" s="4" t="s">
        <v>5</v>
      </c>
      <c r="C48" s="4" t="s">
        <v>5</v>
      </c>
      <c r="D48" s="4">
        <v>25.4</v>
      </c>
      <c r="E48" s="4">
        <v>1.6</v>
      </c>
      <c r="F48" s="4">
        <v>5.27</v>
      </c>
      <c r="G48" s="4" t="s">
        <v>5</v>
      </c>
      <c r="H48" s="4" t="s">
        <v>50</v>
      </c>
      <c r="I48" s="4" t="str">
        <f>_xlfn.CONCAT(Table2[[#This Row],[key]],"-",Table2[[#This Row],[Length]])</f>
        <v>25.4-0-1.6-ERW 1-FC-5.27</v>
      </c>
      <c r="J48" s="4" t="s">
        <v>5</v>
      </c>
      <c r="K48" s="4" t="s">
        <v>5</v>
      </c>
      <c r="L48" s="4">
        <v>0</v>
      </c>
      <c r="M48" s="4">
        <v>0</v>
      </c>
      <c r="N48" s="4">
        <v>0</v>
      </c>
      <c r="O48" s="4"/>
      <c r="P48" s="4"/>
      <c r="Q48" s="4"/>
      <c r="R48" s="4"/>
      <c r="S48" s="4"/>
      <c r="T48" s="4"/>
      <c r="U48" s="4"/>
      <c r="V48" s="60"/>
    </row>
    <row r="49" spans="1:22" x14ac:dyDescent="0.25">
      <c r="A49" s="4">
        <v>46</v>
      </c>
      <c r="B49" s="4" t="s">
        <v>5</v>
      </c>
      <c r="C49" s="4">
        <v>943209</v>
      </c>
      <c r="D49" s="4">
        <v>25.4</v>
      </c>
      <c r="E49" s="4">
        <v>1.6</v>
      </c>
      <c r="F49" s="4">
        <v>6</v>
      </c>
      <c r="G49" s="4">
        <v>5.6349999999999998</v>
      </c>
      <c r="H49" s="4" t="s">
        <v>50</v>
      </c>
      <c r="I49" s="4" t="str">
        <f>_xlfn.CONCAT(Table2[[#This Row],[key]],"-",Table2[[#This Row],[Length]])</f>
        <v>25.4-0-1.6-ERW 1-FC-6</v>
      </c>
      <c r="J49" s="4" t="s">
        <v>29</v>
      </c>
      <c r="K49" s="4" t="s">
        <v>30</v>
      </c>
      <c r="L49" s="4">
        <v>10000</v>
      </c>
      <c r="M49" s="4">
        <v>30000</v>
      </c>
      <c r="N49" s="4">
        <v>0</v>
      </c>
      <c r="O49" s="4"/>
      <c r="P49" s="4"/>
      <c r="Q49" s="4"/>
      <c r="R49" s="4"/>
      <c r="S49" s="4"/>
      <c r="T49" s="4"/>
      <c r="U49" s="4"/>
      <c r="V49" s="60"/>
    </row>
    <row r="50" spans="1:22" x14ac:dyDescent="0.25">
      <c r="A50" s="4">
        <v>47</v>
      </c>
      <c r="B50" s="4" t="s">
        <v>5</v>
      </c>
      <c r="C50" s="4">
        <v>943209</v>
      </c>
      <c r="D50" s="4">
        <v>25.4</v>
      </c>
      <c r="E50" s="4">
        <v>2</v>
      </c>
      <c r="F50" s="4">
        <v>5.84</v>
      </c>
      <c r="G50" s="4">
        <v>6.74</v>
      </c>
      <c r="H50" s="4" t="s">
        <v>116</v>
      </c>
      <c r="I50" s="4" t="s">
        <v>170</v>
      </c>
      <c r="J50" s="4" t="s">
        <v>29</v>
      </c>
      <c r="K50" s="4" t="s">
        <v>30</v>
      </c>
      <c r="L50" s="4">
        <v>32000</v>
      </c>
      <c r="M50" s="4">
        <v>0</v>
      </c>
      <c r="N50" s="4">
        <v>0</v>
      </c>
      <c r="O50" s="4"/>
      <c r="P50" s="4"/>
      <c r="Q50" s="4"/>
      <c r="R50" s="4"/>
      <c r="S50" s="4"/>
      <c r="T50" s="4"/>
      <c r="U50" s="4"/>
      <c r="V50" s="60"/>
    </row>
    <row r="51" spans="1:22" x14ac:dyDescent="0.25">
      <c r="A51" s="4">
        <v>48</v>
      </c>
      <c r="B51" s="4" t="s">
        <v>5</v>
      </c>
      <c r="C51" s="4">
        <v>943209</v>
      </c>
      <c r="D51" s="4">
        <v>25.4</v>
      </c>
      <c r="E51" s="4">
        <v>2</v>
      </c>
      <c r="F51" s="4">
        <v>6</v>
      </c>
      <c r="G51" s="4" t="s">
        <v>5</v>
      </c>
      <c r="H51" s="4" t="s">
        <v>116</v>
      </c>
      <c r="I51" s="4" t="str">
        <f>_xlfn.CONCAT(Table2[[#This Row],[key]],"-",Table2[[#This Row],[Length]])</f>
        <v>25.4-0-2-ERW 1-PE-6</v>
      </c>
      <c r="J51" s="4" t="s">
        <v>29</v>
      </c>
      <c r="K51" s="4" t="s">
        <v>30</v>
      </c>
      <c r="L51" s="4">
        <v>0</v>
      </c>
      <c r="M51" s="4">
        <v>10000</v>
      </c>
      <c r="N51" s="4">
        <v>0</v>
      </c>
      <c r="O51" s="4"/>
      <c r="P51" s="4"/>
      <c r="Q51" s="4"/>
      <c r="R51" s="4"/>
      <c r="S51" s="4"/>
      <c r="T51" s="4"/>
      <c r="U51" s="4"/>
      <c r="V51" s="60"/>
    </row>
    <row r="52" spans="1:22" x14ac:dyDescent="0.25">
      <c r="A52" s="4">
        <v>49</v>
      </c>
      <c r="B52" s="4" t="s">
        <v>5</v>
      </c>
      <c r="C52" s="4">
        <v>943209</v>
      </c>
      <c r="D52" s="4">
        <v>25.4</v>
      </c>
      <c r="E52" s="4">
        <v>2</v>
      </c>
      <c r="F52" s="4">
        <v>6.05</v>
      </c>
      <c r="G52" s="4">
        <v>6.9829999999999997</v>
      </c>
      <c r="H52" s="4" t="s">
        <v>51</v>
      </c>
      <c r="I52" s="4" t="str">
        <f>_xlfn.CONCAT(Table2[[#This Row],[key]],"-",Table2[[#This Row],[Length]])</f>
        <v>25.4-0-2-ERW 1-FC-6.05</v>
      </c>
      <c r="J52" s="4" t="s">
        <v>29</v>
      </c>
      <c r="K52" s="4" t="s">
        <v>30</v>
      </c>
      <c r="L52" s="4">
        <v>0</v>
      </c>
      <c r="M52" s="4">
        <v>0</v>
      </c>
      <c r="N52" s="4">
        <v>0</v>
      </c>
      <c r="O52" s="4"/>
      <c r="P52" s="4"/>
      <c r="Q52" s="4"/>
      <c r="R52" s="4"/>
      <c r="S52" s="4"/>
      <c r="T52" s="4"/>
      <c r="U52" s="4"/>
      <c r="V52" s="60"/>
    </row>
    <row r="53" spans="1:22" x14ac:dyDescent="0.25">
      <c r="A53" s="4">
        <v>50</v>
      </c>
      <c r="B53" s="4" t="s">
        <v>5</v>
      </c>
      <c r="C53" s="4">
        <v>943209</v>
      </c>
      <c r="D53" s="4">
        <v>25.4</v>
      </c>
      <c r="E53" s="4">
        <v>2.5</v>
      </c>
      <c r="F53" s="4">
        <v>5.53</v>
      </c>
      <c r="G53" s="4">
        <v>7.8079999999999998</v>
      </c>
      <c r="H53" s="4" t="s">
        <v>52</v>
      </c>
      <c r="I53" s="4" t="str">
        <f>_xlfn.CONCAT(Table2[[#This Row],[key]],"-",Table2[[#This Row],[Length]])</f>
        <v>25.4-0-2.5-ERW 1-FC-5.53</v>
      </c>
      <c r="J53" s="4" t="s">
        <v>29</v>
      </c>
      <c r="K53" s="4" t="s">
        <v>47</v>
      </c>
      <c r="L53" s="4">
        <v>56000</v>
      </c>
      <c r="M53" s="4">
        <v>60000</v>
      </c>
      <c r="N53" s="4">
        <v>0</v>
      </c>
      <c r="O53" s="4"/>
      <c r="P53" s="4"/>
      <c r="Q53" s="4"/>
      <c r="R53" s="4"/>
      <c r="S53" s="4"/>
      <c r="T53" s="4"/>
      <c r="U53" s="4"/>
      <c r="V53" s="60"/>
    </row>
    <row r="54" spans="1:22" x14ac:dyDescent="0.25">
      <c r="A54" s="4">
        <v>51</v>
      </c>
      <c r="B54" s="4" t="s">
        <v>5</v>
      </c>
      <c r="C54" s="4" t="s">
        <v>5</v>
      </c>
      <c r="D54" s="4">
        <v>25.4</v>
      </c>
      <c r="E54" s="4">
        <v>2.5</v>
      </c>
      <c r="F54" s="4">
        <v>5.95</v>
      </c>
      <c r="G54" s="4">
        <v>8.33</v>
      </c>
      <c r="H54" s="4" t="s">
        <v>53</v>
      </c>
      <c r="I54" s="4" t="str">
        <f>_xlfn.CONCAT(Table2[[#This Row],[key]],"-",Table2[[#This Row],[Length]])</f>
        <v>25.4-0-2.5-ERW 1-FC -5.95</v>
      </c>
      <c r="J54" s="4" t="s">
        <v>29</v>
      </c>
      <c r="K54" s="4" t="s">
        <v>47</v>
      </c>
      <c r="L54" s="4">
        <v>0</v>
      </c>
      <c r="M54" s="4">
        <v>0</v>
      </c>
      <c r="N54" s="4">
        <v>0</v>
      </c>
      <c r="O54" s="4"/>
      <c r="P54" s="4"/>
      <c r="Q54" s="4"/>
      <c r="R54" s="4"/>
      <c r="S54" s="4"/>
      <c r="T54" s="4"/>
      <c r="U54" s="4"/>
      <c r="V54" s="60"/>
    </row>
    <row r="55" spans="1:22" x14ac:dyDescent="0.25">
      <c r="A55" s="4">
        <v>52</v>
      </c>
      <c r="B55" s="4" t="s">
        <v>5</v>
      </c>
      <c r="C55" s="4" t="s">
        <v>5</v>
      </c>
      <c r="D55" s="4">
        <v>25.4</v>
      </c>
      <c r="E55" s="4">
        <v>2.6</v>
      </c>
      <c r="F55" s="4">
        <v>3.5</v>
      </c>
      <c r="G55" s="4">
        <v>5.117</v>
      </c>
      <c r="H55" s="4" t="s">
        <v>54</v>
      </c>
      <c r="I55" s="4" t="str">
        <f>_xlfn.CONCAT(Table2[[#This Row],[key]],"-",Table2[[#This Row],[Length]])</f>
        <v>25.4-0-2.5-CEW-CEW-3.5</v>
      </c>
      <c r="J55" s="4" t="s">
        <v>55</v>
      </c>
      <c r="K55" s="4" t="s">
        <v>47</v>
      </c>
      <c r="L55" s="4">
        <v>0</v>
      </c>
      <c r="M55" s="4">
        <v>0</v>
      </c>
      <c r="N55" s="4">
        <v>0</v>
      </c>
      <c r="O55" s="4"/>
      <c r="P55" s="4"/>
      <c r="Q55" s="4"/>
      <c r="R55" s="4"/>
      <c r="S55" s="4"/>
      <c r="T55" s="4"/>
      <c r="U55" s="4"/>
      <c r="V55" s="60"/>
    </row>
    <row r="56" spans="1:22" x14ac:dyDescent="0.25">
      <c r="A56" s="4">
        <v>53</v>
      </c>
      <c r="B56" s="4" t="s">
        <v>5</v>
      </c>
      <c r="C56" s="4" t="s">
        <v>5</v>
      </c>
      <c r="D56" s="4">
        <v>25.4</v>
      </c>
      <c r="E56" s="4">
        <v>2.6</v>
      </c>
      <c r="F56" s="4">
        <v>6</v>
      </c>
      <c r="G56" s="4">
        <v>8.7720000000000002</v>
      </c>
      <c r="H56" s="4" t="s">
        <v>54</v>
      </c>
      <c r="I56" s="4" t="str">
        <f>_xlfn.CONCAT(Table2[[#This Row],[key]],"-",Table2[[#This Row],[Length]])</f>
        <v>25.4-0-2.5-CEW-CEW-6</v>
      </c>
      <c r="J56" s="4" t="s">
        <v>55</v>
      </c>
      <c r="K56" s="4" t="s">
        <v>47</v>
      </c>
      <c r="L56" s="4">
        <v>0</v>
      </c>
      <c r="M56" s="4">
        <v>0</v>
      </c>
      <c r="N56" s="4">
        <v>0</v>
      </c>
      <c r="O56" s="4"/>
      <c r="P56" s="4"/>
      <c r="Q56" s="4"/>
      <c r="R56" s="4"/>
      <c r="S56" s="4"/>
      <c r="T56" s="4"/>
      <c r="U56" s="4"/>
      <c r="V56" s="60"/>
    </row>
    <row r="57" spans="1:22" x14ac:dyDescent="0.25">
      <c r="A57" s="4">
        <v>54</v>
      </c>
      <c r="B57" s="4" t="s">
        <v>5</v>
      </c>
      <c r="C57" s="4" t="s">
        <v>5</v>
      </c>
      <c r="D57" s="4">
        <v>25.4</v>
      </c>
      <c r="E57" s="4">
        <v>4</v>
      </c>
      <c r="F57" s="4">
        <v>4.4000000000000004</v>
      </c>
      <c r="G57" s="4">
        <v>9.2889999999999997</v>
      </c>
      <c r="H57" s="4" t="s">
        <v>141</v>
      </c>
      <c r="I57" s="4" t="str">
        <f>_xlfn.CONCAT(Table2[[#This Row],[key]])</f>
        <v>Megh-25.4-0-4-4.4</v>
      </c>
      <c r="J57" s="4" t="s">
        <v>55</v>
      </c>
      <c r="K57" s="4" t="s">
        <v>47</v>
      </c>
      <c r="L57" s="4">
        <v>0</v>
      </c>
      <c r="M57" s="4">
        <v>0</v>
      </c>
      <c r="N57" s="4">
        <v>0</v>
      </c>
      <c r="O57" s="4"/>
      <c r="P57" s="4"/>
      <c r="Q57" s="4"/>
      <c r="R57" s="4"/>
      <c r="S57" s="4"/>
      <c r="T57" s="4"/>
      <c r="U57" s="4"/>
      <c r="V57" s="60"/>
    </row>
    <row r="58" spans="1:22" x14ac:dyDescent="0.25">
      <c r="A58" s="4">
        <v>55</v>
      </c>
      <c r="B58" s="4" t="s">
        <v>5</v>
      </c>
      <c r="C58" s="4">
        <v>943209</v>
      </c>
      <c r="D58" s="4">
        <v>28.58</v>
      </c>
      <c r="E58" s="4">
        <v>1.2</v>
      </c>
      <c r="F58" s="4">
        <v>6</v>
      </c>
      <c r="G58" s="4">
        <v>4.8620000000000001</v>
      </c>
      <c r="H58" s="4" t="s">
        <v>56</v>
      </c>
      <c r="I58" s="4" t="str">
        <f>_xlfn.CONCAT(Table2[[#This Row],[key]],"-",Table2[[#This Row],[Length]])</f>
        <v>28.58-0-1.2-ERW 1-PE-6</v>
      </c>
      <c r="J58" s="4" t="s">
        <v>29</v>
      </c>
      <c r="K58" s="4" t="s">
        <v>47</v>
      </c>
      <c r="L58" s="4">
        <v>0</v>
      </c>
      <c r="M58" s="4">
        <v>0</v>
      </c>
      <c r="N58" s="4">
        <v>0</v>
      </c>
      <c r="O58" s="4"/>
      <c r="P58" s="4"/>
      <c r="Q58" s="4"/>
      <c r="R58" s="4"/>
      <c r="S58" s="4"/>
      <c r="T58" s="4"/>
      <c r="U58" s="4"/>
      <c r="V58" s="60"/>
    </row>
    <row r="59" spans="1:22" x14ac:dyDescent="0.25">
      <c r="A59" s="4">
        <v>56</v>
      </c>
      <c r="B59" s="4" t="s">
        <v>5</v>
      </c>
      <c r="C59" s="4" t="s">
        <v>5</v>
      </c>
      <c r="D59" s="4">
        <v>28.58</v>
      </c>
      <c r="E59" s="4">
        <v>2.6</v>
      </c>
      <c r="F59" s="4">
        <v>4.5</v>
      </c>
      <c r="G59" s="4">
        <v>7.4960000000000004</v>
      </c>
      <c r="H59" s="4" t="s">
        <v>57</v>
      </c>
      <c r="I59" s="4" t="str">
        <f>_xlfn.CONCAT(Table2[[#This Row],[key]],"-",Table2[[#This Row],[Length]])</f>
        <v>28.6-0-2.65-CEW-CEW-4.5</v>
      </c>
      <c r="J59" s="4" t="s">
        <v>55</v>
      </c>
      <c r="K59" s="4" t="s">
        <v>47</v>
      </c>
      <c r="L59" s="4">
        <v>8000</v>
      </c>
      <c r="M59" s="4">
        <v>0</v>
      </c>
      <c r="N59" s="4">
        <v>0</v>
      </c>
      <c r="O59" s="4"/>
      <c r="P59" s="4"/>
      <c r="Q59" s="4"/>
      <c r="R59" s="4"/>
      <c r="S59" s="4"/>
      <c r="T59" s="4"/>
      <c r="U59" s="4"/>
      <c r="V59" s="60"/>
    </row>
    <row r="60" spans="1:22" ht="33.75" x14ac:dyDescent="0.5">
      <c r="A60" s="4">
        <v>57</v>
      </c>
      <c r="B60" s="4" t="s">
        <v>5</v>
      </c>
      <c r="C60" s="4" t="s">
        <v>5</v>
      </c>
      <c r="D60" s="4">
        <v>28.58</v>
      </c>
      <c r="E60" s="4">
        <v>2.6</v>
      </c>
      <c r="F60" s="4">
        <v>6.07</v>
      </c>
      <c r="G60" s="4">
        <v>10.112</v>
      </c>
      <c r="H60" s="4" t="s">
        <v>57</v>
      </c>
      <c r="I60" s="4" t="str">
        <f>_xlfn.CONCAT(Table2[[#This Row],[key]],"-",Table2[[#This Row],[Length]])</f>
        <v>28.6-0-2.65-CEW-CEW-6.07</v>
      </c>
      <c r="J60" s="4" t="s">
        <v>55</v>
      </c>
      <c r="K60" s="4" t="s">
        <v>47</v>
      </c>
      <c r="L60" s="4">
        <v>0</v>
      </c>
      <c r="M60" s="4">
        <v>10000</v>
      </c>
      <c r="N60" s="4">
        <v>0</v>
      </c>
      <c r="O60" s="4"/>
      <c r="P60" s="4"/>
      <c r="Q60" s="4"/>
      <c r="R60" s="58"/>
      <c r="S60" s="4"/>
      <c r="T60" s="4"/>
      <c r="U60" s="4"/>
      <c r="V60" s="60"/>
    </row>
    <row r="61" spans="1:22" x14ac:dyDescent="0.25">
      <c r="A61" s="4">
        <v>58</v>
      </c>
      <c r="B61" s="4" t="s">
        <v>5</v>
      </c>
      <c r="C61" s="4">
        <v>943210</v>
      </c>
      <c r="D61" s="4">
        <v>28.58</v>
      </c>
      <c r="E61" s="4">
        <v>3.2</v>
      </c>
      <c r="F61" s="4">
        <v>6.06</v>
      </c>
      <c r="G61" s="4">
        <v>12.016999999999999</v>
      </c>
      <c r="H61" s="4" t="s">
        <v>171</v>
      </c>
      <c r="I61" s="4" t="s">
        <v>171</v>
      </c>
      <c r="J61" s="4" t="s">
        <v>29</v>
      </c>
      <c r="K61" s="4" t="s">
        <v>47</v>
      </c>
      <c r="L61" s="4">
        <v>0</v>
      </c>
      <c r="M61" s="4">
        <v>0</v>
      </c>
      <c r="N61" s="4">
        <v>0</v>
      </c>
      <c r="O61" s="4"/>
      <c r="P61" s="4"/>
      <c r="Q61" s="4"/>
      <c r="R61" s="4"/>
      <c r="S61" s="4"/>
      <c r="T61" s="4"/>
      <c r="U61" s="4"/>
      <c r="V61" s="60"/>
    </row>
    <row r="62" spans="1:22" x14ac:dyDescent="0.25">
      <c r="A62" s="4">
        <v>59</v>
      </c>
      <c r="B62" s="4" t="s">
        <v>5</v>
      </c>
      <c r="C62" s="4" t="s">
        <v>5</v>
      </c>
      <c r="D62" s="4">
        <v>29.4</v>
      </c>
      <c r="E62" s="4">
        <v>4.5</v>
      </c>
      <c r="F62" s="4">
        <v>5.84</v>
      </c>
      <c r="G62" s="4" t="s">
        <v>5</v>
      </c>
      <c r="H62" s="59" t="s">
        <v>88</v>
      </c>
      <c r="I62" s="4" t="str">
        <f>_xlfn.CONCAT(Table2[[#This Row],[key]],"-",Table2[[#This Row],[Length]])</f>
        <v>29.4-20.4-4.5-CEW-CEW-5.84</v>
      </c>
      <c r="J62" s="4" t="s">
        <v>55</v>
      </c>
      <c r="K62" s="4" t="s">
        <v>47</v>
      </c>
      <c r="L62" s="4">
        <v>25000</v>
      </c>
      <c r="M62" s="4">
        <v>0</v>
      </c>
      <c r="N62" s="4">
        <v>0</v>
      </c>
      <c r="O62" s="4"/>
      <c r="P62" s="4"/>
      <c r="Q62" s="4"/>
      <c r="R62" s="4">
        <v>15000</v>
      </c>
      <c r="S62" s="4"/>
      <c r="T62" s="4"/>
      <c r="U62" s="4"/>
      <c r="V62" s="60"/>
    </row>
    <row r="63" spans="1:22" x14ac:dyDescent="0.25">
      <c r="A63" s="4">
        <v>60</v>
      </c>
      <c r="B63" s="4" t="s">
        <v>5</v>
      </c>
      <c r="C63" s="4" t="s">
        <v>5</v>
      </c>
      <c r="D63" s="4">
        <v>30</v>
      </c>
      <c r="E63" s="4">
        <v>3</v>
      </c>
      <c r="F63" s="4">
        <v>3.5</v>
      </c>
      <c r="G63" s="4">
        <v>6.992</v>
      </c>
      <c r="H63" s="4" t="s">
        <v>172</v>
      </c>
      <c r="I63" s="4" t="s">
        <v>172</v>
      </c>
      <c r="J63" s="4" t="s">
        <v>55</v>
      </c>
      <c r="K63" s="4" t="s">
        <v>47</v>
      </c>
      <c r="L63" s="4">
        <v>0</v>
      </c>
      <c r="M63" s="4"/>
      <c r="N63" s="4">
        <v>0</v>
      </c>
      <c r="O63" s="4"/>
      <c r="P63" s="4"/>
      <c r="Q63" s="4"/>
      <c r="R63" s="4"/>
      <c r="S63" s="4"/>
      <c r="T63" s="4"/>
      <c r="U63" s="4"/>
      <c r="V63" s="60"/>
    </row>
    <row r="64" spans="1:22" x14ac:dyDescent="0.25">
      <c r="A64" s="4">
        <v>61</v>
      </c>
      <c r="B64" s="4" t="s">
        <v>5</v>
      </c>
      <c r="C64" s="4" t="s">
        <v>5</v>
      </c>
      <c r="D64" s="4">
        <v>31.75</v>
      </c>
      <c r="E64" s="4">
        <v>1.2</v>
      </c>
      <c r="F64" s="4">
        <v>5.0999999999999996</v>
      </c>
      <c r="G64" s="4" t="s">
        <v>5</v>
      </c>
      <c r="H64" s="4" t="s">
        <v>58</v>
      </c>
      <c r="I64" s="4" t="str">
        <f>_xlfn.CONCAT(Table2[[#This Row],[key]],"-",Table2[[#This Row],[Length]])</f>
        <v>31.75-0-1.2-ERW 1-FC-5.1</v>
      </c>
      <c r="J64" s="4" t="s">
        <v>29</v>
      </c>
      <c r="K64" s="4" t="s">
        <v>47</v>
      </c>
      <c r="L64" s="4">
        <v>5000</v>
      </c>
      <c r="M64" s="4"/>
      <c r="N64" s="4">
        <v>0</v>
      </c>
      <c r="O64" s="4"/>
      <c r="P64" s="4"/>
      <c r="Q64" s="4"/>
      <c r="R64" s="4"/>
      <c r="S64" s="4"/>
      <c r="T64" s="4"/>
      <c r="U64" s="4"/>
      <c r="V64" s="60"/>
    </row>
    <row r="65" spans="1:22" x14ac:dyDescent="0.25">
      <c r="A65" s="4">
        <v>62</v>
      </c>
      <c r="B65" s="4" t="s">
        <v>5</v>
      </c>
      <c r="C65" s="4" t="s">
        <v>5</v>
      </c>
      <c r="D65" s="4">
        <v>31.75</v>
      </c>
      <c r="E65" s="4">
        <v>1.2</v>
      </c>
      <c r="F65" s="4">
        <v>6</v>
      </c>
      <c r="G65" s="4" t="s">
        <v>59</v>
      </c>
      <c r="H65" s="4" t="s">
        <v>58</v>
      </c>
      <c r="I65" s="4" t="str">
        <f>_xlfn.CONCAT(Table2[[#This Row],[key]],"-",Table2[[#This Row],[Length]])</f>
        <v>31.75-0-1.2-ERW 1-FC-6</v>
      </c>
      <c r="J65" s="4" t="s">
        <v>29</v>
      </c>
      <c r="K65" s="4" t="s">
        <v>47</v>
      </c>
      <c r="L65" s="4">
        <v>0</v>
      </c>
      <c r="M65" s="4"/>
      <c r="N65" s="4">
        <v>3500</v>
      </c>
      <c r="O65" s="4"/>
      <c r="P65" s="4"/>
      <c r="Q65" s="4"/>
      <c r="R65" s="4"/>
      <c r="S65" s="4"/>
      <c r="T65" s="4"/>
      <c r="U65" s="4"/>
      <c r="V65" s="60"/>
    </row>
    <row r="66" spans="1:22" x14ac:dyDescent="0.25">
      <c r="A66" s="4">
        <v>63</v>
      </c>
      <c r="B66" s="4" t="s">
        <v>5</v>
      </c>
      <c r="C66" s="4" t="s">
        <v>5</v>
      </c>
      <c r="D66" s="4">
        <v>31.75</v>
      </c>
      <c r="E66" s="4">
        <v>2</v>
      </c>
      <c r="F66" s="4">
        <v>6</v>
      </c>
      <c r="G66" s="4">
        <v>8.657</v>
      </c>
      <c r="H66" s="4" t="s">
        <v>121</v>
      </c>
      <c r="I66" s="4" t="str">
        <f>_xlfn.CONCAT(Table2[[#This Row],[key]],"-",Table2[[#This Row],[Length]])</f>
        <v>31.75-0-2-ERW 1-FC-6</v>
      </c>
      <c r="J66" s="4" t="s">
        <v>29</v>
      </c>
      <c r="K66" s="4" t="s">
        <v>47</v>
      </c>
      <c r="L66" s="4">
        <v>10000</v>
      </c>
      <c r="M66" s="4"/>
      <c r="N66" s="4"/>
      <c r="O66" s="4"/>
      <c r="P66" s="4"/>
      <c r="Q66" s="4"/>
      <c r="R66" s="4"/>
      <c r="S66" s="4"/>
      <c r="T66" s="4"/>
      <c r="U66" s="4"/>
      <c r="V66" s="60"/>
    </row>
    <row r="67" spans="1:22" x14ac:dyDescent="0.25">
      <c r="A67" s="4">
        <v>64</v>
      </c>
      <c r="B67" s="4" t="s">
        <v>5</v>
      </c>
      <c r="C67" s="4">
        <v>943209</v>
      </c>
      <c r="D67" s="4">
        <v>31.75</v>
      </c>
      <c r="E67" s="4">
        <v>2.2999999999999998</v>
      </c>
      <c r="F67" s="4">
        <v>5.92</v>
      </c>
      <c r="G67" s="4">
        <v>10.023</v>
      </c>
      <c r="H67" s="4" t="s">
        <v>60</v>
      </c>
      <c r="I67" s="4" t="str">
        <f>_xlfn.CONCAT(Table2[[#This Row],[key]],"-",Table2[[#This Row],[Length]])</f>
        <v>31.75-0-2.3-ERW 1-FC-5.92</v>
      </c>
      <c r="J67" s="4" t="s">
        <v>29</v>
      </c>
      <c r="K67" s="4" t="s">
        <v>47</v>
      </c>
      <c r="L67" s="4">
        <v>15000</v>
      </c>
      <c r="M67" s="4">
        <v>15000</v>
      </c>
      <c r="N67" s="4"/>
      <c r="O67" s="4"/>
      <c r="P67" s="4"/>
      <c r="Q67" s="4"/>
      <c r="R67" s="4"/>
      <c r="S67" s="4"/>
      <c r="T67" s="4"/>
      <c r="U67" s="4"/>
      <c r="V67" s="60"/>
    </row>
    <row r="68" spans="1:22" x14ac:dyDescent="0.25">
      <c r="A68" s="4">
        <v>65</v>
      </c>
      <c r="B68" s="4" t="s">
        <v>5</v>
      </c>
      <c r="C68" s="4" t="s">
        <v>5</v>
      </c>
      <c r="D68" s="4">
        <v>31.75</v>
      </c>
      <c r="E68" s="4">
        <v>2.2999999999999998</v>
      </c>
      <c r="F68" s="4">
        <v>6</v>
      </c>
      <c r="G68" s="4" t="s">
        <v>5</v>
      </c>
      <c r="H68" s="4" t="s">
        <v>60</v>
      </c>
      <c r="I68" s="4" t="str">
        <f>_xlfn.CONCAT(Table2[[#This Row],[key]],"-",Table2[[#This Row],[Length]])</f>
        <v>31.75-0-2.3-ERW 1-FC-6</v>
      </c>
      <c r="J68" s="4" t="s">
        <v>5</v>
      </c>
      <c r="K68" s="4" t="s">
        <v>5</v>
      </c>
      <c r="L68" s="4">
        <v>0</v>
      </c>
      <c r="M68" s="4"/>
      <c r="N68" s="4"/>
      <c r="O68" s="4"/>
      <c r="P68" s="4"/>
      <c r="Q68" s="4"/>
      <c r="R68" s="4"/>
      <c r="S68" s="4"/>
      <c r="T68" s="4"/>
      <c r="U68" s="4"/>
      <c r="V68" s="60"/>
    </row>
    <row r="69" spans="1:22" x14ac:dyDescent="0.25">
      <c r="A69" s="4">
        <v>66</v>
      </c>
      <c r="B69" s="4" t="s">
        <v>5</v>
      </c>
      <c r="C69" s="4" t="s">
        <v>5</v>
      </c>
      <c r="D69" s="4">
        <v>31.75</v>
      </c>
      <c r="E69" s="4">
        <v>3.65</v>
      </c>
      <c r="F69" s="4">
        <v>6</v>
      </c>
      <c r="G69" s="4">
        <v>15.176</v>
      </c>
      <c r="H69" s="4" t="s">
        <v>142</v>
      </c>
      <c r="I69" s="4" t="str">
        <f>_xlfn.CONCAT(Table2[[#This Row],[key]])</f>
        <v>Megh-31.75-0-3.65-6</v>
      </c>
      <c r="J69" s="4" t="s">
        <v>55</v>
      </c>
      <c r="K69" s="4" t="s">
        <v>47</v>
      </c>
      <c r="L69" s="4">
        <v>0</v>
      </c>
      <c r="M69" s="4"/>
      <c r="N69" s="4"/>
      <c r="O69" s="4"/>
      <c r="P69" s="4"/>
      <c r="Q69" s="4"/>
      <c r="R69" s="4"/>
      <c r="S69" s="4"/>
      <c r="T69" s="4"/>
      <c r="U69" s="4"/>
      <c r="V69" s="60"/>
    </row>
    <row r="70" spans="1:22" x14ac:dyDescent="0.25">
      <c r="A70" s="4">
        <v>67</v>
      </c>
      <c r="B70" s="4" t="s">
        <v>5</v>
      </c>
      <c r="C70" s="4" t="s">
        <v>5</v>
      </c>
      <c r="D70" s="4">
        <v>31.9</v>
      </c>
      <c r="E70" s="4">
        <v>4.55</v>
      </c>
      <c r="F70" s="4">
        <v>6</v>
      </c>
      <c r="G70" s="4">
        <v>13.964</v>
      </c>
      <c r="H70" s="4" t="s">
        <v>143</v>
      </c>
      <c r="I70" s="4" t="str">
        <f>_xlfn.CONCAT(Table2[[#This Row],[key]])</f>
        <v>Megh-31.9-0-4.55-6</v>
      </c>
      <c r="J70" s="4" t="s">
        <v>55</v>
      </c>
      <c r="K70" s="4" t="s">
        <v>47</v>
      </c>
      <c r="L70" s="4">
        <v>0</v>
      </c>
      <c r="M70" s="4"/>
      <c r="N70" s="4"/>
      <c r="O70" s="4"/>
      <c r="P70" s="4"/>
      <c r="Q70" s="4"/>
      <c r="R70" s="4"/>
      <c r="S70" s="4"/>
      <c r="T70" s="4"/>
      <c r="U70" s="4"/>
      <c r="V70" s="60"/>
    </row>
    <row r="71" spans="1:22" x14ac:dyDescent="0.25">
      <c r="A71" s="4">
        <v>68</v>
      </c>
      <c r="B71" s="4" t="s">
        <v>5</v>
      </c>
      <c r="C71" s="4">
        <v>943210</v>
      </c>
      <c r="D71" s="4">
        <v>34</v>
      </c>
      <c r="E71" s="4">
        <v>1.4</v>
      </c>
      <c r="F71" s="4">
        <v>6.52</v>
      </c>
      <c r="G71" s="4">
        <v>7.3390000000000004</v>
      </c>
      <c r="H71" s="4" t="s">
        <v>144</v>
      </c>
      <c r="I71" s="4" t="str">
        <f>_xlfn.CONCAT(Table2[[#This Row],[key]])</f>
        <v>Megh-34-0-1.4-6.52</v>
      </c>
      <c r="J71" s="4" t="s">
        <v>29</v>
      </c>
      <c r="K71" s="4" t="s">
        <v>47</v>
      </c>
      <c r="L71" s="4">
        <v>0</v>
      </c>
      <c r="M71" s="4"/>
      <c r="N71" s="4"/>
      <c r="O71" s="4"/>
      <c r="P71" s="4"/>
      <c r="Q71" s="4"/>
      <c r="R71" s="4"/>
      <c r="S71" s="4"/>
      <c r="T71" s="4"/>
      <c r="U71" s="4"/>
      <c r="V71" s="60"/>
    </row>
    <row r="72" spans="1:22" x14ac:dyDescent="0.25">
      <c r="A72" s="4">
        <v>69</v>
      </c>
      <c r="B72" s="4" t="s">
        <v>5</v>
      </c>
      <c r="C72" s="4">
        <v>943211</v>
      </c>
      <c r="D72" s="4">
        <v>34.93</v>
      </c>
      <c r="E72" s="4">
        <v>1.2</v>
      </c>
      <c r="F72" s="4">
        <v>5.0999999999999996</v>
      </c>
      <c r="G72" s="4">
        <v>5.0910000000000002</v>
      </c>
      <c r="H72" s="4" t="s">
        <v>146</v>
      </c>
      <c r="I72" s="4" t="str">
        <f>_xlfn.CONCAT(Table2[[#This Row],[key]])</f>
        <v>Megh-34.93-0-1.2-ERW 1-FC-5.1</v>
      </c>
      <c r="J72" s="4" t="s">
        <v>29</v>
      </c>
      <c r="K72" s="4" t="s">
        <v>47</v>
      </c>
      <c r="L72" s="4">
        <v>17000</v>
      </c>
      <c r="M72" s="4"/>
      <c r="N72" s="4">
        <v>1000</v>
      </c>
      <c r="O72" s="4"/>
      <c r="P72" s="4"/>
      <c r="Q72" s="4"/>
      <c r="R72" s="4"/>
      <c r="S72" s="4"/>
      <c r="T72" s="4"/>
      <c r="U72" s="4"/>
      <c r="V72" s="60"/>
    </row>
    <row r="73" spans="1:22" x14ac:dyDescent="0.25">
      <c r="A73" s="4">
        <v>70</v>
      </c>
      <c r="B73" s="4" t="s">
        <v>5</v>
      </c>
      <c r="C73" s="4">
        <v>943211</v>
      </c>
      <c r="D73" s="4">
        <v>34.93</v>
      </c>
      <c r="E73" s="4">
        <v>1.2</v>
      </c>
      <c r="F73" s="4">
        <v>5.9</v>
      </c>
      <c r="G73" s="4" t="s">
        <v>5</v>
      </c>
      <c r="H73" s="4" t="s">
        <v>145</v>
      </c>
      <c r="I73" s="4" t="str">
        <f>_xlfn.CONCAT(Table2[[#This Row],[key]])</f>
        <v>Megh-34.93-0-1.2-ERW 1-FC-5.9</v>
      </c>
      <c r="J73" s="4" t="s">
        <v>29</v>
      </c>
      <c r="K73" s="4" t="s">
        <v>47</v>
      </c>
      <c r="L73" s="4">
        <v>20000</v>
      </c>
      <c r="M73" s="4"/>
      <c r="N73" s="4"/>
      <c r="O73" s="4"/>
      <c r="P73" s="4"/>
      <c r="Q73" s="4"/>
      <c r="R73" s="4"/>
      <c r="S73" s="4"/>
      <c r="T73" s="4">
        <v>15000</v>
      </c>
      <c r="U73" s="4"/>
      <c r="V73" s="60"/>
    </row>
    <row r="74" spans="1:22" x14ac:dyDescent="0.25">
      <c r="A74" s="4">
        <v>71</v>
      </c>
      <c r="B74" s="4" t="s">
        <v>5</v>
      </c>
      <c r="C74" s="4" t="s">
        <v>5</v>
      </c>
      <c r="D74" s="4">
        <v>34.93</v>
      </c>
      <c r="E74" s="4">
        <v>1.2</v>
      </c>
      <c r="F74" s="4">
        <v>6</v>
      </c>
      <c r="G74" s="4">
        <v>5.9889999999999999</v>
      </c>
      <c r="H74" s="4" t="s">
        <v>147</v>
      </c>
      <c r="I74" s="4" t="str">
        <f>_xlfn.CONCAT(Table2[[#This Row],[key]])</f>
        <v>Megh-34.93-0-1.2-ERW 1-FC-6</v>
      </c>
      <c r="J74" s="4" t="s">
        <v>29</v>
      </c>
      <c r="K74" s="4" t="s">
        <v>47</v>
      </c>
      <c r="L74" s="4">
        <v>0</v>
      </c>
      <c r="M74" s="4"/>
      <c r="N74" s="4"/>
      <c r="O74" s="4"/>
      <c r="P74" s="4"/>
      <c r="Q74" s="4"/>
      <c r="R74" s="4"/>
      <c r="S74" s="4"/>
      <c r="T74" s="4"/>
      <c r="U74" s="4"/>
      <c r="V74" s="60"/>
    </row>
    <row r="75" spans="1:22" x14ac:dyDescent="0.25">
      <c r="A75" s="4">
        <v>72</v>
      </c>
      <c r="B75" s="4" t="s">
        <v>5</v>
      </c>
      <c r="C75" s="4" t="s">
        <v>5</v>
      </c>
      <c r="D75" s="4">
        <v>34.93</v>
      </c>
      <c r="E75" s="4">
        <v>1.2</v>
      </c>
      <c r="F75" s="4">
        <v>620</v>
      </c>
      <c r="G75" s="4">
        <v>620</v>
      </c>
      <c r="H75" s="4" t="s">
        <v>5</v>
      </c>
      <c r="I75" s="4"/>
      <c r="J75" s="4" t="s">
        <v>29</v>
      </c>
      <c r="K75" s="4" t="s">
        <v>5</v>
      </c>
      <c r="L75" s="4">
        <v>0</v>
      </c>
      <c r="M75" s="4"/>
      <c r="N75" s="4"/>
      <c r="O75" s="4"/>
      <c r="P75" s="4"/>
      <c r="Q75" s="4"/>
      <c r="R75" s="4"/>
      <c r="S75" s="4"/>
      <c r="T75" s="4"/>
      <c r="U75" s="4"/>
      <c r="V75" s="60"/>
    </row>
    <row r="76" spans="1:22" x14ac:dyDescent="0.25">
      <c r="A76" s="4">
        <v>73</v>
      </c>
      <c r="B76" s="4" t="s">
        <v>5</v>
      </c>
      <c r="C76" s="4" t="s">
        <v>5</v>
      </c>
      <c r="D76" s="4">
        <v>34.93</v>
      </c>
      <c r="E76" s="4">
        <v>1.2</v>
      </c>
      <c r="F76" s="4">
        <v>650</v>
      </c>
      <c r="G76" s="4">
        <v>650</v>
      </c>
      <c r="H76" s="4" t="s">
        <v>148</v>
      </c>
      <c r="I76" s="4" t="str">
        <f>_xlfn.CONCAT(Table2[[#This Row],[key]])</f>
        <v>Megh-34.93-0-1.2-ERW 1-FC-0.650</v>
      </c>
      <c r="J76" s="4" t="s">
        <v>29</v>
      </c>
      <c r="K76" s="4" t="s">
        <v>5</v>
      </c>
      <c r="L76" s="4">
        <v>19000</v>
      </c>
      <c r="M76" s="4"/>
      <c r="N76" s="4"/>
      <c r="O76" s="4"/>
      <c r="P76" s="4"/>
      <c r="Q76" s="4"/>
      <c r="R76" s="4"/>
      <c r="S76" s="4"/>
      <c r="T76" s="4"/>
      <c r="U76" s="4"/>
      <c r="V76" s="60"/>
    </row>
    <row r="77" spans="1:22" x14ac:dyDescent="0.25">
      <c r="A77" s="4">
        <v>74</v>
      </c>
      <c r="B77" s="4" t="s">
        <v>5</v>
      </c>
      <c r="C77" s="4" t="s">
        <v>5</v>
      </c>
      <c r="D77" s="4">
        <v>34.93</v>
      </c>
      <c r="E77" s="4">
        <v>1.2</v>
      </c>
      <c r="F77" s="4">
        <v>780</v>
      </c>
      <c r="G77" s="4">
        <v>780</v>
      </c>
      <c r="H77" s="4" t="s">
        <v>149</v>
      </c>
      <c r="I77" s="4" t="str">
        <f>_xlfn.CONCAT(Table2[[#This Row],[key]])</f>
        <v>Megh-34.93-0-1.2-ERW 1-FC-0.780</v>
      </c>
      <c r="J77" s="4" t="s">
        <v>29</v>
      </c>
      <c r="K77" s="4" t="s">
        <v>5</v>
      </c>
      <c r="L77" s="4">
        <v>10000</v>
      </c>
      <c r="M77" s="4"/>
      <c r="N77" s="4"/>
      <c r="O77" s="4"/>
      <c r="P77" s="4"/>
      <c r="Q77" s="4"/>
      <c r="R77" s="4"/>
      <c r="S77" s="4"/>
      <c r="T77" s="4"/>
      <c r="U77" s="4"/>
      <c r="V77" s="60"/>
    </row>
    <row r="78" spans="1:22" x14ac:dyDescent="0.25">
      <c r="A78" s="4">
        <v>75</v>
      </c>
      <c r="B78" s="4" t="s">
        <v>5</v>
      </c>
      <c r="C78" s="4" t="s">
        <v>5</v>
      </c>
      <c r="D78" s="4">
        <v>38.1</v>
      </c>
      <c r="E78" s="4">
        <v>1.6</v>
      </c>
      <c r="F78" s="4">
        <v>5.88</v>
      </c>
      <c r="G78" s="4">
        <v>7.2009999999999996</v>
      </c>
      <c r="H78" s="4" t="s">
        <v>62</v>
      </c>
      <c r="I78" s="4" t="str">
        <f>_xlfn.CONCAT(Table2[[#This Row],[key]],"-",Table2[[#This Row],[Length]])</f>
        <v>38.1-0-1.6-ERW 1-FC-5.88</v>
      </c>
      <c r="J78" s="4" t="s">
        <v>29</v>
      </c>
      <c r="K78" s="4" t="s">
        <v>47</v>
      </c>
      <c r="L78" s="4">
        <v>0</v>
      </c>
      <c r="M78" s="4"/>
      <c r="N78" s="4"/>
      <c r="O78" s="4"/>
      <c r="P78" s="4"/>
      <c r="Q78" s="4"/>
      <c r="R78" s="4"/>
      <c r="S78" s="4"/>
      <c r="T78" s="4"/>
      <c r="U78" s="4"/>
      <c r="V78" s="60"/>
    </row>
    <row r="79" spans="1:22" x14ac:dyDescent="0.25">
      <c r="A79" s="4">
        <v>76</v>
      </c>
      <c r="B79" s="4" t="s">
        <v>5</v>
      </c>
      <c r="C79" s="4">
        <v>943209</v>
      </c>
      <c r="D79" s="4">
        <v>38.1</v>
      </c>
      <c r="E79" s="4">
        <v>1.6</v>
      </c>
      <c r="F79" s="4">
        <v>6.19</v>
      </c>
      <c r="G79" s="4">
        <v>8.9149999999999991</v>
      </c>
      <c r="H79" s="4" t="s">
        <v>63</v>
      </c>
      <c r="I79" s="4" t="str">
        <f>_xlfn.CONCAT(Table2[[#This Row],[key]],"-",Table2[[#This Row],[Length]])</f>
        <v>38.1-0-1.6-ERW 2 MAHS-FC-6.19</v>
      </c>
      <c r="J79" s="4" t="s">
        <v>38</v>
      </c>
      <c r="K79" s="4" t="s">
        <v>47</v>
      </c>
      <c r="L79" s="4">
        <v>64000</v>
      </c>
      <c r="M79" s="4">
        <v>30000</v>
      </c>
      <c r="N79" s="4">
        <v>11000</v>
      </c>
      <c r="O79" s="4"/>
      <c r="P79" s="4"/>
      <c r="Q79" s="4"/>
      <c r="R79" s="4"/>
      <c r="S79" s="4"/>
      <c r="T79" s="4"/>
      <c r="U79" s="4"/>
      <c r="V79" s="60"/>
    </row>
    <row r="80" spans="1:22" x14ac:dyDescent="0.25">
      <c r="A80" s="4">
        <v>77</v>
      </c>
      <c r="B80" s="4" t="s">
        <v>5</v>
      </c>
      <c r="C80" s="4" t="s">
        <v>5</v>
      </c>
      <c r="D80" s="4">
        <v>38.1</v>
      </c>
      <c r="E80" s="4">
        <v>1.6</v>
      </c>
      <c r="F80" s="4">
        <v>6.2050000000000001</v>
      </c>
      <c r="G80" s="4">
        <v>8.9369999999999994</v>
      </c>
      <c r="H80" s="4" t="s">
        <v>62</v>
      </c>
      <c r="I80" s="4" t="str">
        <f>_xlfn.CONCAT(Table2[[#This Row],[key]],"-",Table2[[#This Row],[Length]])</f>
        <v>38.1-0-1.6-ERW 1-FC-6.205</v>
      </c>
      <c r="J80" s="4" t="s">
        <v>64</v>
      </c>
      <c r="K80" s="4" t="s">
        <v>47</v>
      </c>
      <c r="L80" s="4">
        <v>0</v>
      </c>
      <c r="M80" s="4">
        <v>0</v>
      </c>
      <c r="N80" s="4"/>
      <c r="O80" s="4"/>
      <c r="P80" s="4"/>
      <c r="Q80" s="4"/>
      <c r="R80" s="4"/>
      <c r="S80" s="4"/>
      <c r="T80" s="4"/>
      <c r="U80" s="4"/>
      <c r="V80" s="60"/>
    </row>
    <row r="81" spans="1:22" x14ac:dyDescent="0.25">
      <c r="A81" s="4">
        <v>78</v>
      </c>
      <c r="B81" s="4" t="s">
        <v>5</v>
      </c>
      <c r="C81" s="4">
        <v>943209</v>
      </c>
      <c r="D81" s="4">
        <v>38.1</v>
      </c>
      <c r="E81" s="4">
        <v>2</v>
      </c>
      <c r="F81" s="4">
        <v>5.65</v>
      </c>
      <c r="G81" s="4">
        <v>10.06</v>
      </c>
      <c r="H81" s="4" t="s">
        <v>65</v>
      </c>
      <c r="I81" s="4" t="str">
        <f>_xlfn.CONCAT(Table2[[#This Row],[key]],"-",Table2[[#This Row],[Length]])</f>
        <v>38.1-0-2-ERW 1-FC-5.65</v>
      </c>
      <c r="J81" s="4" t="s">
        <v>29</v>
      </c>
      <c r="K81" s="4" t="s">
        <v>47</v>
      </c>
      <c r="L81" s="4">
        <v>10000</v>
      </c>
      <c r="M81" s="4">
        <v>10000</v>
      </c>
      <c r="N81" s="4">
        <v>3000</v>
      </c>
      <c r="O81" s="4"/>
      <c r="P81" s="4"/>
      <c r="Q81" s="4"/>
      <c r="R81" s="4"/>
      <c r="S81" s="4"/>
      <c r="T81" s="4"/>
      <c r="U81" s="4"/>
      <c r="V81" s="60"/>
    </row>
    <row r="82" spans="1:22" x14ac:dyDescent="0.25">
      <c r="A82" s="4">
        <v>79</v>
      </c>
      <c r="B82" s="4" t="s">
        <v>5</v>
      </c>
      <c r="C82" s="4">
        <v>943209</v>
      </c>
      <c r="D82" s="4">
        <v>38.1</v>
      </c>
      <c r="E82" s="4">
        <v>2.5</v>
      </c>
      <c r="F82" s="4">
        <v>6.19</v>
      </c>
      <c r="G82" s="4">
        <v>13.586</v>
      </c>
      <c r="H82" s="4" t="s">
        <v>66</v>
      </c>
      <c r="I82" s="4" t="str">
        <f>_xlfn.CONCAT(Table2[[#This Row],[key]],"-",Table2[[#This Row],[Length]])</f>
        <v>38.1-0-2.5-ERW 2 MAHS-FC-6.19</v>
      </c>
      <c r="J82" s="4" t="s">
        <v>38</v>
      </c>
      <c r="K82" s="4" t="s">
        <v>47</v>
      </c>
      <c r="L82" s="4">
        <v>97000</v>
      </c>
      <c r="M82" s="4">
        <v>42000</v>
      </c>
      <c r="N82" s="4">
        <v>16000</v>
      </c>
      <c r="O82" s="4"/>
      <c r="P82" s="4"/>
      <c r="Q82" s="4"/>
      <c r="R82" s="4"/>
      <c r="S82" s="4"/>
      <c r="T82" s="4"/>
      <c r="U82" s="4"/>
      <c r="V82" s="60"/>
    </row>
    <row r="83" spans="1:22" x14ac:dyDescent="0.25">
      <c r="A83" s="4">
        <v>80</v>
      </c>
      <c r="B83" s="4" t="s">
        <v>5</v>
      </c>
      <c r="C83" s="4">
        <v>943211</v>
      </c>
      <c r="D83" s="4">
        <v>38.1</v>
      </c>
      <c r="E83" s="4">
        <v>3.2</v>
      </c>
      <c r="F83" s="4">
        <v>6.16</v>
      </c>
      <c r="G83" s="4" t="s">
        <v>5</v>
      </c>
      <c r="H83" s="4" t="s">
        <v>175</v>
      </c>
      <c r="I83" s="4" t="s">
        <v>175</v>
      </c>
      <c r="J83" s="4" t="s">
        <v>38</v>
      </c>
      <c r="K83" s="4" t="s">
        <v>47</v>
      </c>
      <c r="L83" s="4">
        <v>0</v>
      </c>
      <c r="M83" s="4">
        <v>0</v>
      </c>
      <c r="N83" s="4">
        <v>0</v>
      </c>
      <c r="O83" s="4"/>
      <c r="P83" s="4"/>
      <c r="Q83" s="4"/>
      <c r="R83" s="4"/>
      <c r="S83" s="4"/>
      <c r="T83" s="4"/>
      <c r="U83" s="4"/>
      <c r="V83" s="60"/>
    </row>
    <row r="84" spans="1:22" x14ac:dyDescent="0.25">
      <c r="A84" s="4">
        <v>81</v>
      </c>
      <c r="B84" s="4" t="s">
        <v>5</v>
      </c>
      <c r="C84" s="4">
        <v>943211</v>
      </c>
      <c r="D84" s="4">
        <v>38.1</v>
      </c>
      <c r="E84" s="4">
        <v>3.2</v>
      </c>
      <c r="F84" s="4">
        <v>6</v>
      </c>
      <c r="G84" s="4" t="s">
        <v>5</v>
      </c>
      <c r="H84" s="4" t="s">
        <v>5</v>
      </c>
      <c r="I84" s="4"/>
      <c r="J84" s="4" t="s">
        <v>67</v>
      </c>
      <c r="K84" s="4" t="s">
        <v>5</v>
      </c>
      <c r="L84" s="4">
        <v>0</v>
      </c>
      <c r="M84" s="4">
        <v>0</v>
      </c>
      <c r="N84" s="4">
        <v>0</v>
      </c>
      <c r="O84" s="4"/>
      <c r="P84" s="4"/>
      <c r="Q84" s="4"/>
      <c r="R84" s="4"/>
      <c r="S84" s="4"/>
      <c r="T84" s="4"/>
      <c r="U84" s="4"/>
      <c r="V84" s="60"/>
    </row>
    <row r="85" spans="1:22" x14ac:dyDescent="0.25">
      <c r="A85" s="4">
        <v>82</v>
      </c>
      <c r="B85" s="4" t="s">
        <v>68</v>
      </c>
      <c r="C85" s="4">
        <v>943209</v>
      </c>
      <c r="D85" s="4">
        <v>41.28</v>
      </c>
      <c r="E85" s="4">
        <v>1.6</v>
      </c>
      <c r="F85" s="4">
        <v>5.74</v>
      </c>
      <c r="G85" s="4">
        <v>9.1999999999999993</v>
      </c>
      <c r="H85" s="4" t="s">
        <v>69</v>
      </c>
      <c r="I85" s="4" t="str">
        <f>_xlfn.CONCAT(Table2[[#This Row],[key]],"-",Table2[[#This Row],[Length]])</f>
        <v>40-25-1.6-ERW 1-FC-5.74</v>
      </c>
      <c r="J85" s="4" t="s">
        <v>29</v>
      </c>
      <c r="K85" s="4" t="s">
        <v>47</v>
      </c>
      <c r="L85" s="4">
        <v>0</v>
      </c>
      <c r="M85" s="4">
        <v>0</v>
      </c>
      <c r="N85" s="4"/>
      <c r="O85" s="4"/>
      <c r="P85" s="4"/>
      <c r="Q85" s="4"/>
      <c r="R85" s="4"/>
      <c r="S85" s="4"/>
      <c r="T85" s="4"/>
      <c r="U85" s="4"/>
      <c r="V85" s="60"/>
    </row>
    <row r="86" spans="1:22" x14ac:dyDescent="0.25">
      <c r="A86" s="4">
        <v>83</v>
      </c>
      <c r="B86" s="4" t="s">
        <v>68</v>
      </c>
      <c r="C86" s="4">
        <v>943209</v>
      </c>
      <c r="D86" s="4">
        <v>41.28</v>
      </c>
      <c r="E86" s="4">
        <v>1.6</v>
      </c>
      <c r="F86" s="4">
        <v>5.99</v>
      </c>
      <c r="G86" s="4">
        <v>9.5</v>
      </c>
      <c r="H86" s="4" t="s">
        <v>69</v>
      </c>
      <c r="I86" s="4" t="str">
        <f>_xlfn.CONCAT(Table2[[#This Row],[key]],"-",Table2[[#This Row],[Length]])</f>
        <v>40-25-1.6-ERW 1-FC-5.99</v>
      </c>
      <c r="J86" s="4" t="s">
        <v>29</v>
      </c>
      <c r="K86" s="4" t="s">
        <v>47</v>
      </c>
      <c r="L86" s="4">
        <v>13000</v>
      </c>
      <c r="M86" s="4">
        <v>0</v>
      </c>
      <c r="N86" s="4"/>
      <c r="O86" s="4"/>
      <c r="P86" s="4"/>
      <c r="Q86" s="4"/>
      <c r="R86" s="4"/>
      <c r="S86" s="4"/>
      <c r="T86" s="4"/>
      <c r="U86" s="4"/>
      <c r="V86" s="60"/>
    </row>
    <row r="87" spans="1:22" x14ac:dyDescent="0.25">
      <c r="A87" s="4">
        <v>84</v>
      </c>
      <c r="B87" s="4" t="s">
        <v>68</v>
      </c>
      <c r="C87" s="4" t="s">
        <v>5</v>
      </c>
      <c r="D87" s="4">
        <v>41.28</v>
      </c>
      <c r="E87" s="4">
        <v>1.6</v>
      </c>
      <c r="F87" s="4">
        <v>6.02</v>
      </c>
      <c r="G87" s="4" t="s">
        <v>5</v>
      </c>
      <c r="H87" s="4" t="s">
        <v>69</v>
      </c>
      <c r="I87" s="4" t="s">
        <v>176</v>
      </c>
      <c r="J87" s="4" t="s">
        <v>5</v>
      </c>
      <c r="K87" s="4" t="s">
        <v>5</v>
      </c>
      <c r="L87" s="4">
        <v>0</v>
      </c>
      <c r="M87" s="4">
        <v>20000</v>
      </c>
      <c r="N87" s="4"/>
      <c r="O87" s="4"/>
      <c r="P87" s="4"/>
      <c r="Q87" s="4"/>
      <c r="R87" s="4"/>
      <c r="S87" s="4"/>
      <c r="T87" s="4"/>
      <c r="U87" s="4"/>
      <c r="V87" s="60"/>
    </row>
    <row r="88" spans="1:22" x14ac:dyDescent="0.25">
      <c r="A88" s="4">
        <v>85</v>
      </c>
      <c r="B88" s="4" t="s">
        <v>5</v>
      </c>
      <c r="C88" s="4">
        <v>943209</v>
      </c>
      <c r="D88" s="4">
        <v>41.28</v>
      </c>
      <c r="E88" s="4">
        <v>2.6</v>
      </c>
      <c r="F88" s="4">
        <v>6</v>
      </c>
      <c r="G88" s="4">
        <v>14.881</v>
      </c>
      <c r="H88" s="4" t="s">
        <v>70</v>
      </c>
      <c r="I88" s="4" t="str">
        <f>_xlfn.CONCAT(Table2[[#This Row],[key]],"-",Table2[[#This Row],[Length]])</f>
        <v>41.28-0-2.6-ERW 1-FC-6</v>
      </c>
      <c r="J88" s="4" t="s">
        <v>29</v>
      </c>
      <c r="K88" s="4" t="s">
        <v>47</v>
      </c>
      <c r="L88" s="4">
        <v>85000</v>
      </c>
      <c r="M88" s="4">
        <v>60000</v>
      </c>
      <c r="N88" s="4"/>
      <c r="O88" s="4"/>
      <c r="P88" s="4"/>
      <c r="Q88" s="4"/>
      <c r="R88" s="4"/>
      <c r="S88" s="4"/>
      <c r="T88" s="4"/>
      <c r="U88" s="4"/>
      <c r="V88" s="60"/>
    </row>
    <row r="89" spans="1:22" x14ac:dyDescent="0.25">
      <c r="A89" s="4">
        <v>86</v>
      </c>
      <c r="B89" s="4" t="s">
        <v>5</v>
      </c>
      <c r="C89" s="4" t="s">
        <v>5</v>
      </c>
      <c r="D89" s="4">
        <v>41.28</v>
      </c>
      <c r="E89" s="4">
        <v>2.6</v>
      </c>
      <c r="F89" s="4">
        <v>6.02</v>
      </c>
      <c r="G89" s="4">
        <v>14.881</v>
      </c>
      <c r="H89" s="4" t="s">
        <v>70</v>
      </c>
      <c r="I89" s="4" t="str">
        <f>_xlfn.CONCAT(Table2[[#This Row],[key]],"-",Table2[[#This Row],[Length]])</f>
        <v>41.28-0-2.6-ERW 1-FC-6.02</v>
      </c>
      <c r="J89" s="4" t="s">
        <v>29</v>
      </c>
      <c r="K89" s="4" t="s">
        <v>47</v>
      </c>
      <c r="L89" s="4">
        <v>0</v>
      </c>
      <c r="M89" s="4"/>
      <c r="N89" s="4"/>
      <c r="O89" s="4"/>
      <c r="P89" s="4"/>
      <c r="Q89" s="4"/>
      <c r="R89" s="4"/>
      <c r="S89" s="4"/>
      <c r="T89" s="4"/>
      <c r="U89" s="4"/>
      <c r="V89" s="60"/>
    </row>
    <row r="90" spans="1:22" x14ac:dyDescent="0.25">
      <c r="A90" s="4">
        <v>87</v>
      </c>
      <c r="B90" s="4" t="s">
        <v>5</v>
      </c>
      <c r="C90" s="4">
        <v>943210</v>
      </c>
      <c r="D90" s="4">
        <v>41.28</v>
      </c>
      <c r="E90" s="4">
        <v>3.15</v>
      </c>
      <c r="F90" s="4">
        <v>5.94</v>
      </c>
      <c r="G90" s="4">
        <v>17.417000000000002</v>
      </c>
      <c r="H90" s="4" t="s">
        <v>71</v>
      </c>
      <c r="I90" s="4" t="str">
        <f>_xlfn.CONCAT(Table2[[#This Row],[key]],"-",Table2[[#This Row],[Length]])</f>
        <v>41.28-0-3.2-ERW 1-FC-5.94</v>
      </c>
      <c r="J90" s="4" t="s">
        <v>29</v>
      </c>
      <c r="K90" s="4" t="s">
        <v>47</v>
      </c>
      <c r="L90" s="4">
        <v>87000</v>
      </c>
      <c r="M90" s="4">
        <v>34000</v>
      </c>
      <c r="N90" s="4">
        <v>17000</v>
      </c>
      <c r="O90" s="4"/>
      <c r="P90" s="4">
        <v>14000</v>
      </c>
      <c r="Q90" s="4"/>
      <c r="R90" s="4"/>
      <c r="S90" s="4"/>
      <c r="T90" s="4"/>
      <c r="U90" s="4"/>
      <c r="V90" s="60"/>
    </row>
    <row r="91" spans="1:22" x14ac:dyDescent="0.25">
      <c r="A91" s="4">
        <v>88</v>
      </c>
      <c r="B91" s="4" t="s">
        <v>5</v>
      </c>
      <c r="C91" s="4">
        <v>943210</v>
      </c>
      <c r="D91" s="4">
        <v>41.28</v>
      </c>
      <c r="E91" s="4">
        <v>3.15</v>
      </c>
      <c r="F91" s="4">
        <v>5.86</v>
      </c>
      <c r="G91" s="4">
        <v>17.417000000000002</v>
      </c>
      <c r="H91" s="4" t="s">
        <v>71</v>
      </c>
      <c r="I91" s="4" t="str">
        <f>_xlfn.CONCAT(Table2[[#This Row],[key]],"-",Table2[[#This Row],[Length]])</f>
        <v>41.28-0-3.2-ERW 1-FC-5.86</v>
      </c>
      <c r="J91" s="4" t="s">
        <v>29</v>
      </c>
      <c r="K91" s="4" t="s">
        <v>47</v>
      </c>
      <c r="L91" s="4">
        <v>0</v>
      </c>
      <c r="M91" s="4">
        <v>0</v>
      </c>
      <c r="N91" s="4">
        <v>0</v>
      </c>
      <c r="O91" s="4"/>
      <c r="P91" s="4"/>
      <c r="Q91" s="4"/>
      <c r="R91" s="4"/>
      <c r="S91" s="4"/>
      <c r="T91" s="4"/>
      <c r="U91" s="4"/>
      <c r="V91" s="60"/>
    </row>
    <row r="92" spans="1:22" x14ac:dyDescent="0.25">
      <c r="A92" s="4">
        <v>89</v>
      </c>
      <c r="B92" s="4" t="s">
        <v>5</v>
      </c>
      <c r="C92" s="4" t="s">
        <v>5</v>
      </c>
      <c r="D92" s="4">
        <v>41.28</v>
      </c>
      <c r="E92" s="4">
        <v>3.15</v>
      </c>
      <c r="F92" s="4">
        <v>6.2850000000000001</v>
      </c>
      <c r="G92" s="4" t="s">
        <v>5</v>
      </c>
      <c r="H92" s="4" t="s">
        <v>5</v>
      </c>
      <c r="I92" s="4"/>
      <c r="J92" s="4" t="s">
        <v>5</v>
      </c>
      <c r="K92" s="4" t="s">
        <v>5</v>
      </c>
      <c r="L92" s="4">
        <v>0</v>
      </c>
      <c r="M92" s="4">
        <v>0</v>
      </c>
      <c r="N92" s="4">
        <v>0</v>
      </c>
      <c r="O92" s="4"/>
      <c r="P92" s="4"/>
      <c r="Q92" s="4"/>
      <c r="R92" s="4"/>
      <c r="S92" s="4"/>
      <c r="T92" s="4"/>
      <c r="U92" s="4"/>
      <c r="V92" s="60"/>
    </row>
    <row r="93" spans="1:22" x14ac:dyDescent="0.25">
      <c r="A93" s="4">
        <v>90</v>
      </c>
      <c r="B93" s="4" t="s">
        <v>5</v>
      </c>
      <c r="C93" s="4">
        <v>943210</v>
      </c>
      <c r="D93" s="4">
        <v>42.7</v>
      </c>
      <c r="E93" s="4">
        <v>1.6</v>
      </c>
      <c r="F93" s="4">
        <v>5.94</v>
      </c>
      <c r="G93" s="4" t="s">
        <v>5</v>
      </c>
      <c r="H93" s="4" t="s">
        <v>150</v>
      </c>
      <c r="I93" s="4" t="str">
        <f>_xlfn.CONCAT(Table2[[#This Row],[key]])</f>
        <v>Megh-42.7-0-1.6-5.94</v>
      </c>
      <c r="J93" s="4" t="s">
        <v>38</v>
      </c>
      <c r="K93" s="4" t="s">
        <v>47</v>
      </c>
      <c r="L93" s="4">
        <v>25000</v>
      </c>
      <c r="M93" s="4">
        <v>0</v>
      </c>
      <c r="N93" s="4">
        <v>0</v>
      </c>
      <c r="O93" s="4"/>
      <c r="P93" s="4"/>
      <c r="Q93" s="4"/>
      <c r="R93" s="4"/>
      <c r="S93" s="4">
        <v>15000</v>
      </c>
      <c r="T93" s="4"/>
      <c r="U93" s="4"/>
      <c r="V93" s="60"/>
    </row>
    <row r="94" spans="1:22" x14ac:dyDescent="0.25">
      <c r="A94" s="4">
        <v>91</v>
      </c>
      <c r="B94" s="4" t="s">
        <v>5</v>
      </c>
      <c r="C94" s="4" t="s">
        <v>5</v>
      </c>
      <c r="D94" s="4">
        <v>42.7</v>
      </c>
      <c r="E94" s="4">
        <v>3.5</v>
      </c>
      <c r="F94" s="4">
        <v>6</v>
      </c>
      <c r="G94" s="4">
        <v>20.300999999999998</v>
      </c>
      <c r="H94" s="4" t="s">
        <v>72</v>
      </c>
      <c r="I94" s="4" t="str">
        <f>_xlfn.CONCAT(Table2[[#This Row],[key]],"-",Table2[[#This Row],[Length]])</f>
        <v>42.7-0-3.5-ERW 1-FC-6</v>
      </c>
      <c r="J94" s="4" t="s">
        <v>29</v>
      </c>
      <c r="K94" s="4" t="s">
        <v>47</v>
      </c>
      <c r="L94" s="4">
        <v>0</v>
      </c>
      <c r="M94" s="4">
        <v>0</v>
      </c>
      <c r="N94" s="4">
        <v>3000</v>
      </c>
      <c r="O94" s="4"/>
      <c r="P94" s="4"/>
      <c r="Q94" s="4"/>
      <c r="R94" s="4"/>
      <c r="S94" s="4"/>
      <c r="T94" s="4"/>
      <c r="U94" s="4"/>
      <c r="V94" s="60"/>
    </row>
    <row r="95" spans="1:22" x14ac:dyDescent="0.25">
      <c r="A95" s="4">
        <v>92</v>
      </c>
      <c r="B95" s="4" t="s">
        <v>5</v>
      </c>
      <c r="C95" s="4">
        <v>943209</v>
      </c>
      <c r="D95" s="4">
        <v>42.7</v>
      </c>
      <c r="E95" s="4">
        <v>3.5</v>
      </c>
      <c r="F95" s="4">
        <v>6.05</v>
      </c>
      <c r="G95" s="4">
        <v>20.471</v>
      </c>
      <c r="H95" s="4" t="s">
        <v>72</v>
      </c>
      <c r="I95" s="4" t="str">
        <f>_xlfn.CONCAT(Table2[[#This Row],[key]],"-",Table2[[#This Row],[Length]])</f>
        <v>42.7-0-3.5-ERW 1-FC-6.05</v>
      </c>
      <c r="J95" s="4" t="s">
        <v>29</v>
      </c>
      <c r="K95" s="4" t="s">
        <v>47</v>
      </c>
      <c r="L95" s="4">
        <v>1500</v>
      </c>
      <c r="M95" s="4">
        <v>0</v>
      </c>
      <c r="N95" s="4"/>
      <c r="O95" s="4"/>
      <c r="P95" s="4"/>
      <c r="Q95" s="4"/>
      <c r="R95" s="4"/>
      <c r="S95" s="4"/>
      <c r="T95" s="4"/>
      <c r="U95" s="4"/>
      <c r="V95" s="60"/>
    </row>
    <row r="96" spans="1:22" x14ac:dyDescent="0.25">
      <c r="A96" s="4">
        <v>93</v>
      </c>
      <c r="B96" s="4" t="s">
        <v>5</v>
      </c>
      <c r="C96" s="4">
        <v>943209</v>
      </c>
      <c r="D96" s="4">
        <v>42.7</v>
      </c>
      <c r="E96" s="4">
        <v>4</v>
      </c>
      <c r="F96" s="4">
        <v>5.5</v>
      </c>
      <c r="G96" s="4">
        <v>20.997</v>
      </c>
      <c r="H96" s="4" t="s">
        <v>73</v>
      </c>
      <c r="I96" s="4" t="str">
        <f>_xlfn.CONCAT(Table2[[#This Row],[key]],"-",Table2[[#This Row],[Length]])</f>
        <v>42.7-0-4-ERW 1-FC-5.5</v>
      </c>
      <c r="J96" s="4" t="s">
        <v>29</v>
      </c>
      <c r="K96" s="4" t="s">
        <v>47</v>
      </c>
      <c r="L96" s="4">
        <v>38000</v>
      </c>
      <c r="M96" s="4">
        <v>35000</v>
      </c>
      <c r="N96" s="4">
        <v>15000</v>
      </c>
      <c r="O96" s="4"/>
      <c r="P96" s="4"/>
      <c r="Q96" s="4"/>
      <c r="R96" s="4"/>
      <c r="S96" s="4"/>
      <c r="T96" s="4"/>
      <c r="U96" s="4"/>
      <c r="V96" s="60"/>
    </row>
    <row r="97" spans="1:22" x14ac:dyDescent="0.25">
      <c r="A97" s="4">
        <v>94</v>
      </c>
      <c r="B97" s="4" t="s">
        <v>74</v>
      </c>
      <c r="C97" s="4">
        <v>943209</v>
      </c>
      <c r="D97" s="4">
        <v>44.45</v>
      </c>
      <c r="E97" s="4">
        <v>1.6</v>
      </c>
      <c r="F97" s="4">
        <v>5.9</v>
      </c>
      <c r="G97" s="4">
        <v>10.02</v>
      </c>
      <c r="H97" s="4" t="s">
        <v>75</v>
      </c>
      <c r="I97" s="4" t="str">
        <f>_xlfn.CONCAT(Table2[[#This Row],[key]],"-",Table2[[#This Row],[Length]])</f>
        <v>40-30-1.6-ERW 1-FC-5.9</v>
      </c>
      <c r="J97" s="4" t="s">
        <v>29</v>
      </c>
      <c r="K97" s="4" t="s">
        <v>47</v>
      </c>
      <c r="L97" s="4">
        <v>15000</v>
      </c>
      <c r="M97" s="4">
        <v>0</v>
      </c>
      <c r="N97" s="4"/>
      <c r="O97" s="4"/>
      <c r="P97" s="4"/>
      <c r="Q97" s="4"/>
      <c r="R97" s="4"/>
      <c r="S97" s="4"/>
      <c r="T97" s="4"/>
      <c r="U97" s="4"/>
      <c r="V97" s="60"/>
    </row>
    <row r="98" spans="1:22" x14ac:dyDescent="0.25">
      <c r="A98" s="4">
        <v>95</v>
      </c>
      <c r="B98" s="4" t="s">
        <v>74</v>
      </c>
      <c r="C98" s="4">
        <v>943209</v>
      </c>
      <c r="D98" s="4">
        <v>44.45</v>
      </c>
      <c r="E98" s="4">
        <v>1.6</v>
      </c>
      <c r="F98" s="4">
        <v>6.23</v>
      </c>
      <c r="G98" s="4">
        <v>10.53</v>
      </c>
      <c r="H98" s="4" t="s">
        <v>75</v>
      </c>
      <c r="I98" s="4" t="str">
        <f>_xlfn.CONCAT(Table2[[#This Row],[key]],"-",Table2[[#This Row],[Length]])</f>
        <v>40-30-1.6-ERW 1-FC-6.23</v>
      </c>
      <c r="J98" s="4" t="s">
        <v>29</v>
      </c>
      <c r="K98" s="4" t="s">
        <v>47</v>
      </c>
      <c r="L98" s="4">
        <v>0</v>
      </c>
      <c r="M98" s="4">
        <v>0</v>
      </c>
      <c r="N98" s="4"/>
      <c r="O98" s="4"/>
      <c r="P98" s="4"/>
      <c r="Q98" s="4"/>
      <c r="R98" s="4"/>
      <c r="S98" s="4"/>
      <c r="T98" s="4"/>
      <c r="U98" s="4"/>
      <c r="V98" s="60"/>
    </row>
    <row r="99" spans="1:22" x14ac:dyDescent="0.25">
      <c r="A99" s="4">
        <v>96</v>
      </c>
      <c r="B99" s="4" t="s">
        <v>5</v>
      </c>
      <c r="C99" s="4">
        <v>943210</v>
      </c>
      <c r="D99" s="4">
        <v>45</v>
      </c>
      <c r="E99" s="4">
        <v>1.4</v>
      </c>
      <c r="F99" s="4">
        <v>5.7</v>
      </c>
      <c r="G99" s="4">
        <v>8.58</v>
      </c>
      <c r="H99" s="4" t="s">
        <v>151</v>
      </c>
      <c r="I99" s="4" t="str">
        <f>_xlfn.CONCAT(Table2[[#This Row],[key]])</f>
        <v>Megh-45-0-1.4-5.7</v>
      </c>
      <c r="J99" s="4" t="s">
        <v>29</v>
      </c>
      <c r="K99" s="4" t="s">
        <v>47</v>
      </c>
      <c r="L99" s="4">
        <v>5000</v>
      </c>
      <c r="M99" s="4"/>
      <c r="N99" s="4">
        <v>0</v>
      </c>
      <c r="O99" s="4"/>
      <c r="P99" s="4"/>
      <c r="Q99" s="4"/>
      <c r="R99" s="4"/>
      <c r="S99" s="4"/>
      <c r="T99" s="4"/>
      <c r="U99" s="4"/>
      <c r="V99" s="60"/>
    </row>
    <row r="100" spans="1:22" x14ac:dyDescent="0.25">
      <c r="A100" s="4">
        <v>97</v>
      </c>
      <c r="B100" s="4" t="s">
        <v>5</v>
      </c>
      <c r="C100" s="4">
        <v>943210</v>
      </c>
      <c r="D100" s="4">
        <v>45</v>
      </c>
      <c r="E100" s="4">
        <v>1.4</v>
      </c>
      <c r="F100" s="4">
        <v>6.4</v>
      </c>
      <c r="G100" s="4">
        <v>9.6340000000000003</v>
      </c>
      <c r="H100" s="4" t="s">
        <v>152</v>
      </c>
      <c r="I100" s="4" t="str">
        <f>_xlfn.CONCAT(Table2[[#This Row],[key]])</f>
        <v>Megh-45-0-1.4-6.4</v>
      </c>
      <c r="J100" s="4" t="s">
        <v>38</v>
      </c>
      <c r="K100" s="4" t="s">
        <v>47</v>
      </c>
      <c r="L100" s="4">
        <v>24000</v>
      </c>
      <c r="M100" s="4"/>
      <c r="N100" s="4">
        <v>0</v>
      </c>
      <c r="O100" s="4"/>
      <c r="P100" s="4"/>
      <c r="Q100" s="4"/>
      <c r="R100" s="4"/>
      <c r="S100" s="4"/>
      <c r="T100" s="4"/>
      <c r="U100" s="4"/>
      <c r="V100" s="60"/>
    </row>
    <row r="101" spans="1:22" x14ac:dyDescent="0.25">
      <c r="A101" s="4">
        <v>98</v>
      </c>
      <c r="B101" s="4" t="s">
        <v>5</v>
      </c>
      <c r="C101" s="4" t="s">
        <v>5</v>
      </c>
      <c r="D101" s="4">
        <v>45</v>
      </c>
      <c r="E101" s="4">
        <v>1.4</v>
      </c>
      <c r="F101" s="4">
        <v>6.46</v>
      </c>
      <c r="G101" s="4">
        <v>9.7240000000000002</v>
      </c>
      <c r="H101" s="4" t="s">
        <v>154</v>
      </c>
      <c r="I101" s="4" t="str">
        <f>_xlfn.CONCAT(Table2[[#This Row],[key]])</f>
        <v>Megh-45-0-1.4-6.46</v>
      </c>
      <c r="J101" s="4" t="s">
        <v>38</v>
      </c>
      <c r="K101" s="4" t="s">
        <v>47</v>
      </c>
      <c r="L101" s="4">
        <v>0</v>
      </c>
      <c r="M101" s="4"/>
      <c r="N101" s="4">
        <v>0</v>
      </c>
      <c r="O101" s="4"/>
      <c r="P101" s="4"/>
      <c r="Q101" s="4"/>
      <c r="R101" s="4"/>
      <c r="S101" s="4"/>
      <c r="T101" s="4"/>
      <c r="U101" s="4"/>
      <c r="V101" s="60"/>
    </row>
    <row r="102" spans="1:22" x14ac:dyDescent="0.25">
      <c r="A102" s="4">
        <v>99</v>
      </c>
      <c r="B102" s="4" t="s">
        <v>5</v>
      </c>
      <c r="C102" s="4">
        <v>943210</v>
      </c>
      <c r="D102" s="4">
        <v>45</v>
      </c>
      <c r="E102" s="4">
        <v>1.6</v>
      </c>
      <c r="F102" s="4">
        <v>6.4</v>
      </c>
      <c r="G102" s="4">
        <v>10.96</v>
      </c>
      <c r="H102" s="4" t="s">
        <v>153</v>
      </c>
      <c r="I102" s="4" t="str">
        <f>_xlfn.CONCAT(Table2[[#This Row],[key]])</f>
        <v>Megh-45-0-1.6-6.4</v>
      </c>
      <c r="J102" s="4" t="s">
        <v>38</v>
      </c>
      <c r="K102" s="4" t="s">
        <v>47</v>
      </c>
      <c r="L102" s="4">
        <v>28000</v>
      </c>
      <c r="M102" s="4"/>
      <c r="N102" s="4">
        <v>0</v>
      </c>
      <c r="O102" s="4"/>
      <c r="P102" s="4"/>
      <c r="Q102" s="4"/>
      <c r="R102" s="4"/>
      <c r="S102" s="4"/>
      <c r="T102" s="4"/>
      <c r="U102" s="4"/>
      <c r="V102" s="60"/>
    </row>
    <row r="103" spans="1:22" x14ac:dyDescent="0.25">
      <c r="A103" s="4">
        <v>100</v>
      </c>
      <c r="B103" s="4" t="s">
        <v>5</v>
      </c>
      <c r="C103" s="4" t="s">
        <v>5</v>
      </c>
      <c r="D103" s="4">
        <v>45</v>
      </c>
      <c r="E103" s="4">
        <v>3.5</v>
      </c>
      <c r="F103" s="4">
        <v>6.1</v>
      </c>
      <c r="G103" s="4">
        <v>10.96</v>
      </c>
      <c r="H103" s="4" t="s">
        <v>155</v>
      </c>
      <c r="I103" s="4" t="str">
        <f>_xlfn.CONCAT(Table2[[#This Row],[key]])</f>
        <v>Megh-45-0-3.5-6.1</v>
      </c>
      <c r="J103" s="4" t="s">
        <v>55</v>
      </c>
      <c r="K103" s="4" t="s">
        <v>47</v>
      </c>
      <c r="L103" s="4">
        <v>0</v>
      </c>
      <c r="M103" s="4"/>
      <c r="N103" s="4">
        <v>0</v>
      </c>
      <c r="O103" s="4"/>
      <c r="P103" s="4"/>
      <c r="Q103" s="4"/>
      <c r="R103" s="4"/>
      <c r="S103" s="4"/>
      <c r="T103" s="4"/>
      <c r="U103" s="4"/>
      <c r="V103" s="60"/>
    </row>
    <row r="104" spans="1:22" x14ac:dyDescent="0.25">
      <c r="A104" s="4">
        <v>101</v>
      </c>
      <c r="B104" s="4" t="s">
        <v>5</v>
      </c>
      <c r="C104" s="4" t="s">
        <v>5</v>
      </c>
      <c r="D104" s="4">
        <v>47.63</v>
      </c>
      <c r="E104" s="4">
        <v>4</v>
      </c>
      <c r="F104" s="4">
        <v>6</v>
      </c>
      <c r="G104" s="4">
        <v>25.824000000000002</v>
      </c>
      <c r="H104" s="4" t="s">
        <v>156</v>
      </c>
      <c r="I104" s="4" t="str">
        <f>_xlfn.CONCAT(Table2[[#This Row],[key]])</f>
        <v>Megh-47.63-0-4-6</v>
      </c>
      <c r="J104" s="4" t="s">
        <v>55</v>
      </c>
      <c r="K104" s="4" t="s">
        <v>47</v>
      </c>
      <c r="L104" s="4">
        <v>10000</v>
      </c>
      <c r="M104" s="4"/>
      <c r="N104" s="4">
        <v>0</v>
      </c>
      <c r="O104" s="4"/>
      <c r="P104" s="4"/>
      <c r="Q104" s="4"/>
      <c r="R104" s="4"/>
      <c r="S104" s="4"/>
      <c r="T104" s="4"/>
      <c r="U104" s="4"/>
      <c r="V104" s="60"/>
    </row>
    <row r="105" spans="1:22" x14ac:dyDescent="0.25">
      <c r="A105" s="4">
        <v>102</v>
      </c>
      <c r="B105" s="4" t="s">
        <v>5</v>
      </c>
      <c r="C105" s="4">
        <v>943211</v>
      </c>
      <c r="D105" s="4">
        <v>48</v>
      </c>
      <c r="E105" s="4">
        <v>1.2</v>
      </c>
      <c r="F105" s="4">
        <v>5.55</v>
      </c>
      <c r="G105" s="4" t="s">
        <v>5</v>
      </c>
      <c r="H105" s="4" t="s">
        <v>157</v>
      </c>
      <c r="I105" s="4" t="str">
        <f>_xlfn.CONCAT(Table2[[#This Row],[key]])</f>
        <v>Megh-48-0-1.2-5.55</v>
      </c>
      <c r="J105" s="4" t="s">
        <v>29</v>
      </c>
      <c r="K105" s="4" t="s">
        <v>47</v>
      </c>
      <c r="L105" s="4">
        <v>20000</v>
      </c>
      <c r="M105" s="4"/>
      <c r="N105" s="4">
        <v>0</v>
      </c>
      <c r="O105" s="4"/>
      <c r="P105" s="4"/>
      <c r="Q105" s="4"/>
      <c r="R105" s="4"/>
      <c r="S105" s="4"/>
      <c r="T105" s="4"/>
      <c r="U105" s="4"/>
      <c r="V105" s="60"/>
    </row>
    <row r="106" spans="1:22" x14ac:dyDescent="0.25">
      <c r="A106" s="4">
        <v>103</v>
      </c>
      <c r="B106" s="4" t="s">
        <v>5</v>
      </c>
      <c r="C106" s="4">
        <v>943211</v>
      </c>
      <c r="D106" s="4">
        <v>48</v>
      </c>
      <c r="E106" s="4">
        <v>1.2</v>
      </c>
      <c r="F106" s="4">
        <v>5.67</v>
      </c>
      <c r="G106" s="4" t="s">
        <v>5</v>
      </c>
      <c r="H106" s="4" t="s">
        <v>158</v>
      </c>
      <c r="I106" s="4" t="str">
        <f>_xlfn.CONCAT(Table2[[#This Row],[key]])</f>
        <v>Megh-48-0-1.2-5.67</v>
      </c>
      <c r="J106" s="4" t="s">
        <v>29</v>
      </c>
      <c r="K106" s="4" t="s">
        <v>47</v>
      </c>
      <c r="L106" s="4">
        <v>18000</v>
      </c>
      <c r="M106" s="4"/>
      <c r="N106" s="4">
        <v>0</v>
      </c>
      <c r="O106" s="4"/>
      <c r="P106" s="4"/>
      <c r="Q106" s="4"/>
      <c r="R106" s="4"/>
      <c r="S106" s="4"/>
      <c r="T106" s="4"/>
      <c r="U106" s="4"/>
      <c r="V106" s="60"/>
    </row>
    <row r="107" spans="1:22" x14ac:dyDescent="0.25">
      <c r="A107" s="4">
        <v>104</v>
      </c>
      <c r="B107" s="4" t="s">
        <v>5</v>
      </c>
      <c r="C107" s="4">
        <v>943211</v>
      </c>
      <c r="D107" s="4">
        <v>48</v>
      </c>
      <c r="E107" s="4">
        <v>1.2</v>
      </c>
      <c r="F107" s="4">
        <v>5.2850000000000001</v>
      </c>
      <c r="G107" s="4">
        <v>25.824000000000002</v>
      </c>
      <c r="H107" s="4" t="s">
        <v>159</v>
      </c>
      <c r="I107" s="4" t="str">
        <f>_xlfn.CONCAT(Table2[[#This Row],[key]])</f>
        <v>Megh-48-0-1.2-5.285</v>
      </c>
      <c r="J107" s="4" t="s">
        <v>29</v>
      </c>
      <c r="K107" s="4" t="s">
        <v>47</v>
      </c>
      <c r="L107" s="4">
        <v>48000</v>
      </c>
      <c r="M107" s="4"/>
      <c r="N107" s="4">
        <v>0</v>
      </c>
      <c r="O107" s="4"/>
      <c r="P107" s="4"/>
      <c r="Q107" s="4"/>
      <c r="R107" s="4"/>
      <c r="S107" s="4"/>
      <c r="T107" s="4"/>
      <c r="U107" s="4"/>
      <c r="V107" s="60"/>
    </row>
    <row r="108" spans="1:22" x14ac:dyDescent="0.25">
      <c r="A108" s="4">
        <v>105</v>
      </c>
      <c r="B108" s="4" t="s">
        <v>76</v>
      </c>
      <c r="C108" s="4">
        <v>943211</v>
      </c>
      <c r="D108" s="4">
        <v>48.6</v>
      </c>
      <c r="E108" s="4">
        <v>1.6</v>
      </c>
      <c r="F108" s="4">
        <v>5.81</v>
      </c>
      <c r="G108" s="4">
        <v>10.92</v>
      </c>
      <c r="H108" s="4" t="s">
        <v>77</v>
      </c>
      <c r="I108" s="4" t="str">
        <f>_xlfn.CONCAT(Table2[[#This Row],[key]],"-",Table2[[#This Row],[Length]])</f>
        <v>59-30-1.6-ERW 1-FIN CUT-5.81</v>
      </c>
      <c r="J108" s="4" t="s">
        <v>29</v>
      </c>
      <c r="K108" s="4" t="s">
        <v>47</v>
      </c>
      <c r="L108" s="4">
        <v>0</v>
      </c>
      <c r="M108" s="4"/>
      <c r="N108" s="4">
        <v>0</v>
      </c>
      <c r="O108" s="4"/>
      <c r="P108" s="4"/>
      <c r="Q108" s="4"/>
      <c r="R108" s="4"/>
      <c r="S108" s="4"/>
      <c r="T108" s="4"/>
      <c r="U108" s="4"/>
      <c r="V108" s="60"/>
    </row>
    <row r="109" spans="1:22" x14ac:dyDescent="0.25">
      <c r="A109" s="4">
        <v>106</v>
      </c>
      <c r="B109" s="4" t="s">
        <v>76</v>
      </c>
      <c r="C109" s="4">
        <v>943209</v>
      </c>
      <c r="D109" s="4">
        <v>48.6</v>
      </c>
      <c r="E109" s="4">
        <v>1.6</v>
      </c>
      <c r="F109" s="4">
        <v>6</v>
      </c>
      <c r="G109" s="4">
        <v>11.12</v>
      </c>
      <c r="H109" s="4" t="s">
        <v>77</v>
      </c>
      <c r="I109" s="4" t="str">
        <f>_xlfn.CONCAT(Table2[[#This Row],[key]],"-",Table2[[#This Row],[Length]])</f>
        <v>59-30-1.6-ERW 1-FIN CUT-6</v>
      </c>
      <c r="J109" s="4" t="s">
        <v>29</v>
      </c>
      <c r="K109" s="4" t="s">
        <v>47</v>
      </c>
      <c r="L109" s="4">
        <v>1000</v>
      </c>
      <c r="M109" s="4"/>
      <c r="N109" s="4">
        <v>0</v>
      </c>
      <c r="O109" s="4"/>
      <c r="P109" s="4"/>
      <c r="Q109" s="4"/>
      <c r="R109" s="4"/>
      <c r="S109" s="4"/>
      <c r="T109" s="4"/>
      <c r="U109" s="4"/>
      <c r="V109" s="60"/>
    </row>
    <row r="110" spans="1:22" x14ac:dyDescent="0.25">
      <c r="A110" s="4">
        <v>107</v>
      </c>
      <c r="B110" s="4" t="s">
        <v>5</v>
      </c>
      <c r="C110" s="4">
        <v>943210</v>
      </c>
      <c r="D110" s="4">
        <v>48.6</v>
      </c>
      <c r="E110" s="4">
        <v>2</v>
      </c>
      <c r="F110" s="4">
        <v>6.01</v>
      </c>
      <c r="G110" s="4">
        <v>14.411</v>
      </c>
      <c r="H110" s="4" t="s">
        <v>5</v>
      </c>
      <c r="I110" s="4"/>
      <c r="J110" s="4" t="s">
        <v>38</v>
      </c>
      <c r="K110" s="4" t="s">
        <v>47</v>
      </c>
      <c r="L110" s="4">
        <v>0</v>
      </c>
      <c r="M110" s="4"/>
      <c r="N110" s="4">
        <v>0</v>
      </c>
      <c r="O110" s="4"/>
      <c r="P110" s="4"/>
      <c r="Q110" s="4"/>
      <c r="R110" s="4"/>
      <c r="S110" s="4"/>
      <c r="T110" s="4"/>
      <c r="U110" s="4"/>
      <c r="V110" s="60"/>
    </row>
    <row r="111" spans="1:22" x14ac:dyDescent="0.25">
      <c r="A111" s="4">
        <v>108</v>
      </c>
      <c r="B111" s="4" t="s">
        <v>5</v>
      </c>
      <c r="C111" s="4" t="s">
        <v>5</v>
      </c>
      <c r="D111" s="4">
        <v>48.6</v>
      </c>
      <c r="E111" s="4">
        <v>2</v>
      </c>
      <c r="F111" s="4">
        <v>6.27</v>
      </c>
      <c r="G111" s="4" t="s">
        <v>5</v>
      </c>
      <c r="H111" s="4" t="s">
        <v>160</v>
      </c>
      <c r="I111" s="4" t="str">
        <f>_xlfn.CONCAT(Table2[[#This Row],[key]])</f>
        <v>Megh-48.6-0-2-6.27</v>
      </c>
      <c r="J111" s="4" t="s">
        <v>5</v>
      </c>
      <c r="K111" s="4" t="s">
        <v>5</v>
      </c>
      <c r="L111" s="4">
        <v>12000</v>
      </c>
      <c r="M111" s="4"/>
      <c r="N111" s="4">
        <v>0</v>
      </c>
      <c r="O111" s="4"/>
      <c r="P111" s="4"/>
      <c r="Q111" s="4"/>
      <c r="R111" s="4"/>
      <c r="S111" s="4"/>
      <c r="T111" s="4"/>
      <c r="U111" s="4"/>
      <c r="V111" s="60"/>
    </row>
    <row r="112" spans="1:22" x14ac:dyDescent="0.25">
      <c r="A112" s="4">
        <v>109</v>
      </c>
      <c r="B112" s="4" t="s">
        <v>5</v>
      </c>
      <c r="C112" s="4" t="s">
        <v>5</v>
      </c>
      <c r="D112" s="4">
        <v>48.6</v>
      </c>
      <c r="E112" s="4">
        <v>2.2999999999999998</v>
      </c>
      <c r="F112" s="4">
        <v>6.55</v>
      </c>
      <c r="G112" s="4">
        <v>15.055</v>
      </c>
      <c r="H112" s="4"/>
      <c r="I112" s="4" t="str">
        <f>_xlfn.CONCAT(Table2[[#This Row],[key]],"-",Table2[[#This Row],[Length]])</f>
        <v>-6.55</v>
      </c>
      <c r="J112" s="4" t="s">
        <v>38</v>
      </c>
      <c r="K112" s="4" t="s">
        <v>47</v>
      </c>
      <c r="L112" s="4">
        <v>0</v>
      </c>
      <c r="M112" s="4"/>
      <c r="N112" s="4">
        <v>0</v>
      </c>
      <c r="O112" s="4"/>
      <c r="P112" s="4"/>
      <c r="Q112" s="4"/>
      <c r="R112" s="4"/>
      <c r="S112" s="4"/>
      <c r="T112" s="4"/>
      <c r="U112" s="4"/>
      <c r="V112" s="60"/>
    </row>
    <row r="113" spans="1:22" x14ac:dyDescent="0.25">
      <c r="A113" s="4">
        <v>110</v>
      </c>
      <c r="B113" s="4" t="s">
        <v>5</v>
      </c>
      <c r="C113" s="4" t="s">
        <v>5</v>
      </c>
      <c r="D113" s="4">
        <v>48.6</v>
      </c>
      <c r="E113" s="4">
        <v>2.2999999999999998</v>
      </c>
      <c r="F113" s="4">
        <v>6.01</v>
      </c>
      <c r="G113" s="4">
        <v>15.782999999999999</v>
      </c>
      <c r="H113" s="4" t="s">
        <v>5</v>
      </c>
      <c r="I113" s="4"/>
      <c r="J113" s="4" t="s">
        <v>29</v>
      </c>
      <c r="K113" s="4" t="s">
        <v>47</v>
      </c>
      <c r="L113" s="4">
        <v>0</v>
      </c>
      <c r="M113" s="4"/>
      <c r="N113" s="4">
        <v>0</v>
      </c>
      <c r="O113" s="4"/>
      <c r="P113" s="4"/>
      <c r="Q113" s="4"/>
      <c r="R113" s="4"/>
      <c r="S113" s="4"/>
      <c r="T113" s="4"/>
      <c r="U113" s="4"/>
      <c r="V113" s="60"/>
    </row>
    <row r="114" spans="1:22" x14ac:dyDescent="0.25">
      <c r="A114" s="4">
        <v>111</v>
      </c>
      <c r="B114" s="4" t="s">
        <v>5</v>
      </c>
      <c r="C114" s="4">
        <v>943210</v>
      </c>
      <c r="D114" s="4">
        <v>48.6</v>
      </c>
      <c r="E114" s="4">
        <v>2.2999999999999998</v>
      </c>
      <c r="F114" s="4">
        <v>6.27</v>
      </c>
      <c r="G114" s="4">
        <v>16.466000000000001</v>
      </c>
      <c r="H114" s="4" t="s">
        <v>161</v>
      </c>
      <c r="I114" s="4" t="str">
        <f>_xlfn.CONCAT(Table2[[#This Row],[key]])</f>
        <v>Megh-48.6-0-2.3-6.27</v>
      </c>
      <c r="J114" s="4" t="s">
        <v>38</v>
      </c>
      <c r="K114" s="4" t="s">
        <v>47</v>
      </c>
      <c r="L114" s="4">
        <v>13000</v>
      </c>
      <c r="M114" s="4"/>
      <c r="N114" s="4">
        <v>0</v>
      </c>
      <c r="O114" s="4"/>
      <c r="P114" s="4"/>
      <c r="Q114" s="4"/>
      <c r="R114" s="4"/>
      <c r="S114" s="4"/>
      <c r="T114" s="4"/>
      <c r="U114" s="4"/>
      <c r="V114" s="60"/>
    </row>
    <row r="115" spans="1:22" x14ac:dyDescent="0.25">
      <c r="A115" s="4">
        <v>112</v>
      </c>
      <c r="B115" s="4" t="s">
        <v>5</v>
      </c>
      <c r="C115" s="4" t="s">
        <v>5</v>
      </c>
      <c r="D115" s="4">
        <v>48.6</v>
      </c>
      <c r="E115" s="4">
        <v>3.5</v>
      </c>
      <c r="F115" s="4">
        <v>4.6500000000000004</v>
      </c>
      <c r="G115" s="4">
        <v>18.102</v>
      </c>
      <c r="H115" s="4" t="s">
        <v>78</v>
      </c>
      <c r="I115" s="4" t="str">
        <f>_xlfn.CONCAT(Table2[[#This Row],[key]],"-",Table2[[#This Row],[Length]])</f>
        <v>48.6-0-3.5-ERW 1-FC-4.65</v>
      </c>
      <c r="J115" s="4" t="s">
        <v>29</v>
      </c>
      <c r="K115" s="4" t="s">
        <v>47</v>
      </c>
      <c r="L115" s="4">
        <v>0</v>
      </c>
      <c r="M115" s="4">
        <v>0</v>
      </c>
      <c r="N115" s="4">
        <v>0</v>
      </c>
      <c r="O115" s="4"/>
      <c r="P115" s="4"/>
      <c r="Q115" s="4"/>
      <c r="R115" s="4"/>
      <c r="S115" s="4"/>
      <c r="T115" s="4"/>
      <c r="U115" s="4"/>
      <c r="V115" s="60"/>
    </row>
    <row r="116" spans="1:22" x14ac:dyDescent="0.25">
      <c r="A116" s="4">
        <v>113</v>
      </c>
      <c r="B116" s="4" t="s">
        <v>5</v>
      </c>
      <c r="C116" s="4">
        <v>943209</v>
      </c>
      <c r="D116" s="4">
        <v>48.6</v>
      </c>
      <c r="E116" s="4">
        <v>3.5</v>
      </c>
      <c r="F116" s="4">
        <v>6.05</v>
      </c>
      <c r="G116" s="4">
        <v>23.356999999999999</v>
      </c>
      <c r="H116" s="4" t="s">
        <v>78</v>
      </c>
      <c r="I116" s="4" t="str">
        <f>_xlfn.CONCAT(Table2[[#This Row],[key]],"-",Table2[[#This Row],[Length]])</f>
        <v>48.6-0-3.5-ERW 1-FC-6.05</v>
      </c>
      <c r="J116" s="4" t="s">
        <v>29</v>
      </c>
      <c r="K116" s="4" t="s">
        <v>47</v>
      </c>
      <c r="L116" s="4">
        <v>20000</v>
      </c>
      <c r="M116" s="4">
        <v>15000</v>
      </c>
      <c r="N116" s="4"/>
      <c r="O116" s="4"/>
      <c r="P116" s="4"/>
      <c r="Q116" s="4"/>
      <c r="R116" s="4"/>
      <c r="S116" s="4"/>
      <c r="T116" s="4"/>
      <c r="U116" s="4"/>
      <c r="V116" s="60"/>
    </row>
    <row r="117" spans="1:22" x14ac:dyDescent="0.25">
      <c r="A117" s="4">
        <v>114</v>
      </c>
      <c r="B117" s="4" t="s">
        <v>5</v>
      </c>
      <c r="C117" s="4" t="s">
        <v>5</v>
      </c>
      <c r="D117" s="4">
        <v>50.8</v>
      </c>
      <c r="E117" s="4">
        <v>2.6</v>
      </c>
      <c r="F117" s="4">
        <v>5.94</v>
      </c>
      <c r="G117" s="4">
        <v>18.542999999999999</v>
      </c>
      <c r="H117" s="4" t="s">
        <v>162</v>
      </c>
      <c r="I117" s="4" t="str">
        <f>_xlfn.CONCAT(Table2[[#This Row],[key]])</f>
        <v>Megh-50.8-0-2.6-5.94</v>
      </c>
      <c r="J117" s="4" t="s">
        <v>29</v>
      </c>
      <c r="K117" s="4" t="s">
        <v>47</v>
      </c>
      <c r="L117" s="4">
        <v>0</v>
      </c>
      <c r="M117" s="4"/>
      <c r="N117" s="4">
        <v>0</v>
      </c>
      <c r="O117" s="4"/>
      <c r="P117" s="4"/>
      <c r="Q117" s="4"/>
      <c r="R117" s="4"/>
      <c r="S117" s="4"/>
      <c r="T117" s="4"/>
      <c r="U117" s="4"/>
      <c r="V117" s="60"/>
    </row>
    <row r="118" spans="1:22" x14ac:dyDescent="0.25">
      <c r="A118" s="4">
        <v>115</v>
      </c>
      <c r="B118" s="4" t="s">
        <v>5</v>
      </c>
      <c r="C118" s="4">
        <v>943211</v>
      </c>
      <c r="D118" s="4">
        <v>50.8</v>
      </c>
      <c r="E118" s="4">
        <v>2.6</v>
      </c>
      <c r="F118" s="4">
        <v>6</v>
      </c>
      <c r="G118" s="4">
        <v>18.542999999999999</v>
      </c>
      <c r="H118" s="4" t="s">
        <v>163</v>
      </c>
      <c r="I118" s="4" t="str">
        <f>_xlfn.CONCAT(Table2[[#This Row],[key]])</f>
        <v>Megh-50.8-0-2.6-6</v>
      </c>
      <c r="J118" s="4" t="s">
        <v>29</v>
      </c>
      <c r="K118" s="4" t="s">
        <v>47</v>
      </c>
      <c r="L118" s="4">
        <v>5000</v>
      </c>
      <c r="M118" s="4"/>
      <c r="N118" s="4">
        <v>0</v>
      </c>
      <c r="O118" s="4"/>
      <c r="P118" s="4"/>
      <c r="Q118" s="4"/>
      <c r="R118" s="4"/>
      <c r="S118" s="4"/>
      <c r="T118" s="4"/>
      <c r="U118" s="4"/>
      <c r="V118" s="60"/>
    </row>
    <row r="119" spans="1:22" x14ac:dyDescent="0.25">
      <c r="A119" s="4">
        <v>116</v>
      </c>
      <c r="B119" s="4" t="s">
        <v>5</v>
      </c>
      <c r="C119" s="4">
        <v>943209</v>
      </c>
      <c r="D119" s="4">
        <v>54</v>
      </c>
      <c r="E119" s="4">
        <v>3</v>
      </c>
      <c r="F119" s="4">
        <v>5.91</v>
      </c>
      <c r="G119" s="4">
        <v>21.847000000000001</v>
      </c>
      <c r="H119" s="4" t="s">
        <v>79</v>
      </c>
      <c r="I119" s="4" t="str">
        <f>_xlfn.CONCAT(Table2[[#This Row],[key]],"-",Table2[[#This Row],[Length]])</f>
        <v>54-0-3-ERW 1-FC-5.91</v>
      </c>
      <c r="J119" s="4" t="s">
        <v>64</v>
      </c>
      <c r="K119" s="4" t="s">
        <v>47</v>
      </c>
      <c r="L119" s="4">
        <v>20000</v>
      </c>
      <c r="M119" s="4"/>
      <c r="N119" s="4">
        <v>0</v>
      </c>
      <c r="O119" s="4"/>
      <c r="P119" s="4"/>
      <c r="Q119" s="4"/>
      <c r="R119" s="4"/>
      <c r="S119" s="4"/>
      <c r="T119" s="4"/>
      <c r="U119" s="4"/>
      <c r="V119" s="60"/>
    </row>
    <row r="120" spans="1:22" x14ac:dyDescent="0.25">
      <c r="A120" s="4">
        <v>117</v>
      </c>
      <c r="B120" s="4" t="s">
        <v>5</v>
      </c>
      <c r="C120" s="4">
        <v>943209</v>
      </c>
      <c r="D120" s="4">
        <v>57.15</v>
      </c>
      <c r="E120" s="4">
        <v>2.5</v>
      </c>
      <c r="F120" s="4">
        <v>5.71</v>
      </c>
      <c r="G120" s="4">
        <v>19.239000000000001</v>
      </c>
      <c r="H120" s="4" t="s">
        <v>80</v>
      </c>
      <c r="I120" s="4" t="str">
        <f>_xlfn.CONCAT(Table2[[#This Row],[key]],"-",Table2[[#This Row],[Length]])</f>
        <v>57.15-0-2.5-ERW 1-FC-5.71</v>
      </c>
      <c r="J120" s="4" t="s">
        <v>29</v>
      </c>
      <c r="K120" s="4" t="s">
        <v>47</v>
      </c>
      <c r="L120" s="4">
        <v>60000</v>
      </c>
      <c r="M120" s="4">
        <v>75000</v>
      </c>
      <c r="N120" s="4"/>
      <c r="O120" s="4"/>
      <c r="P120" s="4"/>
      <c r="Q120" s="4"/>
      <c r="R120" s="4"/>
      <c r="S120" s="4"/>
      <c r="T120" s="4"/>
      <c r="U120" s="4"/>
      <c r="V120" s="60"/>
    </row>
    <row r="121" spans="1:22" x14ac:dyDescent="0.25">
      <c r="A121" s="4">
        <v>118</v>
      </c>
      <c r="B121" s="4" t="s">
        <v>5</v>
      </c>
      <c r="C121" s="59" t="s">
        <v>5</v>
      </c>
      <c r="D121" s="59">
        <v>57.15</v>
      </c>
      <c r="E121" s="59">
        <v>2.5</v>
      </c>
      <c r="F121" s="59">
        <v>6</v>
      </c>
      <c r="G121" s="59">
        <v>19.373999999999999</v>
      </c>
      <c r="H121" s="59" t="s">
        <v>80</v>
      </c>
      <c r="I121" s="4" t="str">
        <f>_xlfn.CONCAT(Table2[[#This Row],[key]],"-",Table2[[#This Row],[Length]])</f>
        <v>57.15-0-2.5-ERW 1-FC-6</v>
      </c>
      <c r="J121" s="59" t="s">
        <v>29</v>
      </c>
      <c r="K121" s="59" t="s">
        <v>47</v>
      </c>
      <c r="L121" s="59">
        <v>0</v>
      </c>
      <c r="M121" s="59">
        <v>50000</v>
      </c>
      <c r="N121" s="4"/>
      <c r="O121" s="4"/>
      <c r="P121" s="4">
        <v>40000</v>
      </c>
      <c r="Q121" s="4"/>
      <c r="R121" s="4"/>
      <c r="S121" s="4"/>
      <c r="T121" s="4"/>
      <c r="U121" s="4"/>
      <c r="V121" s="60"/>
    </row>
    <row r="122" spans="1:22" x14ac:dyDescent="0.25">
      <c r="A122" s="4">
        <v>119</v>
      </c>
      <c r="B122" s="4" t="s">
        <v>5</v>
      </c>
      <c r="C122" s="4">
        <v>943209</v>
      </c>
      <c r="D122" s="4">
        <v>57.15</v>
      </c>
      <c r="E122" s="4">
        <v>2.5</v>
      </c>
      <c r="F122" s="4">
        <v>5.95</v>
      </c>
      <c r="G122" s="4">
        <v>20.047999999999998</v>
      </c>
      <c r="H122" s="4" t="s">
        <v>80</v>
      </c>
      <c r="I122" s="4" t="str">
        <f>_xlfn.CONCAT(Table2[[#This Row],[key]],"-",Table2[[#This Row],[Length]])</f>
        <v>57.15-0-2.5-ERW 1-FC-5.95</v>
      </c>
      <c r="J122" s="4" t="s">
        <v>29</v>
      </c>
      <c r="K122" s="4" t="s">
        <v>47</v>
      </c>
      <c r="L122" s="4"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60"/>
    </row>
    <row r="123" spans="1:22" x14ac:dyDescent="0.25">
      <c r="A123" s="4">
        <v>120</v>
      </c>
      <c r="B123" s="4" t="s">
        <v>5</v>
      </c>
      <c r="C123" s="4">
        <v>943209</v>
      </c>
      <c r="D123" s="4">
        <v>57.15</v>
      </c>
      <c r="E123" s="4">
        <v>2.5</v>
      </c>
      <c r="F123" s="4">
        <v>6.1</v>
      </c>
      <c r="G123" s="4">
        <v>20.553000000000001</v>
      </c>
      <c r="H123" s="4" t="s">
        <v>80</v>
      </c>
      <c r="I123" s="4" t="str">
        <f>_xlfn.CONCAT(Table2[[#This Row],[key]],"-",Table2[[#This Row],[Length]])</f>
        <v>57.15-0-2.5-ERW 1-FC-6.1</v>
      </c>
      <c r="J123" s="4" t="s">
        <v>29</v>
      </c>
      <c r="K123" s="4" t="s">
        <v>47</v>
      </c>
      <c r="L123" s="4">
        <v>118000</v>
      </c>
      <c r="M123" s="4">
        <v>75000</v>
      </c>
      <c r="N123" s="4">
        <v>22000</v>
      </c>
      <c r="O123" s="4"/>
      <c r="P123" s="4"/>
      <c r="Q123" s="4"/>
      <c r="R123" s="4"/>
      <c r="S123" s="4"/>
      <c r="T123" s="4"/>
      <c r="U123" s="4"/>
      <c r="V123" s="60"/>
    </row>
    <row r="124" spans="1:22" x14ac:dyDescent="0.25">
      <c r="A124" s="4">
        <v>121</v>
      </c>
      <c r="B124" s="4" t="s">
        <v>5</v>
      </c>
      <c r="C124" s="4">
        <v>943210</v>
      </c>
      <c r="D124" s="4">
        <v>57.15</v>
      </c>
      <c r="E124" s="4">
        <v>3</v>
      </c>
      <c r="F124" s="4">
        <v>5.15</v>
      </c>
      <c r="G124" s="4">
        <v>22.635000000000002</v>
      </c>
      <c r="H124" s="4" t="s">
        <v>164</v>
      </c>
      <c r="I124" s="4" t="str">
        <f>_xlfn.CONCAT(Table2[[#This Row],[key]])</f>
        <v>Megh-57.15-0-3-5.15</v>
      </c>
      <c r="J124" s="4" t="s">
        <v>29</v>
      </c>
      <c r="K124" s="4" t="s">
        <v>47</v>
      </c>
      <c r="L124" s="4">
        <v>0</v>
      </c>
      <c r="M124" s="4"/>
      <c r="N124" s="4"/>
      <c r="O124" s="4"/>
      <c r="P124" s="4"/>
      <c r="Q124" s="4"/>
      <c r="R124" s="4"/>
      <c r="S124" s="4"/>
      <c r="T124" s="4"/>
      <c r="U124" s="4"/>
      <c r="V124" s="60"/>
    </row>
    <row r="125" spans="1:22" x14ac:dyDescent="0.25">
      <c r="A125" s="4">
        <v>122</v>
      </c>
      <c r="B125" s="4" t="s">
        <v>5</v>
      </c>
      <c r="C125" s="4" t="s">
        <v>5</v>
      </c>
      <c r="D125" s="4">
        <v>57.15</v>
      </c>
      <c r="E125" s="4">
        <v>3</v>
      </c>
      <c r="F125" s="4">
        <v>5.65</v>
      </c>
      <c r="G125" s="4" t="s">
        <v>5</v>
      </c>
      <c r="H125" s="4" t="s">
        <v>165</v>
      </c>
      <c r="I125" s="4" t="str">
        <f>_xlfn.CONCAT(Table2[[#This Row],[key]])</f>
        <v>Megh-57.15-0-3-5.65</v>
      </c>
      <c r="J125" s="4" t="s">
        <v>29</v>
      </c>
      <c r="K125" s="4" t="s">
        <v>5</v>
      </c>
      <c r="L125" s="4">
        <v>22000</v>
      </c>
      <c r="M125" s="4"/>
      <c r="N125" s="4"/>
      <c r="O125" s="4"/>
      <c r="P125" s="4"/>
      <c r="Q125" s="4"/>
      <c r="R125" s="4"/>
      <c r="S125" s="4"/>
      <c r="T125" s="4"/>
      <c r="U125" s="4"/>
      <c r="V125" s="60"/>
    </row>
    <row r="126" spans="1:22" x14ac:dyDescent="0.25">
      <c r="A126" s="4">
        <v>123</v>
      </c>
      <c r="B126" s="4" t="s">
        <v>5</v>
      </c>
      <c r="C126" s="4">
        <v>943209</v>
      </c>
      <c r="D126" s="4">
        <v>60.3</v>
      </c>
      <c r="E126" s="4">
        <v>2</v>
      </c>
      <c r="F126" s="4">
        <v>5.9</v>
      </c>
      <c r="G126" s="4">
        <v>14.654999999999999</v>
      </c>
      <c r="H126" s="4" t="s">
        <v>81</v>
      </c>
      <c r="I126" s="4" t="str">
        <f>_xlfn.CONCAT(Table2[[#This Row],[key]],"-",Table2[[#This Row],[Length]])</f>
        <v>60.3-0-2-ERW 1-FC-5.9</v>
      </c>
      <c r="J126" s="4" t="s">
        <v>29</v>
      </c>
      <c r="K126" s="4" t="s">
        <v>47</v>
      </c>
      <c r="L126" s="4">
        <v>15000</v>
      </c>
      <c r="M126" s="4">
        <v>15000</v>
      </c>
      <c r="N126" s="4">
        <v>33000</v>
      </c>
      <c r="O126" s="4"/>
      <c r="P126" s="4">
        <v>36000</v>
      </c>
      <c r="Q126" s="4"/>
      <c r="R126" s="4"/>
      <c r="S126" s="4"/>
      <c r="T126" s="4"/>
      <c r="U126" s="4"/>
      <c r="V126" s="60"/>
    </row>
    <row r="127" spans="1:22" x14ac:dyDescent="0.25">
      <c r="A127" s="4">
        <v>124</v>
      </c>
      <c r="B127" s="4" t="s">
        <v>5</v>
      </c>
      <c r="C127" s="4">
        <v>943209</v>
      </c>
      <c r="D127" s="4">
        <v>60.3</v>
      </c>
      <c r="E127" s="4">
        <v>2</v>
      </c>
      <c r="F127" s="4">
        <v>6</v>
      </c>
      <c r="G127" s="4">
        <v>14.654999999999999</v>
      </c>
      <c r="H127" s="4" t="s">
        <v>81</v>
      </c>
      <c r="I127" s="4" t="str">
        <f>_xlfn.CONCAT(Table2[[#This Row],[key]],"-",Table2[[#This Row],[Length]])</f>
        <v>60.3-0-2-ERW 1-FC-6</v>
      </c>
      <c r="J127" s="4" t="s">
        <v>29</v>
      </c>
      <c r="K127" s="4" t="s">
        <v>47</v>
      </c>
      <c r="L127" s="4">
        <v>39000</v>
      </c>
      <c r="M127" s="4"/>
      <c r="N127" s="4">
        <v>0</v>
      </c>
      <c r="O127" s="4"/>
      <c r="P127" s="4"/>
      <c r="Q127" s="4"/>
      <c r="R127" s="4"/>
      <c r="S127" s="4"/>
      <c r="T127" s="4"/>
      <c r="U127" s="4"/>
      <c r="V127" s="60"/>
    </row>
    <row r="128" spans="1:22" x14ac:dyDescent="0.25">
      <c r="A128" s="4">
        <v>125</v>
      </c>
      <c r="B128" s="4" t="s">
        <v>82</v>
      </c>
      <c r="C128" s="4">
        <v>943211</v>
      </c>
      <c r="D128" s="4">
        <v>63.5</v>
      </c>
      <c r="E128" s="4">
        <v>1.6</v>
      </c>
      <c r="F128" s="4">
        <v>6.04</v>
      </c>
      <c r="G128" s="4">
        <v>14.17</v>
      </c>
      <c r="H128" s="4" t="s">
        <v>177</v>
      </c>
      <c r="I128" s="4" t="str">
        <f>_xlfn.CONCAT(Table2[[#This Row],[key]],"-",Table2[[#This Row],[Length]])</f>
        <v>Megh-50-50-1.6-ERW 1-PE-6.04</v>
      </c>
      <c r="J128" s="4" t="s">
        <v>29</v>
      </c>
      <c r="K128" s="4" t="s">
        <v>47</v>
      </c>
      <c r="L128" s="4">
        <v>0</v>
      </c>
      <c r="M128" s="4"/>
      <c r="N128" s="4"/>
      <c r="O128" s="4"/>
      <c r="P128" s="4"/>
      <c r="Q128" s="4"/>
      <c r="R128" s="4"/>
      <c r="S128" s="4"/>
      <c r="T128" s="4"/>
      <c r="U128" s="4"/>
      <c r="V128" s="60"/>
    </row>
    <row r="129" spans="1:22" x14ac:dyDescent="0.25">
      <c r="A129" s="4">
        <v>126</v>
      </c>
      <c r="B129" s="4" t="s">
        <v>82</v>
      </c>
      <c r="C129" s="4" t="s">
        <v>5</v>
      </c>
      <c r="D129" s="4">
        <v>63.5</v>
      </c>
      <c r="E129" s="4">
        <v>1.6</v>
      </c>
      <c r="F129" s="4">
        <v>6.06</v>
      </c>
      <c r="G129" s="4" t="s">
        <v>5</v>
      </c>
      <c r="H129" s="4" t="s">
        <v>177</v>
      </c>
      <c r="I129" s="4" t="s">
        <v>178</v>
      </c>
      <c r="J129" s="4" t="s">
        <v>29</v>
      </c>
      <c r="K129" s="4" t="s">
        <v>47</v>
      </c>
      <c r="L129" s="4">
        <v>13000</v>
      </c>
      <c r="M129" s="4"/>
      <c r="N129" s="4"/>
      <c r="O129" s="4"/>
      <c r="P129" s="4"/>
      <c r="Q129" s="4"/>
      <c r="R129" s="4"/>
      <c r="S129" s="4"/>
      <c r="T129" s="4"/>
      <c r="U129" s="4"/>
      <c r="V129" s="60"/>
    </row>
    <row r="130" spans="1:22" x14ac:dyDescent="0.25">
      <c r="A130" s="62">
        <v>127</v>
      </c>
      <c r="B130" s="62" t="s">
        <v>82</v>
      </c>
      <c r="C130" s="62" t="s">
        <v>5</v>
      </c>
      <c r="D130" s="62">
        <v>63.5</v>
      </c>
      <c r="E130" s="62">
        <v>1.6</v>
      </c>
      <c r="F130" s="62">
        <v>6.1210000000000004</v>
      </c>
      <c r="G130" s="62" t="s">
        <v>5</v>
      </c>
      <c r="H130" s="4" t="s">
        <v>177</v>
      </c>
      <c r="I130" s="4" t="s">
        <v>179</v>
      </c>
      <c r="J130" s="62" t="s">
        <v>29</v>
      </c>
      <c r="K130" s="62" t="s">
        <v>47</v>
      </c>
      <c r="L130" s="62">
        <v>0</v>
      </c>
      <c r="M130" s="62"/>
      <c r="N130" s="62"/>
      <c r="O130" s="62"/>
      <c r="P130" s="62"/>
      <c r="Q130" s="62"/>
      <c r="R130" s="62"/>
      <c r="S130" s="62"/>
      <c r="T130" s="62"/>
      <c r="U130" s="62"/>
      <c r="V130" s="64"/>
    </row>
  </sheetData>
  <conditionalFormatting sqref="I4:I130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CC221-312A-4547-BAEE-6FA4E12A9F6C}">
  <dimension ref="A1:U98"/>
  <sheetViews>
    <sheetView zoomScale="90" zoomScaleNormal="90" workbookViewId="0">
      <selection activeCell="K2" sqref="K2"/>
    </sheetView>
  </sheetViews>
  <sheetFormatPr defaultRowHeight="15" customHeight="1" outlineLevelCol="2" x14ac:dyDescent="0.3"/>
  <cols>
    <col min="1" max="1" width="8.85546875" style="7" customWidth="1"/>
    <col min="2" max="2" width="11.42578125" style="7" customWidth="1"/>
    <col min="3" max="3" width="13.140625" style="7" customWidth="1"/>
    <col min="4" max="5" width="9.140625" style="7" customWidth="1"/>
    <col min="6" max="6" width="10.85546875" style="7" customWidth="1"/>
    <col min="7" max="7" width="32.140625" style="7" bestFit="1" customWidth="1"/>
    <col min="8" max="8" width="18.28515625" style="7" customWidth="1"/>
    <col min="9" max="9" width="13.140625" style="7" customWidth="1" outlineLevel="2"/>
    <col min="10" max="10" width="15.7109375" style="7" customWidth="1" outlineLevel="2"/>
    <col min="11" max="11" width="13.42578125" style="11" customWidth="1" outlineLevel="2"/>
    <col min="12" max="13" width="18.7109375" style="11" customWidth="1" outlineLevel="2"/>
    <col min="14" max="14" width="10" style="7" customWidth="1" outlineLevel="2"/>
    <col min="15" max="15" width="14.7109375" style="7" customWidth="1" outlineLevel="2"/>
    <col min="16" max="16" width="17.42578125" style="7" customWidth="1" outlineLevel="2"/>
    <col min="17" max="17" width="15.85546875" style="7" customWidth="1" outlineLevel="2"/>
    <col min="18" max="18" width="14" style="7" customWidth="1"/>
    <col min="19" max="19" width="14.7109375" style="7" customWidth="1"/>
    <col min="20" max="20" width="13.7109375" style="7" customWidth="1"/>
    <col min="21" max="21" width="9.42578125" style="7" customWidth="1"/>
    <col min="22" max="16384" width="9.140625" style="7"/>
  </cols>
  <sheetData>
    <row r="1" spans="1:21" ht="15" customHeight="1" x14ac:dyDescent="0.3">
      <c r="A1" s="5" t="s">
        <v>5</v>
      </c>
      <c r="B1" s="6" t="s">
        <v>5</v>
      </c>
      <c r="C1" s="6" t="s">
        <v>5</v>
      </c>
      <c r="D1" s="6" t="s">
        <v>5</v>
      </c>
      <c r="E1" s="6" t="s">
        <v>5</v>
      </c>
      <c r="F1" s="6" t="s">
        <v>5</v>
      </c>
      <c r="G1" s="6" t="s">
        <v>5</v>
      </c>
      <c r="H1" s="6" t="s">
        <v>6</v>
      </c>
      <c r="I1" s="6" t="s">
        <v>5</v>
      </c>
      <c r="J1" s="6" t="s">
        <v>5</v>
      </c>
      <c r="K1" s="11" t="s">
        <v>83</v>
      </c>
      <c r="T1" s="6" t="s">
        <v>5</v>
      </c>
      <c r="U1" s="6" t="s">
        <v>5</v>
      </c>
    </row>
    <row r="2" spans="1:21" ht="15" customHeight="1" x14ac:dyDescent="0.3">
      <c r="A2" s="13" t="s">
        <v>5</v>
      </c>
      <c r="B2" s="14" t="s">
        <v>5</v>
      </c>
      <c r="C2" s="14" t="s">
        <v>5</v>
      </c>
      <c r="D2" s="14" t="s">
        <v>5</v>
      </c>
      <c r="E2" s="14" t="s">
        <v>5</v>
      </c>
      <c r="F2" s="14" t="s">
        <v>5</v>
      </c>
      <c r="G2" s="14" t="s">
        <v>5</v>
      </c>
      <c r="H2" s="14" t="s">
        <v>5</v>
      </c>
      <c r="I2" s="14" t="s">
        <v>5</v>
      </c>
      <c r="J2" s="15">
        <f t="shared" ref="J2:T2" si="0">SUM(J3:J96)</f>
        <v>1263</v>
      </c>
      <c r="K2" s="15">
        <f t="shared" si="0"/>
        <v>391.77</v>
      </c>
      <c r="L2" s="15">
        <f t="shared" si="0"/>
        <v>1111.8900000000001</v>
      </c>
      <c r="M2" s="15">
        <f t="shared" si="0"/>
        <v>839</v>
      </c>
      <c r="N2" s="15">
        <f t="shared" si="0"/>
        <v>210</v>
      </c>
      <c r="O2" s="15">
        <f t="shared" si="0"/>
        <v>25</v>
      </c>
      <c r="P2" s="15">
        <f t="shared" si="0"/>
        <v>99</v>
      </c>
      <c r="Q2" s="15">
        <f t="shared" si="0"/>
        <v>65</v>
      </c>
      <c r="R2" s="15">
        <f t="shared" si="0"/>
        <v>25</v>
      </c>
      <c r="S2" s="15">
        <f t="shared" si="0"/>
        <v>0</v>
      </c>
      <c r="T2" s="15">
        <f t="shared" si="0"/>
        <v>0</v>
      </c>
      <c r="U2" s="14" t="s">
        <v>5</v>
      </c>
    </row>
    <row r="3" spans="1:21" ht="15" customHeight="1" x14ac:dyDescent="0.3">
      <c r="A3" s="16" t="s">
        <v>18</v>
      </c>
      <c r="B3" s="16" t="s">
        <v>19</v>
      </c>
      <c r="C3" s="16" t="s">
        <v>20</v>
      </c>
      <c r="D3" s="16" t="s">
        <v>21</v>
      </c>
      <c r="E3" s="16" t="s">
        <v>22</v>
      </c>
      <c r="F3" s="16" t="s">
        <v>24</v>
      </c>
      <c r="G3" s="16" t="s">
        <v>25</v>
      </c>
      <c r="H3" s="16" t="s">
        <v>26</v>
      </c>
      <c r="I3" s="16" t="s">
        <v>27</v>
      </c>
      <c r="J3" s="17" t="s">
        <v>84</v>
      </c>
      <c r="K3" s="17" t="s">
        <v>85</v>
      </c>
      <c r="L3" s="17" t="s">
        <v>86</v>
      </c>
      <c r="M3" s="16" t="s">
        <v>8</v>
      </c>
      <c r="N3" s="16" t="s">
        <v>9</v>
      </c>
      <c r="O3" s="16" t="s">
        <v>10</v>
      </c>
      <c r="P3" s="16" t="s">
        <v>11</v>
      </c>
      <c r="Q3" s="16" t="s">
        <v>12</v>
      </c>
      <c r="R3" s="16" t="s">
        <v>13</v>
      </c>
      <c r="S3" s="16" t="s">
        <v>5</v>
      </c>
      <c r="T3" s="18" t="s">
        <v>87</v>
      </c>
    </row>
    <row r="4" spans="1:21" ht="15" customHeight="1" x14ac:dyDescent="0.3">
      <c r="A4" s="9">
        <v>1</v>
      </c>
      <c r="B4" s="9" t="s">
        <v>5</v>
      </c>
      <c r="C4" s="9">
        <v>943209</v>
      </c>
      <c r="D4" s="9">
        <v>12.7</v>
      </c>
      <c r="E4" s="9">
        <v>1.2</v>
      </c>
      <c r="F4" s="9">
        <v>2.0419999999999998</v>
      </c>
      <c r="G4" s="9" t="s">
        <v>28</v>
      </c>
      <c r="H4" s="9" t="s">
        <v>29</v>
      </c>
      <c r="I4" s="9" t="s">
        <v>30</v>
      </c>
      <c r="J4" s="10">
        <f>SUM(M4:R4)</f>
        <v>6</v>
      </c>
      <c r="K4" s="10">
        <f>(173+389+173+307)/1000</f>
        <v>1.042</v>
      </c>
      <c r="L4" s="10">
        <f>ROUND(SUMIFS(Table3[Stock],Table3[key],Table1[[#This Row],[key]])/1000+SUMIFS(Table3[In Transit],Table3[key],Table1[[#This Row],[key]])/1000,2)</f>
        <v>16.28</v>
      </c>
      <c r="M4" s="9">
        <v>6</v>
      </c>
      <c r="N4" s="9" t="s">
        <v>5</v>
      </c>
      <c r="O4" s="9" t="s">
        <v>5</v>
      </c>
      <c r="P4" s="9" t="s">
        <v>5</v>
      </c>
      <c r="Q4" s="9" t="s">
        <v>5</v>
      </c>
      <c r="R4" s="9" t="s">
        <v>5</v>
      </c>
      <c r="S4" s="9" t="s">
        <v>5</v>
      </c>
      <c r="T4" s="12" t="s">
        <v>5</v>
      </c>
    </row>
    <row r="5" spans="1:21" ht="15" customHeight="1" x14ac:dyDescent="0.3">
      <c r="A5" s="9">
        <v>2</v>
      </c>
      <c r="B5" s="9" t="s">
        <v>5</v>
      </c>
      <c r="C5" s="9">
        <v>943210</v>
      </c>
      <c r="D5" s="9">
        <v>12.7</v>
      </c>
      <c r="E5" s="9">
        <v>1.4</v>
      </c>
      <c r="F5" s="9">
        <v>2.2120000000000002</v>
      </c>
      <c r="G5" s="9" t="s">
        <v>5</v>
      </c>
      <c r="H5" s="9" t="s">
        <v>29</v>
      </c>
      <c r="I5" s="9" t="s">
        <v>30</v>
      </c>
      <c r="J5" s="10">
        <f t="shared" ref="J5:J49" si="1">SUM(M5:R5)</f>
        <v>0</v>
      </c>
      <c r="K5" s="10"/>
      <c r="L5" s="10">
        <f>ROUND(SUMIFS(Table3[Stock],Table3[key],Table1[[#This Row],[key]])/1000+SUMIFS(Table3[In Transit],Table3[key],Table1[[#This Row],[key]])/1000,2)</f>
        <v>0</v>
      </c>
      <c r="M5" s="9" t="s">
        <v>5</v>
      </c>
      <c r="N5" s="9" t="s">
        <v>5</v>
      </c>
      <c r="O5" s="9" t="s">
        <v>5</v>
      </c>
      <c r="P5" s="9" t="s">
        <v>5</v>
      </c>
      <c r="Q5" s="9" t="s">
        <v>5</v>
      </c>
      <c r="R5" s="9" t="s">
        <v>5</v>
      </c>
      <c r="S5" s="9" t="s">
        <v>5</v>
      </c>
      <c r="T5" s="12" t="s">
        <v>5</v>
      </c>
    </row>
    <row r="6" spans="1:21" ht="15" customHeight="1" x14ac:dyDescent="0.3">
      <c r="A6" s="9">
        <v>3</v>
      </c>
      <c r="B6" s="9" t="s">
        <v>5</v>
      </c>
      <c r="C6" s="9" t="s">
        <v>5</v>
      </c>
      <c r="D6" s="9">
        <v>12.7</v>
      </c>
      <c r="E6" s="9">
        <v>1.4</v>
      </c>
      <c r="F6" s="9">
        <v>2.3410000000000002</v>
      </c>
      <c r="G6" s="9" t="s">
        <v>5</v>
      </c>
      <c r="H6" s="9" t="s">
        <v>29</v>
      </c>
      <c r="I6" s="9" t="s">
        <v>30</v>
      </c>
      <c r="J6" s="10">
        <f t="shared" si="1"/>
        <v>0</v>
      </c>
      <c r="K6" s="10"/>
      <c r="L6" s="10">
        <f>ROUND(SUMIFS(Table3[Stock],Table3[key],Table1[[#This Row],[key]])/1000+SUMIFS(Table3[In Transit],Table3[key],Table1[[#This Row],[key]])/1000,2)</f>
        <v>0</v>
      </c>
      <c r="M6" s="9" t="s">
        <v>5</v>
      </c>
      <c r="N6" s="9" t="s">
        <v>5</v>
      </c>
      <c r="O6" s="9" t="s">
        <v>5</v>
      </c>
      <c r="P6" s="9" t="s">
        <v>5</v>
      </c>
      <c r="Q6" s="9" t="s">
        <v>5</v>
      </c>
      <c r="R6" s="9" t="s">
        <v>5</v>
      </c>
      <c r="S6" s="9" t="s">
        <v>5</v>
      </c>
      <c r="T6" s="12" t="s">
        <v>5</v>
      </c>
    </row>
    <row r="7" spans="1:21" ht="15" customHeight="1" x14ac:dyDescent="0.3">
      <c r="A7" s="9">
        <v>4</v>
      </c>
      <c r="B7" s="9" t="s">
        <v>5</v>
      </c>
      <c r="C7" s="9" t="s">
        <v>5</v>
      </c>
      <c r="D7" s="9">
        <v>12.7</v>
      </c>
      <c r="E7" s="9">
        <v>1.4</v>
      </c>
      <c r="F7" s="9">
        <v>2.355</v>
      </c>
      <c r="G7" s="9" t="s">
        <v>5</v>
      </c>
      <c r="H7" s="9" t="s">
        <v>29</v>
      </c>
      <c r="I7" s="9" t="s">
        <v>30</v>
      </c>
      <c r="J7" s="10">
        <f t="shared" si="1"/>
        <v>0</v>
      </c>
      <c r="K7" s="10"/>
      <c r="L7" s="10">
        <f>ROUND(SUMIFS(Table3[Stock],Table3[key],Table1[[#This Row],[key]])/1000+SUMIFS(Table3[In Transit],Table3[key],Table1[[#This Row],[key]])/1000,2)</f>
        <v>0</v>
      </c>
      <c r="M7" s="9" t="s">
        <v>5</v>
      </c>
      <c r="N7" s="9" t="s">
        <v>5</v>
      </c>
      <c r="O7" s="9" t="s">
        <v>5</v>
      </c>
      <c r="P7" s="9" t="s">
        <v>5</v>
      </c>
      <c r="Q7" s="9" t="s">
        <v>5</v>
      </c>
      <c r="R7" s="9" t="s">
        <v>5</v>
      </c>
      <c r="S7" s="9" t="s">
        <v>5</v>
      </c>
      <c r="T7" s="12" t="s">
        <v>5</v>
      </c>
    </row>
    <row r="8" spans="1:21" ht="15" customHeight="1" x14ac:dyDescent="0.3">
      <c r="A8" s="9">
        <v>5</v>
      </c>
      <c r="B8" s="9" t="s">
        <v>5</v>
      </c>
      <c r="C8" s="9">
        <v>943210</v>
      </c>
      <c r="D8" s="9">
        <v>12.7</v>
      </c>
      <c r="E8" s="9">
        <v>1.6</v>
      </c>
      <c r="F8" s="9">
        <v>2.6280000000000001</v>
      </c>
      <c r="G8" s="9" t="s">
        <v>31</v>
      </c>
      <c r="H8" s="9" t="s">
        <v>29</v>
      </c>
      <c r="I8" s="9" t="s">
        <v>30</v>
      </c>
      <c r="J8" s="10">
        <f t="shared" si="1"/>
        <v>0</v>
      </c>
      <c r="K8" s="10"/>
      <c r="L8" s="10">
        <f>ROUND(SUMIFS(Table3[Stock],Table3[key],Table1[[#This Row],[key]])/1000+SUMIFS(Table3[In Transit],Table3[key],Table1[[#This Row],[key]])/1000,2)</f>
        <v>2.36</v>
      </c>
      <c r="M8" s="9" t="s">
        <v>5</v>
      </c>
      <c r="N8" s="9" t="s">
        <v>5</v>
      </c>
      <c r="O8" s="9" t="s">
        <v>5</v>
      </c>
      <c r="P8" s="9" t="s">
        <v>5</v>
      </c>
      <c r="Q8" s="9" t="s">
        <v>5</v>
      </c>
      <c r="R8" s="9" t="s">
        <v>5</v>
      </c>
      <c r="S8" s="9" t="s">
        <v>5</v>
      </c>
      <c r="T8" s="12" t="s">
        <v>5</v>
      </c>
    </row>
    <row r="9" spans="1:21" ht="15" customHeight="1" x14ac:dyDescent="0.3">
      <c r="A9" s="9">
        <v>6</v>
      </c>
      <c r="B9" s="9" t="s">
        <v>5</v>
      </c>
      <c r="C9" s="9" t="s">
        <v>5</v>
      </c>
      <c r="D9" s="9">
        <v>12.7</v>
      </c>
      <c r="E9" s="9">
        <v>2</v>
      </c>
      <c r="F9" s="9">
        <v>3.1669999999999998</v>
      </c>
      <c r="G9" s="9" t="s">
        <v>5</v>
      </c>
      <c r="H9" s="9" t="s">
        <v>29</v>
      </c>
      <c r="I9" s="9" t="s">
        <v>30</v>
      </c>
      <c r="J9" s="10">
        <f t="shared" si="1"/>
        <v>2</v>
      </c>
      <c r="K9" s="10"/>
      <c r="L9" s="10">
        <f>ROUND(SUMIFS(Table3[Stock],Table3[key],Table1[[#This Row],[key]])/1000+SUMIFS(Table3[In Transit],Table3[key],Table1[[#This Row],[key]])/1000,2)</f>
        <v>0</v>
      </c>
      <c r="M9" s="9">
        <v>2</v>
      </c>
      <c r="N9" s="9" t="s">
        <v>5</v>
      </c>
      <c r="O9" s="9" t="s">
        <v>5</v>
      </c>
      <c r="P9" s="9" t="s">
        <v>5</v>
      </c>
      <c r="Q9" s="9" t="s">
        <v>5</v>
      </c>
      <c r="R9" s="9" t="s">
        <v>5</v>
      </c>
      <c r="S9" s="9" t="s">
        <v>5</v>
      </c>
      <c r="T9" s="12" t="s">
        <v>5</v>
      </c>
    </row>
    <row r="10" spans="1:21" ht="15" customHeight="1" x14ac:dyDescent="0.3">
      <c r="A10" s="9">
        <v>7</v>
      </c>
      <c r="B10" s="9" t="s">
        <v>5</v>
      </c>
      <c r="C10" s="9" t="s">
        <v>5</v>
      </c>
      <c r="D10" s="9">
        <v>14</v>
      </c>
      <c r="E10" s="9">
        <v>2.4500000000000002</v>
      </c>
      <c r="F10" s="9" t="s">
        <v>5</v>
      </c>
      <c r="G10" s="9" t="s">
        <v>5</v>
      </c>
      <c r="H10" s="9" t="s">
        <v>5</v>
      </c>
      <c r="I10" s="9" t="s">
        <v>5</v>
      </c>
      <c r="J10" s="10">
        <f t="shared" si="1"/>
        <v>0</v>
      </c>
      <c r="K10" s="10"/>
      <c r="L10" s="10">
        <f>ROUND(SUMIFS(Table3[Stock],Table3[key],Table1[[#This Row],[key]])/1000+SUMIFS(Table3[In Transit],Table3[key],Table1[[#This Row],[key]])/1000,2)</f>
        <v>0</v>
      </c>
      <c r="M10" s="9" t="s">
        <v>5</v>
      </c>
      <c r="N10" s="9" t="s">
        <v>5</v>
      </c>
      <c r="O10" s="9" t="s">
        <v>5</v>
      </c>
      <c r="P10" s="9" t="s">
        <v>5</v>
      </c>
      <c r="Q10" s="9" t="s">
        <v>5</v>
      </c>
      <c r="R10" s="9" t="s">
        <v>5</v>
      </c>
      <c r="S10" s="9" t="s">
        <v>5</v>
      </c>
      <c r="T10" s="12" t="s">
        <v>5</v>
      </c>
    </row>
    <row r="11" spans="1:21" ht="15" customHeight="1" x14ac:dyDescent="0.3">
      <c r="A11" s="9">
        <v>8</v>
      </c>
      <c r="B11" s="9" t="s">
        <v>5</v>
      </c>
      <c r="C11" s="9" t="s">
        <v>5</v>
      </c>
      <c r="D11" s="9">
        <v>15.88</v>
      </c>
      <c r="E11" s="9">
        <v>1</v>
      </c>
      <c r="F11" s="9">
        <v>2.2719999999999998</v>
      </c>
      <c r="G11" s="9" t="s">
        <v>32</v>
      </c>
      <c r="H11" s="9" t="s">
        <v>29</v>
      </c>
      <c r="I11" s="9" t="s">
        <v>30</v>
      </c>
      <c r="J11" s="10">
        <f t="shared" si="1"/>
        <v>0</v>
      </c>
      <c r="K11" s="10"/>
      <c r="L11" s="10">
        <f>ROUND(SUMIFS(Table3[Stock],Table3[key],Table1[[#This Row],[key]])/1000+SUMIFS(Table3[In Transit],Table3[key],Table1[[#This Row],[key]])/1000,2)</f>
        <v>0</v>
      </c>
      <c r="M11" s="9" t="s">
        <v>5</v>
      </c>
      <c r="N11" s="9" t="s">
        <v>5</v>
      </c>
      <c r="O11" s="9" t="s">
        <v>5</v>
      </c>
      <c r="P11" s="9" t="s">
        <v>5</v>
      </c>
      <c r="Q11" s="9" t="s">
        <v>5</v>
      </c>
      <c r="R11" s="9" t="s">
        <v>5</v>
      </c>
      <c r="S11" s="9" t="s">
        <v>5</v>
      </c>
      <c r="T11" s="12" t="s">
        <v>5</v>
      </c>
    </row>
    <row r="12" spans="1:21" ht="15" customHeight="1" x14ac:dyDescent="0.3">
      <c r="A12" s="9">
        <v>9</v>
      </c>
      <c r="B12" s="9" t="s">
        <v>5</v>
      </c>
      <c r="C12" s="9">
        <v>943210</v>
      </c>
      <c r="D12" s="9">
        <v>15.88</v>
      </c>
      <c r="E12" s="9">
        <v>1.2</v>
      </c>
      <c r="F12" s="9">
        <v>2.6070000000000002</v>
      </c>
      <c r="G12" s="9" t="s">
        <v>33</v>
      </c>
      <c r="H12" s="9" t="s">
        <v>29</v>
      </c>
      <c r="I12" s="9" t="s">
        <v>30</v>
      </c>
      <c r="J12" s="10">
        <f t="shared" si="1"/>
        <v>5</v>
      </c>
      <c r="K12" s="10"/>
      <c r="L12" s="10">
        <f>ROUND(SUMIFS(Table3[Stock],Table3[key],Table1[[#This Row],[key]])/1000+SUMIFS(Table3[In Transit],Table3[key],Table1[[#This Row],[key]])/1000,2)</f>
        <v>8.11</v>
      </c>
      <c r="M12" s="9">
        <v>5</v>
      </c>
      <c r="N12" s="9" t="s">
        <v>5</v>
      </c>
      <c r="O12" s="9" t="s">
        <v>5</v>
      </c>
      <c r="P12" s="9" t="s">
        <v>5</v>
      </c>
      <c r="Q12" s="9" t="s">
        <v>5</v>
      </c>
      <c r="R12" s="9" t="s">
        <v>5</v>
      </c>
      <c r="S12" s="9" t="s">
        <v>5</v>
      </c>
      <c r="T12" s="12" t="s">
        <v>5</v>
      </c>
    </row>
    <row r="13" spans="1:21" ht="15" customHeight="1" x14ac:dyDescent="0.3">
      <c r="A13" s="9">
        <v>10</v>
      </c>
      <c r="B13" s="9" t="s">
        <v>5</v>
      </c>
      <c r="C13" s="9" t="s">
        <v>5</v>
      </c>
      <c r="D13" s="9">
        <v>15.88</v>
      </c>
      <c r="E13" s="9">
        <v>1.4</v>
      </c>
      <c r="F13" s="9">
        <v>2.6070000000000002</v>
      </c>
      <c r="G13" s="9" t="s">
        <v>5</v>
      </c>
      <c r="H13" s="9" t="s">
        <v>29</v>
      </c>
      <c r="I13" s="9" t="s">
        <v>30</v>
      </c>
      <c r="J13" s="10">
        <f t="shared" si="1"/>
        <v>0</v>
      </c>
      <c r="K13" s="10"/>
      <c r="L13" s="10">
        <f>ROUND(SUMIFS(Table3[Stock],Table3[key],Table1[[#This Row],[key]])/1000+SUMIFS(Table3[In Transit],Table3[key],Table1[[#This Row],[key]])/1000,2)</f>
        <v>0</v>
      </c>
      <c r="M13" s="9" t="s">
        <v>5</v>
      </c>
      <c r="N13" s="9" t="s">
        <v>5</v>
      </c>
      <c r="O13" s="9" t="s">
        <v>5</v>
      </c>
      <c r="P13" s="9" t="s">
        <v>5</v>
      </c>
      <c r="Q13" s="9" t="s">
        <v>5</v>
      </c>
      <c r="R13" s="9" t="s">
        <v>5</v>
      </c>
      <c r="S13" s="9" t="s">
        <v>5</v>
      </c>
      <c r="T13" s="12" t="s">
        <v>5</v>
      </c>
    </row>
    <row r="14" spans="1:21" ht="15" customHeight="1" x14ac:dyDescent="0.3">
      <c r="A14" s="9">
        <v>11</v>
      </c>
      <c r="B14" s="9" t="s">
        <v>5</v>
      </c>
      <c r="C14" s="9" t="s">
        <v>5</v>
      </c>
      <c r="D14" s="9">
        <v>15.88</v>
      </c>
      <c r="E14" s="9">
        <v>1.6</v>
      </c>
      <c r="F14" s="9">
        <v>3.3809999999999998</v>
      </c>
      <c r="G14" s="9" t="s">
        <v>34</v>
      </c>
      <c r="H14" s="9" t="s">
        <v>29</v>
      </c>
      <c r="I14" s="9" t="s">
        <v>30</v>
      </c>
      <c r="J14" s="10">
        <f t="shared" si="1"/>
        <v>1</v>
      </c>
      <c r="K14" s="10"/>
      <c r="L14" s="10">
        <f>ROUND(SUMIFS(Table3[Stock],Table3[key],Table1[[#This Row],[key]])/1000+SUMIFS(Table3[In Transit],Table3[key],Table1[[#This Row],[key]])/1000,2)</f>
        <v>10.66</v>
      </c>
      <c r="M14" s="9">
        <v>1</v>
      </c>
      <c r="N14" s="9" t="s">
        <v>5</v>
      </c>
      <c r="O14" s="9" t="s">
        <v>5</v>
      </c>
      <c r="P14" s="9" t="s">
        <v>5</v>
      </c>
      <c r="Q14" s="9" t="s">
        <v>5</v>
      </c>
      <c r="R14" s="9" t="s">
        <v>5</v>
      </c>
      <c r="S14" s="9" t="s">
        <v>5</v>
      </c>
      <c r="T14" s="12" t="s">
        <v>5</v>
      </c>
    </row>
    <row r="15" spans="1:21" ht="15" customHeight="1" x14ac:dyDescent="0.3">
      <c r="A15" s="9">
        <v>12</v>
      </c>
      <c r="B15" s="9" t="s">
        <v>5</v>
      </c>
      <c r="C15" s="9">
        <v>943209</v>
      </c>
      <c r="D15" s="9">
        <v>15.88</v>
      </c>
      <c r="E15" s="9">
        <v>2</v>
      </c>
      <c r="F15" s="9">
        <v>4.1079999999999997</v>
      </c>
      <c r="G15" s="9" t="s">
        <v>35</v>
      </c>
      <c r="H15" s="9" t="s">
        <v>29</v>
      </c>
      <c r="I15" s="9" t="s">
        <v>30</v>
      </c>
      <c r="J15" s="10">
        <f t="shared" si="1"/>
        <v>0</v>
      </c>
      <c r="K15" s="10"/>
      <c r="L15" s="10">
        <f>ROUND(SUMIFS(Table3[Stock],Table3[key],Table1[[#This Row],[key]])/1000+SUMIFS(Table3[In Transit],Table3[key],Table1[[#This Row],[key]])/1000,2)</f>
        <v>0</v>
      </c>
      <c r="M15" s="9" t="s">
        <v>5</v>
      </c>
      <c r="N15" s="9" t="s">
        <v>5</v>
      </c>
      <c r="O15" s="9" t="s">
        <v>5</v>
      </c>
      <c r="P15" s="9" t="s">
        <v>5</v>
      </c>
      <c r="Q15" s="9" t="s">
        <v>5</v>
      </c>
      <c r="R15" s="9" t="s">
        <v>5</v>
      </c>
      <c r="S15" s="9" t="s">
        <v>5</v>
      </c>
      <c r="T15" s="12" t="s">
        <v>5</v>
      </c>
    </row>
    <row r="16" spans="1:21" ht="15" customHeight="1" x14ac:dyDescent="0.3">
      <c r="A16" s="9">
        <v>13</v>
      </c>
      <c r="B16" s="9" t="s">
        <v>5</v>
      </c>
      <c r="C16" s="9" t="s">
        <v>5</v>
      </c>
      <c r="D16" s="9">
        <v>16.8</v>
      </c>
      <c r="E16" s="9">
        <v>2.4</v>
      </c>
      <c r="F16" s="9">
        <v>3.75</v>
      </c>
      <c r="G16" s="9" t="s">
        <v>36</v>
      </c>
      <c r="H16" s="9" t="s">
        <v>29</v>
      </c>
      <c r="I16" s="9" t="s">
        <v>30</v>
      </c>
      <c r="J16" s="10">
        <f t="shared" si="1"/>
        <v>0</v>
      </c>
      <c r="K16" s="10"/>
      <c r="L16" s="10">
        <f>ROUND(SUMIFS(Table3[Stock],Table3[key],Table1[[#This Row],[key]])/1000+SUMIFS(Table3[In Transit],Table3[key],Table1[[#This Row],[key]])/1000,2)</f>
        <v>0</v>
      </c>
      <c r="M16" s="9" t="s">
        <v>5</v>
      </c>
      <c r="N16" s="9" t="s">
        <v>5</v>
      </c>
      <c r="O16" s="9" t="s">
        <v>5</v>
      </c>
      <c r="P16" s="9" t="s">
        <v>5</v>
      </c>
      <c r="Q16" s="9" t="s">
        <v>5</v>
      </c>
      <c r="R16" s="9" t="s">
        <v>5</v>
      </c>
      <c r="S16" s="9" t="s">
        <v>5</v>
      </c>
      <c r="T16" s="12" t="s">
        <v>5</v>
      </c>
    </row>
    <row r="17" spans="1:20" ht="15" customHeight="1" x14ac:dyDescent="0.3">
      <c r="A17" s="9">
        <v>14</v>
      </c>
      <c r="B17" s="9" t="s">
        <v>5</v>
      </c>
      <c r="C17" s="9" t="s">
        <v>5</v>
      </c>
      <c r="D17" s="9">
        <v>18.2</v>
      </c>
      <c r="E17" s="9">
        <v>1</v>
      </c>
      <c r="F17" s="9">
        <v>2.6070000000000002</v>
      </c>
      <c r="G17" s="9" t="s">
        <v>37</v>
      </c>
      <c r="H17" s="9" t="s">
        <v>29</v>
      </c>
      <c r="I17" s="9" t="s">
        <v>30</v>
      </c>
      <c r="J17" s="10">
        <f t="shared" si="1"/>
        <v>5</v>
      </c>
      <c r="K17" s="10"/>
      <c r="L17" s="10">
        <f>ROUND(SUMIFS(Table3[Stock],Table3[key],Table1[[#This Row],[key]])/1000+SUMIFS(Table3[In Transit],Table3[key],Table1[[#This Row],[key]])/1000,2)</f>
        <v>4.9000000000000004</v>
      </c>
      <c r="M17" s="9">
        <v>5</v>
      </c>
      <c r="N17" s="9" t="s">
        <v>5</v>
      </c>
      <c r="O17" s="9" t="s">
        <v>5</v>
      </c>
      <c r="P17" s="9" t="s">
        <v>5</v>
      </c>
      <c r="Q17" s="9" t="s">
        <v>5</v>
      </c>
      <c r="R17" s="9" t="s">
        <v>5</v>
      </c>
      <c r="S17" s="9" t="s">
        <v>5</v>
      </c>
      <c r="T17" s="12" t="s">
        <v>5</v>
      </c>
    </row>
    <row r="18" spans="1:20" ht="15" customHeight="1" x14ac:dyDescent="0.3">
      <c r="A18" s="9">
        <v>15</v>
      </c>
      <c r="B18" s="9" t="s">
        <v>5</v>
      </c>
      <c r="C18" s="9">
        <v>943210</v>
      </c>
      <c r="D18" s="9">
        <v>19.05</v>
      </c>
      <c r="E18" s="9">
        <v>1.4</v>
      </c>
      <c r="F18" s="9">
        <v>3.6560000000000001</v>
      </c>
      <c r="G18" s="9" t="s">
        <v>5</v>
      </c>
      <c r="H18" s="9" t="s">
        <v>38</v>
      </c>
      <c r="I18" s="9" t="s">
        <v>30</v>
      </c>
      <c r="J18" s="10">
        <f t="shared" si="1"/>
        <v>0</v>
      </c>
      <c r="K18" s="10"/>
      <c r="L18" s="10">
        <f>ROUND(SUMIFS(Table3[Stock],Table3[key],Table1[[#This Row],[key]])/1000+SUMIFS(Table3[In Transit],Table3[key],Table1[[#This Row],[key]])/1000,2)</f>
        <v>0</v>
      </c>
      <c r="M18" s="9" t="s">
        <v>5</v>
      </c>
      <c r="N18" s="9" t="s">
        <v>5</v>
      </c>
      <c r="O18" s="9" t="s">
        <v>5</v>
      </c>
      <c r="P18" s="9" t="s">
        <v>5</v>
      </c>
      <c r="Q18" s="9" t="s">
        <v>5</v>
      </c>
      <c r="R18" s="9" t="s">
        <v>5</v>
      </c>
      <c r="S18" s="9" t="s">
        <v>5</v>
      </c>
      <c r="T18" s="12" t="s">
        <v>5</v>
      </c>
    </row>
    <row r="19" spans="1:20" ht="15" customHeight="1" x14ac:dyDescent="0.3">
      <c r="A19" s="9">
        <v>18</v>
      </c>
      <c r="B19" s="9" t="s">
        <v>5</v>
      </c>
      <c r="C19" s="9">
        <v>943209</v>
      </c>
      <c r="D19" s="9">
        <v>19.05</v>
      </c>
      <c r="E19" s="9">
        <v>2</v>
      </c>
      <c r="F19" s="9">
        <v>4.8780000000000001</v>
      </c>
      <c r="G19" s="9" t="s">
        <v>40</v>
      </c>
      <c r="H19" s="9" t="s">
        <v>29</v>
      </c>
      <c r="I19" s="9" t="s">
        <v>30</v>
      </c>
      <c r="J19" s="10">
        <v>65</v>
      </c>
      <c r="K19" s="10">
        <f>(3701+3056+2286+2627)/1000</f>
        <v>11.67</v>
      </c>
      <c r="L19" s="10">
        <f>ROUND(SUMIFS(Table3[Stock],Table3[key],Table1[[#This Row],[key]])/1000+SUMIFS(Table3[In Transit],Table3[key],Table1[[#This Row],[key]])/1000,2)</f>
        <v>27.93</v>
      </c>
      <c r="M19" s="9">
        <v>45</v>
      </c>
      <c r="N19" s="9">
        <v>3</v>
      </c>
      <c r="O19" s="9" t="s">
        <v>5</v>
      </c>
      <c r="P19" s="9">
        <v>17</v>
      </c>
      <c r="Q19" s="9" t="s">
        <v>5</v>
      </c>
      <c r="R19" s="9" t="s">
        <v>5</v>
      </c>
      <c r="S19" s="9" t="s">
        <v>5</v>
      </c>
      <c r="T19" s="12" t="s">
        <v>5</v>
      </c>
    </row>
    <row r="20" spans="1:20" ht="15" customHeight="1" x14ac:dyDescent="0.3">
      <c r="A20" s="9">
        <v>20</v>
      </c>
      <c r="B20" s="9" t="s">
        <v>5</v>
      </c>
      <c r="C20" s="9" t="s">
        <v>5</v>
      </c>
      <c r="D20" s="9">
        <v>19.05</v>
      </c>
      <c r="E20" s="9">
        <v>2.2999999999999998</v>
      </c>
      <c r="F20" s="9">
        <v>6.6509999999999998</v>
      </c>
      <c r="G20" s="9" t="s">
        <v>41</v>
      </c>
      <c r="H20" s="9" t="s">
        <v>29</v>
      </c>
      <c r="I20" s="9" t="s">
        <v>30</v>
      </c>
      <c r="J20" s="10">
        <v>34</v>
      </c>
      <c r="K20" s="10">
        <f>(2413+4384)/1000</f>
        <v>6.7969999999999997</v>
      </c>
      <c r="L20" s="10">
        <f>ROUND(SUMIFS(Table3[Stock],Table3[key],Table1[[#This Row],[key]])/1000+SUMIFS(Table3[In Transit],Table3[key],Table1[[#This Row],[key]])/1000,2)</f>
        <v>25.92</v>
      </c>
      <c r="M20" s="9">
        <v>30</v>
      </c>
      <c r="N20" s="9">
        <v>4</v>
      </c>
      <c r="O20" s="9" t="s">
        <v>5</v>
      </c>
      <c r="P20" s="9" t="s">
        <v>5</v>
      </c>
      <c r="Q20" s="9" t="s">
        <v>5</v>
      </c>
      <c r="R20" s="9" t="s">
        <v>5</v>
      </c>
      <c r="S20" s="9" t="s">
        <v>5</v>
      </c>
      <c r="T20" s="12" t="s">
        <v>5</v>
      </c>
    </row>
    <row r="21" spans="1:20" ht="15" customHeight="1" x14ac:dyDescent="0.3">
      <c r="A21" s="9">
        <v>24</v>
      </c>
      <c r="B21" s="9" t="s">
        <v>5</v>
      </c>
      <c r="C21" s="9">
        <v>943209</v>
      </c>
      <c r="D21" s="9">
        <v>21.4</v>
      </c>
      <c r="E21" s="9">
        <v>1.6</v>
      </c>
      <c r="F21" s="9">
        <v>4.6879999999999997</v>
      </c>
      <c r="G21" s="9" t="s">
        <v>42</v>
      </c>
      <c r="H21" s="9" t="s">
        <v>29</v>
      </c>
      <c r="I21" s="9" t="s">
        <v>30</v>
      </c>
      <c r="J21" s="10">
        <f t="shared" si="1"/>
        <v>5</v>
      </c>
      <c r="K21" s="10"/>
      <c r="L21" s="10">
        <f>ROUND(SUMIFS(Table3[Stock],Table3[key],Table1[[#This Row],[key]])/1000+SUMIFS(Table3[In Transit],Table3[key],Table1[[#This Row],[key]])/1000,2)</f>
        <v>0</v>
      </c>
      <c r="M21" s="9">
        <v>5</v>
      </c>
      <c r="N21" s="9" t="s">
        <v>5</v>
      </c>
      <c r="O21" s="9" t="s">
        <v>5</v>
      </c>
      <c r="P21" s="9" t="s">
        <v>5</v>
      </c>
      <c r="Q21" s="9" t="s">
        <v>5</v>
      </c>
      <c r="R21" s="9" t="s">
        <v>5</v>
      </c>
      <c r="S21" s="9" t="s">
        <v>5</v>
      </c>
      <c r="T21" s="12" t="s">
        <v>5</v>
      </c>
    </row>
    <row r="22" spans="1:20" ht="15" customHeight="1" x14ac:dyDescent="0.3">
      <c r="A22" s="9">
        <v>25</v>
      </c>
      <c r="B22" s="9" t="s">
        <v>5</v>
      </c>
      <c r="C22" s="9">
        <v>943209</v>
      </c>
      <c r="D22" s="9">
        <v>21.4</v>
      </c>
      <c r="E22" s="9">
        <v>2</v>
      </c>
      <c r="F22" s="9" t="s">
        <v>5</v>
      </c>
      <c r="G22" s="9" t="s">
        <v>5</v>
      </c>
      <c r="H22" s="9" t="s">
        <v>29</v>
      </c>
      <c r="I22" s="9" t="s">
        <v>30</v>
      </c>
      <c r="J22" s="10">
        <f t="shared" si="1"/>
        <v>0</v>
      </c>
      <c r="K22" s="10"/>
      <c r="L22" s="10">
        <f>ROUND(SUMIFS(Table3[Stock],Table3[key],Table1[[#This Row],[key]])/1000+SUMIFS(Table3[In Transit],Table3[key],Table1[[#This Row],[key]])/1000,2)</f>
        <v>0</v>
      </c>
      <c r="M22" s="9" t="s">
        <v>5</v>
      </c>
      <c r="N22" s="9" t="s">
        <v>5</v>
      </c>
      <c r="O22" s="9" t="s">
        <v>5</v>
      </c>
      <c r="P22" s="9" t="s">
        <v>5</v>
      </c>
      <c r="Q22" s="9" t="s">
        <v>5</v>
      </c>
      <c r="R22" s="9" t="s">
        <v>5</v>
      </c>
      <c r="S22" s="9" t="s">
        <v>5</v>
      </c>
      <c r="T22" s="12" t="s">
        <v>5</v>
      </c>
    </row>
    <row r="23" spans="1:20" ht="15" customHeight="1" x14ac:dyDescent="0.3">
      <c r="A23" s="9">
        <v>26</v>
      </c>
      <c r="B23" s="9" t="s">
        <v>5</v>
      </c>
      <c r="C23" s="9" t="s">
        <v>5</v>
      </c>
      <c r="D23" s="9">
        <v>22.2</v>
      </c>
      <c r="E23" s="9">
        <v>1.2</v>
      </c>
      <c r="F23" s="9">
        <v>3.6480000000000001</v>
      </c>
      <c r="G23" s="9" t="s">
        <v>43</v>
      </c>
      <c r="H23" s="9" t="s">
        <v>29</v>
      </c>
      <c r="I23" s="9" t="s">
        <v>30</v>
      </c>
      <c r="J23" s="10">
        <v>19.5</v>
      </c>
      <c r="K23" s="10">
        <f>(2103+845+983+975)/1000</f>
        <v>4.9059999999999997</v>
      </c>
      <c r="L23" s="10">
        <f>ROUND(SUMIFS(Table3[Stock],Table3[key],Table1[[#This Row],[key]])/1000+SUMIFS(Table3[In Transit],Table3[key],Table1[[#This Row],[key]])/1000,2)</f>
        <v>32</v>
      </c>
      <c r="M23" s="9">
        <v>18</v>
      </c>
      <c r="N23" s="9">
        <v>1.5</v>
      </c>
      <c r="O23" s="9" t="s">
        <v>5</v>
      </c>
      <c r="P23" s="9" t="s">
        <v>5</v>
      </c>
      <c r="Q23" s="9" t="s">
        <v>5</v>
      </c>
      <c r="R23" s="9" t="s">
        <v>5</v>
      </c>
      <c r="S23" s="9" t="s">
        <v>5</v>
      </c>
      <c r="T23" s="12" t="s">
        <v>5</v>
      </c>
    </row>
    <row r="24" spans="1:20" ht="15" customHeight="1" x14ac:dyDescent="0.3">
      <c r="A24" s="9">
        <v>28</v>
      </c>
      <c r="B24" s="9" t="s">
        <v>5</v>
      </c>
      <c r="C24" s="9">
        <v>943209</v>
      </c>
      <c r="D24" s="9">
        <v>22.2</v>
      </c>
      <c r="E24" s="9">
        <v>1.4</v>
      </c>
      <c r="F24" s="9">
        <v>4.3090000000000002</v>
      </c>
      <c r="G24" s="9" t="s">
        <v>5</v>
      </c>
      <c r="H24" s="9" t="s">
        <v>38</v>
      </c>
      <c r="I24" s="9" t="s">
        <v>30</v>
      </c>
      <c r="J24" s="10">
        <f t="shared" si="1"/>
        <v>0</v>
      </c>
      <c r="K24" s="10"/>
      <c r="L24" s="10">
        <f>ROUND(SUMIFS(Table3[Stock],Table3[key],Table1[[#This Row],[key]])/1000+SUMIFS(Table3[In Transit],Table3[key],Table1[[#This Row],[key]])/1000,2)</f>
        <v>0</v>
      </c>
      <c r="M24" s="9" t="s">
        <v>5</v>
      </c>
      <c r="N24" s="9" t="s">
        <v>5</v>
      </c>
      <c r="O24" s="9" t="s">
        <v>5</v>
      </c>
      <c r="P24" s="9" t="s">
        <v>5</v>
      </c>
      <c r="Q24" s="9" t="s">
        <v>5</v>
      </c>
      <c r="R24" s="9" t="s">
        <v>5</v>
      </c>
      <c r="S24" s="9" t="s">
        <v>5</v>
      </c>
      <c r="T24" s="12" t="s">
        <v>5</v>
      </c>
    </row>
    <row r="25" spans="1:20" ht="15" customHeight="1" x14ac:dyDescent="0.3">
      <c r="A25" s="9">
        <v>29</v>
      </c>
      <c r="B25" s="9" t="s">
        <v>5</v>
      </c>
      <c r="C25" s="9">
        <v>943209</v>
      </c>
      <c r="D25" s="9">
        <v>22.2</v>
      </c>
      <c r="E25" s="9">
        <v>1.6</v>
      </c>
      <c r="F25" s="9">
        <v>4.609</v>
      </c>
      <c r="G25" s="9" t="s">
        <v>44</v>
      </c>
      <c r="H25" s="9" t="s">
        <v>29</v>
      </c>
      <c r="I25" s="9" t="s">
        <v>30</v>
      </c>
      <c r="J25" s="10">
        <v>106</v>
      </c>
      <c r="K25" s="10">
        <f>(5065+19450+3391+2120)/1000</f>
        <v>30.026</v>
      </c>
      <c r="L25" s="10">
        <f>ROUND(SUMIFS(Table3[Stock],Table3[key],Table1[[#This Row],[key]])/1000+SUMIFS(Table3[In Transit],Table3[key],Table1[[#This Row],[key]])/1000,2)</f>
        <v>189.65</v>
      </c>
      <c r="M25" s="9">
        <v>80</v>
      </c>
      <c r="N25" s="9">
        <v>1</v>
      </c>
      <c r="O25" s="9">
        <v>25</v>
      </c>
      <c r="P25" s="9" t="s">
        <v>5</v>
      </c>
      <c r="Q25" s="9" t="s">
        <v>5</v>
      </c>
      <c r="R25" s="9" t="s">
        <v>5</v>
      </c>
      <c r="S25" s="9" t="s">
        <v>5</v>
      </c>
      <c r="T25" s="12" t="s">
        <v>5</v>
      </c>
    </row>
    <row r="26" spans="1:20" ht="15" customHeight="1" x14ac:dyDescent="0.3">
      <c r="A26" s="9">
        <v>35</v>
      </c>
      <c r="B26" s="9" t="s">
        <v>5</v>
      </c>
      <c r="C26" s="9">
        <v>943209</v>
      </c>
      <c r="D26" s="9">
        <v>22.2</v>
      </c>
      <c r="E26" s="9">
        <v>2</v>
      </c>
      <c r="F26" s="9">
        <v>5.38</v>
      </c>
      <c r="G26" s="9" t="s">
        <v>46</v>
      </c>
      <c r="H26" s="9" t="s">
        <v>29</v>
      </c>
      <c r="I26" s="9" t="s">
        <v>47</v>
      </c>
      <c r="J26" s="10">
        <f t="shared" si="1"/>
        <v>0</v>
      </c>
      <c r="K26" s="10">
        <f>(7346+23169+21665)/1000</f>
        <v>52.18</v>
      </c>
      <c r="L26" s="10">
        <f>ROUND(SUMIFS(Table3[Stock],Table3[key],Table1[[#This Row],[key]])/1000+SUMIFS(Table3[In Transit],Table3[key],Table1[[#This Row],[key]])/1000,2)</f>
        <v>38.18</v>
      </c>
      <c r="M26" s="9" t="s">
        <v>5</v>
      </c>
      <c r="N26" s="9" t="s">
        <v>5</v>
      </c>
      <c r="O26" s="9" t="s">
        <v>5</v>
      </c>
      <c r="P26" s="9" t="s">
        <v>5</v>
      </c>
      <c r="Q26" s="9" t="s">
        <v>5</v>
      </c>
      <c r="R26" s="9" t="s">
        <v>5</v>
      </c>
      <c r="S26" s="9" t="s">
        <v>5</v>
      </c>
      <c r="T26" s="12" t="s">
        <v>5</v>
      </c>
    </row>
    <row r="27" spans="1:20" ht="15" customHeight="1" x14ac:dyDescent="0.3">
      <c r="A27" s="9">
        <v>36</v>
      </c>
      <c r="B27" s="9" t="s">
        <v>5</v>
      </c>
      <c r="C27" s="9" t="s">
        <v>5</v>
      </c>
      <c r="D27" s="9">
        <v>22.2</v>
      </c>
      <c r="E27" s="9">
        <v>2</v>
      </c>
      <c r="F27" s="9" t="s">
        <v>5</v>
      </c>
      <c r="G27" s="9" t="s">
        <v>5</v>
      </c>
      <c r="H27" s="9" t="s">
        <v>5</v>
      </c>
      <c r="I27" s="9" t="s">
        <v>5</v>
      </c>
      <c r="J27" s="10">
        <f t="shared" si="1"/>
        <v>0</v>
      </c>
      <c r="K27" s="10"/>
      <c r="L27" s="10">
        <f>ROUND(SUMIFS(Table3[Stock],Table3[key],Table1[[#This Row],[key]])/1000+SUMIFS(Table3[In Transit],Table3[key],Table1[[#This Row],[key]])/1000,2)</f>
        <v>0</v>
      </c>
      <c r="M27" s="9" t="s">
        <v>5</v>
      </c>
      <c r="N27" s="9" t="s">
        <v>5</v>
      </c>
      <c r="O27" s="9" t="s">
        <v>5</v>
      </c>
      <c r="P27" s="9" t="s">
        <v>5</v>
      </c>
      <c r="Q27" s="9" t="s">
        <v>5</v>
      </c>
      <c r="R27" s="9" t="s">
        <v>5</v>
      </c>
      <c r="S27" s="9" t="s">
        <v>5</v>
      </c>
      <c r="T27" s="12" t="s">
        <v>5</v>
      </c>
    </row>
    <row r="28" spans="1:20" ht="15" customHeight="1" x14ac:dyDescent="0.3">
      <c r="A28" s="9">
        <v>37</v>
      </c>
      <c r="B28" s="9" t="s">
        <v>5</v>
      </c>
      <c r="C28" s="9" t="s">
        <v>5</v>
      </c>
      <c r="D28" s="9">
        <v>22.2</v>
      </c>
      <c r="E28" s="9">
        <v>2</v>
      </c>
      <c r="F28" s="9" t="s">
        <v>5</v>
      </c>
      <c r="G28" s="9" t="s">
        <v>5</v>
      </c>
      <c r="H28" s="9" t="s">
        <v>29</v>
      </c>
      <c r="I28" s="9" t="s">
        <v>30</v>
      </c>
      <c r="J28" s="10">
        <f t="shared" si="1"/>
        <v>0</v>
      </c>
      <c r="K28" s="10"/>
      <c r="L28" s="10">
        <f>ROUND(SUMIFS(Table3[Stock],Table3[key],Table1[[#This Row],[key]])/1000+SUMIFS(Table3[In Transit],Table3[key],Table1[[#This Row],[key]])/1000,2)</f>
        <v>0</v>
      </c>
      <c r="M28" s="9" t="s">
        <v>5</v>
      </c>
      <c r="N28" s="9" t="s">
        <v>5</v>
      </c>
      <c r="O28" s="9" t="s">
        <v>5</v>
      </c>
      <c r="P28" s="9" t="s">
        <v>5</v>
      </c>
      <c r="Q28" s="9" t="s">
        <v>5</v>
      </c>
      <c r="R28" s="9" t="s">
        <v>5</v>
      </c>
      <c r="S28" s="9" t="s">
        <v>5</v>
      </c>
      <c r="T28" s="12" t="s">
        <v>5</v>
      </c>
    </row>
    <row r="29" spans="1:20" ht="15" customHeight="1" x14ac:dyDescent="0.3">
      <c r="A29" s="9">
        <v>38</v>
      </c>
      <c r="B29" s="9" t="s">
        <v>5</v>
      </c>
      <c r="C29" s="9">
        <v>943209</v>
      </c>
      <c r="D29" s="9">
        <v>22.2</v>
      </c>
      <c r="E29" s="9">
        <v>2</v>
      </c>
      <c r="F29" s="9">
        <v>5.9279999999999999</v>
      </c>
      <c r="G29" s="9" t="s">
        <v>45</v>
      </c>
      <c r="H29" s="9" t="s">
        <v>29</v>
      </c>
      <c r="I29" s="9" t="s">
        <v>30</v>
      </c>
      <c r="J29" s="10">
        <f t="shared" si="1"/>
        <v>150</v>
      </c>
      <c r="K29" s="10"/>
      <c r="L29" s="10">
        <f>ROUND(SUMIFS(Table3[Stock],Table3[key],Table1[[#This Row],[key]])/1000+SUMIFS(Table3[In Transit],Table3[key],Table1[[#This Row],[key]])/1000,2)</f>
        <v>12.56</v>
      </c>
      <c r="M29" s="9">
        <v>90</v>
      </c>
      <c r="N29" s="9" t="s">
        <v>5</v>
      </c>
      <c r="O29" s="9" t="s">
        <v>5</v>
      </c>
      <c r="P29" s="9" t="s">
        <v>5</v>
      </c>
      <c r="Q29" s="9">
        <v>60</v>
      </c>
      <c r="R29" s="9" t="s">
        <v>5</v>
      </c>
      <c r="S29" s="9" t="s">
        <v>5</v>
      </c>
      <c r="T29" s="12" t="s">
        <v>5</v>
      </c>
    </row>
    <row r="30" spans="1:20" ht="15" customHeight="1" x14ac:dyDescent="0.3">
      <c r="A30" s="9">
        <v>39</v>
      </c>
      <c r="B30" s="9" t="s">
        <v>5</v>
      </c>
      <c r="C30" s="9">
        <v>943209</v>
      </c>
      <c r="D30" s="9">
        <v>22.2</v>
      </c>
      <c r="E30" s="9">
        <v>2</v>
      </c>
      <c r="F30" s="9">
        <v>5.9779999999999998</v>
      </c>
      <c r="G30" s="9" t="s">
        <v>48</v>
      </c>
      <c r="H30" s="9" t="s">
        <v>38</v>
      </c>
      <c r="I30" s="9" t="s">
        <v>47</v>
      </c>
      <c r="J30" s="10">
        <f t="shared" si="1"/>
        <v>60</v>
      </c>
      <c r="K30" s="10">
        <f>(7612+5297+4652)/1000</f>
        <v>17.561</v>
      </c>
      <c r="L30" s="10">
        <f>ROUND(SUMIFS(Table3[Stock],Table3[key],Table1[[#This Row],[key]])/1000+SUMIFS(Table3[In Transit],Table3[key],Table1[[#This Row],[key]])/1000,2)</f>
        <v>45.82</v>
      </c>
      <c r="M30" s="9">
        <v>60</v>
      </c>
      <c r="N30" s="9" t="s">
        <v>5</v>
      </c>
      <c r="O30" s="9" t="s">
        <v>5</v>
      </c>
      <c r="P30" s="9" t="s">
        <v>5</v>
      </c>
      <c r="Q30" s="9" t="s">
        <v>5</v>
      </c>
      <c r="R30" s="9" t="s">
        <v>5</v>
      </c>
      <c r="S30" s="9" t="s">
        <v>5</v>
      </c>
      <c r="T30" s="12" t="s">
        <v>5</v>
      </c>
    </row>
    <row r="31" spans="1:20" ht="15" customHeight="1" x14ac:dyDescent="0.3">
      <c r="A31" s="9">
        <v>40</v>
      </c>
      <c r="B31" s="9" t="s">
        <v>5</v>
      </c>
      <c r="C31" s="9" t="s">
        <v>5</v>
      </c>
      <c r="D31" s="9">
        <v>22.2</v>
      </c>
      <c r="E31" s="9">
        <v>2.2999999999999998</v>
      </c>
      <c r="F31" s="9">
        <v>6.5019999999999998</v>
      </c>
      <c r="G31" s="9" t="s">
        <v>49</v>
      </c>
      <c r="H31" s="9" t="s">
        <v>38</v>
      </c>
      <c r="I31" s="9" t="s">
        <v>30</v>
      </c>
      <c r="J31" s="10">
        <f t="shared" si="1"/>
        <v>0</v>
      </c>
      <c r="K31" s="10"/>
      <c r="L31" s="10">
        <f>ROUND(SUMIFS(Table3[Stock],Table3[key],Table1[[#This Row],[key]])/1000+SUMIFS(Table3[In Transit],Table3[key],Table1[[#This Row],[key]])/1000,2)</f>
        <v>0</v>
      </c>
      <c r="M31" s="9" t="s">
        <v>5</v>
      </c>
      <c r="N31" s="9" t="s">
        <v>5</v>
      </c>
      <c r="O31" s="9" t="s">
        <v>5</v>
      </c>
      <c r="P31" s="9" t="s">
        <v>5</v>
      </c>
      <c r="Q31" s="9" t="s">
        <v>5</v>
      </c>
      <c r="R31" s="9" t="s">
        <v>5</v>
      </c>
      <c r="S31" s="9" t="s">
        <v>5</v>
      </c>
      <c r="T31" s="12" t="s">
        <v>5</v>
      </c>
    </row>
    <row r="32" spans="1:20" ht="15" customHeight="1" x14ac:dyDescent="0.3">
      <c r="A32" s="9">
        <v>42</v>
      </c>
      <c r="B32" s="9" t="s">
        <v>5</v>
      </c>
      <c r="C32" s="9">
        <v>943210</v>
      </c>
      <c r="D32" s="9">
        <v>25.4</v>
      </c>
      <c r="E32" s="9">
        <v>1.4</v>
      </c>
      <c r="F32" s="9">
        <v>4.5830000000000002</v>
      </c>
      <c r="G32" s="9" t="s">
        <v>5</v>
      </c>
      <c r="H32" s="9" t="s">
        <v>38</v>
      </c>
      <c r="I32" s="9" t="s">
        <v>47</v>
      </c>
      <c r="J32" s="10">
        <f t="shared" si="1"/>
        <v>0</v>
      </c>
      <c r="K32" s="10"/>
      <c r="L32" s="10">
        <f>ROUND(SUMIFS(Table3[Stock],Table3[key],Table1[[#This Row],[key]])/1000+SUMIFS(Table3[In Transit],Table3[key],Table1[[#This Row],[key]])/1000,2)</f>
        <v>0</v>
      </c>
      <c r="M32" s="9" t="s">
        <v>5</v>
      </c>
      <c r="N32" s="9" t="s">
        <v>5</v>
      </c>
      <c r="O32" s="9" t="s">
        <v>5</v>
      </c>
      <c r="P32" s="9" t="s">
        <v>5</v>
      </c>
      <c r="Q32" s="9" t="s">
        <v>5</v>
      </c>
      <c r="R32" s="9" t="s">
        <v>5</v>
      </c>
      <c r="S32" s="9" t="s">
        <v>5</v>
      </c>
      <c r="T32" s="12" t="s">
        <v>5</v>
      </c>
    </row>
    <row r="33" spans="1:20" ht="15" customHeight="1" x14ac:dyDescent="0.3">
      <c r="A33" s="9">
        <v>43</v>
      </c>
      <c r="B33" s="9" t="s">
        <v>5</v>
      </c>
      <c r="C33" s="9">
        <v>943210</v>
      </c>
      <c r="D33" s="9">
        <v>25.4</v>
      </c>
      <c r="E33" s="9">
        <v>1.4</v>
      </c>
      <c r="F33" s="9" t="s">
        <v>5</v>
      </c>
      <c r="G33" s="9" t="s">
        <v>5</v>
      </c>
      <c r="H33" s="9" t="s">
        <v>29</v>
      </c>
      <c r="I33" s="9" t="s">
        <v>47</v>
      </c>
      <c r="J33" s="10">
        <f t="shared" si="1"/>
        <v>0</v>
      </c>
      <c r="K33" s="10"/>
      <c r="L33" s="10">
        <f>ROUND(SUMIFS(Table3[Stock],Table3[key],Table1[[#This Row],[key]])/1000+SUMIFS(Table3[In Transit],Table3[key],Table1[[#This Row],[key]])/1000,2)</f>
        <v>0</v>
      </c>
      <c r="M33" s="9" t="s">
        <v>5</v>
      </c>
      <c r="N33" s="9" t="s">
        <v>5</v>
      </c>
      <c r="O33" s="9" t="s">
        <v>5</v>
      </c>
      <c r="P33" s="9" t="s">
        <v>5</v>
      </c>
      <c r="Q33" s="9" t="s">
        <v>5</v>
      </c>
      <c r="R33" s="9" t="s">
        <v>5</v>
      </c>
      <c r="S33" s="9" t="s">
        <v>5</v>
      </c>
      <c r="T33" s="12" t="s">
        <v>5</v>
      </c>
    </row>
    <row r="34" spans="1:20" ht="15" customHeight="1" x14ac:dyDescent="0.3">
      <c r="A34" s="9">
        <v>44</v>
      </c>
      <c r="B34" s="9" t="s">
        <v>5</v>
      </c>
      <c r="C34" s="9" t="s">
        <v>5</v>
      </c>
      <c r="D34" s="9">
        <v>25.4</v>
      </c>
      <c r="E34" s="9">
        <v>1.6</v>
      </c>
      <c r="F34" s="9" t="s">
        <v>5</v>
      </c>
      <c r="G34" s="9" t="s">
        <v>50</v>
      </c>
      <c r="H34" s="9" t="s">
        <v>29</v>
      </c>
      <c r="I34" s="9" t="s">
        <v>30</v>
      </c>
      <c r="J34" s="10">
        <v>41</v>
      </c>
      <c r="K34" s="10">
        <f>(6465+6465+5188+6465)/1000</f>
        <v>24.582999999999998</v>
      </c>
      <c r="L34" s="10">
        <f>ROUND(SUMIFS(Table3[Stock],Table3[key],Table1[[#This Row],[key]])/1000+SUMIFS(Table3[In Transit],Table3[key],Table1[[#This Row],[key]])/1000,2)</f>
        <v>19.03</v>
      </c>
      <c r="M34" s="9">
        <v>41</v>
      </c>
      <c r="N34" s="9" t="s">
        <v>5</v>
      </c>
      <c r="O34" s="9" t="s">
        <v>5</v>
      </c>
      <c r="P34" s="9" t="s">
        <v>5</v>
      </c>
      <c r="Q34" s="9" t="s">
        <v>5</v>
      </c>
      <c r="R34" s="9" t="s">
        <v>5</v>
      </c>
      <c r="S34" s="9" t="s">
        <v>5</v>
      </c>
      <c r="T34" s="12" t="s">
        <v>5</v>
      </c>
    </row>
    <row r="35" spans="1:20" ht="15" customHeight="1" x14ac:dyDescent="0.3">
      <c r="A35" s="9">
        <v>45</v>
      </c>
      <c r="B35" s="9" t="s">
        <v>5</v>
      </c>
      <c r="C35" s="9" t="s">
        <v>5</v>
      </c>
      <c r="D35" s="9">
        <v>25.4</v>
      </c>
      <c r="E35" s="9">
        <v>1.6</v>
      </c>
      <c r="F35" s="9" t="s">
        <v>5</v>
      </c>
      <c r="G35" s="9" t="s">
        <v>5</v>
      </c>
      <c r="H35" s="9" t="s">
        <v>5</v>
      </c>
      <c r="I35" s="9" t="s">
        <v>5</v>
      </c>
      <c r="J35" s="10">
        <f t="shared" si="1"/>
        <v>0</v>
      </c>
      <c r="K35" s="10"/>
      <c r="L35" s="10">
        <f>ROUND(SUMIFS(Table3[Stock],Table3[key],Table1[[#This Row],[key]])/1000+SUMIFS(Table3[In Transit],Table3[key],Table1[[#This Row],[key]])/1000,2)</f>
        <v>0</v>
      </c>
      <c r="M35" s="9" t="s">
        <v>5</v>
      </c>
      <c r="N35" s="9" t="s">
        <v>5</v>
      </c>
      <c r="O35" s="9" t="s">
        <v>5</v>
      </c>
      <c r="P35" s="9" t="s">
        <v>5</v>
      </c>
      <c r="Q35" s="9" t="s">
        <v>5</v>
      </c>
      <c r="R35" s="9" t="s">
        <v>5</v>
      </c>
      <c r="S35" s="9" t="s">
        <v>5</v>
      </c>
      <c r="T35" s="12" t="s">
        <v>5</v>
      </c>
    </row>
    <row r="36" spans="1:20" ht="15" customHeight="1" x14ac:dyDescent="0.3">
      <c r="A36" s="9">
        <v>47</v>
      </c>
      <c r="B36" s="9" t="s">
        <v>5</v>
      </c>
      <c r="C36" s="9">
        <v>943209</v>
      </c>
      <c r="D36" s="9">
        <v>25.4</v>
      </c>
      <c r="E36" s="9">
        <v>2</v>
      </c>
      <c r="F36" s="9">
        <v>6.74</v>
      </c>
      <c r="G36" s="9" t="s">
        <v>51</v>
      </c>
      <c r="H36" s="9" t="s">
        <v>29</v>
      </c>
      <c r="I36" s="9" t="s">
        <v>30</v>
      </c>
      <c r="J36" s="10">
        <f t="shared" si="1"/>
        <v>10</v>
      </c>
      <c r="K36" s="10">
        <f>(3266+1633)/1000</f>
        <v>4.899</v>
      </c>
      <c r="L36" s="10">
        <f>ROUND(SUMIFS(Table3[Stock],Table3[key],Table1[[#This Row],[key]])/1000+SUMIFS(Table3[In Transit],Table3[key],Table1[[#This Row],[key]])/1000,2)</f>
        <v>0</v>
      </c>
      <c r="M36" s="9">
        <v>10</v>
      </c>
      <c r="N36" s="9" t="s">
        <v>5</v>
      </c>
      <c r="O36" s="9" t="s">
        <v>5</v>
      </c>
      <c r="P36" s="9" t="s">
        <v>5</v>
      </c>
      <c r="Q36" s="9" t="s">
        <v>5</v>
      </c>
      <c r="R36" s="9" t="s">
        <v>5</v>
      </c>
      <c r="S36" s="9" t="s">
        <v>5</v>
      </c>
      <c r="T36" s="12" t="s">
        <v>5</v>
      </c>
    </row>
    <row r="37" spans="1:20" ht="15" customHeight="1" x14ac:dyDescent="0.3">
      <c r="A37" s="9">
        <v>48</v>
      </c>
      <c r="B37" s="9" t="s">
        <v>5</v>
      </c>
      <c r="C37" s="9">
        <v>943209</v>
      </c>
      <c r="D37" s="9">
        <v>25.4</v>
      </c>
      <c r="E37" s="9">
        <v>2</v>
      </c>
      <c r="F37" s="9" t="s">
        <v>5</v>
      </c>
      <c r="G37" s="9" t="s">
        <v>5</v>
      </c>
      <c r="H37" s="9" t="s">
        <v>29</v>
      </c>
      <c r="I37" s="9" t="s">
        <v>30</v>
      </c>
      <c r="J37" s="10">
        <f t="shared" si="1"/>
        <v>0</v>
      </c>
      <c r="K37" s="10"/>
      <c r="L37" s="10">
        <f>ROUND(SUMIFS(Table3[Stock],Table3[key],Table1[[#This Row],[key]])/1000+SUMIFS(Table3[In Transit],Table3[key],Table1[[#This Row],[key]])/1000,2)</f>
        <v>0</v>
      </c>
      <c r="M37" s="9" t="s">
        <v>5</v>
      </c>
      <c r="N37" s="9" t="s">
        <v>5</v>
      </c>
      <c r="O37" s="9" t="s">
        <v>5</v>
      </c>
      <c r="P37" s="9" t="s">
        <v>5</v>
      </c>
      <c r="Q37" s="9" t="s">
        <v>5</v>
      </c>
      <c r="R37" s="9" t="s">
        <v>5</v>
      </c>
      <c r="S37" s="9" t="s">
        <v>5</v>
      </c>
      <c r="T37" s="12" t="s">
        <v>5</v>
      </c>
    </row>
    <row r="38" spans="1:20" ht="15" customHeight="1" x14ac:dyDescent="0.3">
      <c r="A38" s="9">
        <v>50</v>
      </c>
      <c r="B38" s="9" t="s">
        <v>5</v>
      </c>
      <c r="C38" s="9">
        <v>943209</v>
      </c>
      <c r="D38" s="9">
        <v>25.4</v>
      </c>
      <c r="E38" s="9">
        <v>2.5</v>
      </c>
      <c r="F38" s="9">
        <v>7.8079999999999998</v>
      </c>
      <c r="G38" s="9" t="s">
        <v>52</v>
      </c>
      <c r="H38" s="9" t="s">
        <v>29</v>
      </c>
      <c r="I38" s="9" t="s">
        <v>47</v>
      </c>
      <c r="J38" s="10">
        <f t="shared" si="1"/>
        <v>56</v>
      </c>
      <c r="K38" s="10">
        <f>(8445+5195+6633)/1000</f>
        <v>20.273</v>
      </c>
      <c r="L38" s="10">
        <f>ROUND(SUMIFS(Table3[Stock],Table3[key],Table1[[#This Row],[key]])/1000+SUMIFS(Table3[In Transit],Table3[key],Table1[[#This Row],[key]])/1000,2)</f>
        <v>55.22</v>
      </c>
      <c r="M38" s="9">
        <v>56</v>
      </c>
      <c r="N38" s="9" t="s">
        <v>5</v>
      </c>
      <c r="O38" s="9" t="s">
        <v>5</v>
      </c>
      <c r="P38" s="9" t="s">
        <v>5</v>
      </c>
      <c r="Q38" s="9" t="s">
        <v>5</v>
      </c>
      <c r="R38" s="9" t="s">
        <v>5</v>
      </c>
      <c r="S38" s="9" t="s">
        <v>5</v>
      </c>
      <c r="T38" s="12" t="s">
        <v>5</v>
      </c>
    </row>
    <row r="39" spans="1:20" ht="15" customHeight="1" x14ac:dyDescent="0.3">
      <c r="A39" s="9">
        <v>51</v>
      </c>
      <c r="B39" s="9" t="s">
        <v>5</v>
      </c>
      <c r="C39" s="9" t="s">
        <v>5</v>
      </c>
      <c r="D39" s="9">
        <v>25.4</v>
      </c>
      <c r="E39" s="9">
        <v>2.5</v>
      </c>
      <c r="F39" s="9">
        <v>8.33</v>
      </c>
      <c r="G39" s="9" t="s">
        <v>53</v>
      </c>
      <c r="H39" s="9" t="s">
        <v>29</v>
      </c>
      <c r="I39" s="9" t="s">
        <v>47</v>
      </c>
      <c r="J39" s="10">
        <f t="shared" si="1"/>
        <v>0</v>
      </c>
      <c r="K39" s="10"/>
      <c r="L39" s="10">
        <f>ROUND(SUMIFS(Table3[Stock],Table3[key],Table1[[#This Row],[key]])/1000+SUMIFS(Table3[In Transit],Table3[key],Table1[[#This Row],[key]])/1000,2)</f>
        <v>11.3</v>
      </c>
      <c r="M39" s="9" t="s">
        <v>5</v>
      </c>
      <c r="N39" s="9" t="s">
        <v>5</v>
      </c>
      <c r="O39" s="9" t="s">
        <v>5</v>
      </c>
      <c r="P39" s="9" t="s">
        <v>5</v>
      </c>
      <c r="Q39" s="9" t="s">
        <v>5</v>
      </c>
      <c r="R39" s="9" t="s">
        <v>5</v>
      </c>
      <c r="S39" s="9" t="s">
        <v>5</v>
      </c>
      <c r="T39" s="12" t="s">
        <v>5</v>
      </c>
    </row>
    <row r="40" spans="1:20" ht="15" customHeight="1" x14ac:dyDescent="0.3">
      <c r="A40" s="9">
        <v>52</v>
      </c>
      <c r="B40" s="9" t="s">
        <v>5</v>
      </c>
      <c r="C40" s="9" t="s">
        <v>5</v>
      </c>
      <c r="D40" s="9">
        <v>25.4</v>
      </c>
      <c r="E40" s="9">
        <v>2.6</v>
      </c>
      <c r="F40" s="9">
        <v>5.117</v>
      </c>
      <c r="G40" s="9" t="s">
        <v>54</v>
      </c>
      <c r="H40" s="9" t="s">
        <v>55</v>
      </c>
      <c r="I40" s="9" t="s">
        <v>47</v>
      </c>
      <c r="J40" s="10">
        <f t="shared" si="1"/>
        <v>0</v>
      </c>
      <c r="K40" s="10"/>
      <c r="L40" s="10">
        <f>ROUND(SUMIFS(Table3[Stock],Table3[key],Table1[[#This Row],[key]])/1000+SUMIFS(Table3[In Transit],Table3[key],Table1[[#This Row],[key]])/1000,2)</f>
        <v>3.48</v>
      </c>
      <c r="M40" s="9" t="s">
        <v>5</v>
      </c>
      <c r="N40" s="9" t="s">
        <v>5</v>
      </c>
      <c r="O40" s="9" t="s">
        <v>5</v>
      </c>
      <c r="P40" s="9" t="s">
        <v>5</v>
      </c>
      <c r="Q40" s="9" t="s">
        <v>5</v>
      </c>
      <c r="R40" s="9" t="s">
        <v>5</v>
      </c>
      <c r="S40" s="9" t="s">
        <v>5</v>
      </c>
      <c r="T40" s="12" t="s">
        <v>5</v>
      </c>
    </row>
    <row r="41" spans="1:20" ht="15" customHeight="1" x14ac:dyDescent="0.3">
      <c r="A41" s="9">
        <v>54</v>
      </c>
      <c r="B41" s="9" t="s">
        <v>5</v>
      </c>
      <c r="C41" s="9" t="s">
        <v>5</v>
      </c>
      <c r="D41" s="9">
        <v>25.4</v>
      </c>
      <c r="E41" s="9">
        <v>4</v>
      </c>
      <c r="F41" s="9">
        <v>9.2889999999999997</v>
      </c>
      <c r="G41" s="9" t="s">
        <v>5</v>
      </c>
      <c r="H41" s="9" t="s">
        <v>55</v>
      </c>
      <c r="I41" s="9" t="s">
        <v>47</v>
      </c>
      <c r="J41" s="10">
        <f t="shared" si="1"/>
        <v>0</v>
      </c>
      <c r="K41" s="10"/>
      <c r="L41" s="10">
        <f>ROUND(SUMIFS(Table3[Stock],Table3[key],Table1[[#This Row],[key]])/1000+SUMIFS(Table3[In Transit],Table3[key],Table1[[#This Row],[key]])/1000,2)</f>
        <v>0</v>
      </c>
      <c r="M41" s="9" t="s">
        <v>5</v>
      </c>
      <c r="N41" s="9" t="s">
        <v>5</v>
      </c>
      <c r="O41" s="9" t="s">
        <v>5</v>
      </c>
      <c r="P41" s="9" t="s">
        <v>5</v>
      </c>
      <c r="Q41" s="9" t="s">
        <v>5</v>
      </c>
      <c r="R41" s="9" t="s">
        <v>5</v>
      </c>
      <c r="S41" s="9" t="s">
        <v>5</v>
      </c>
      <c r="T41" s="12" t="s">
        <v>5</v>
      </c>
    </row>
    <row r="42" spans="1:20" ht="15" customHeight="1" x14ac:dyDescent="0.3">
      <c r="A42" s="9">
        <v>55</v>
      </c>
      <c r="B42" s="9" t="s">
        <v>5</v>
      </c>
      <c r="C42" s="9">
        <v>943209</v>
      </c>
      <c r="D42" s="9">
        <v>28.58</v>
      </c>
      <c r="E42" s="9">
        <v>1.2</v>
      </c>
      <c r="F42" s="9">
        <v>4.8620000000000001</v>
      </c>
      <c r="G42" s="9" t="s">
        <v>56</v>
      </c>
      <c r="H42" s="9" t="s">
        <v>29</v>
      </c>
      <c r="I42" s="9" t="s">
        <v>47</v>
      </c>
      <c r="J42" s="10">
        <f t="shared" si="1"/>
        <v>0</v>
      </c>
      <c r="K42" s="10"/>
      <c r="L42" s="10">
        <f>ROUND(SUMIFS(Table3[Stock],Table3[key],Table1[[#This Row],[key]])/1000+SUMIFS(Table3[In Transit],Table3[key],Table1[[#This Row],[key]])/1000,2)</f>
        <v>0</v>
      </c>
      <c r="M42" s="9" t="s">
        <v>5</v>
      </c>
      <c r="N42" s="9" t="s">
        <v>5</v>
      </c>
      <c r="O42" s="9" t="s">
        <v>5</v>
      </c>
      <c r="P42" s="9" t="s">
        <v>5</v>
      </c>
      <c r="Q42" s="9" t="s">
        <v>5</v>
      </c>
      <c r="R42" s="9" t="s">
        <v>5</v>
      </c>
      <c r="S42" s="9" t="s">
        <v>5</v>
      </c>
      <c r="T42" s="12" t="s">
        <v>5</v>
      </c>
    </row>
    <row r="43" spans="1:20" ht="15" customHeight="1" x14ac:dyDescent="0.3">
      <c r="A43" s="9">
        <v>56</v>
      </c>
      <c r="B43" s="9" t="s">
        <v>5</v>
      </c>
      <c r="C43" s="9" t="s">
        <v>5</v>
      </c>
      <c r="D43" s="9">
        <v>28.58</v>
      </c>
      <c r="E43" s="9">
        <v>2.6</v>
      </c>
      <c r="F43" s="9">
        <v>7.4960000000000004</v>
      </c>
      <c r="G43" s="9" t="s">
        <v>57</v>
      </c>
      <c r="H43" s="9" t="s">
        <v>55</v>
      </c>
      <c r="I43" s="9" t="s">
        <v>47</v>
      </c>
      <c r="J43" s="10">
        <f t="shared" si="1"/>
        <v>8</v>
      </c>
      <c r="K43" s="10">
        <f>(10491)/1000</f>
        <v>10.491</v>
      </c>
      <c r="L43" s="10">
        <f>ROUND(SUMIFS(Table3[Stock],Table3[key],Table1[[#This Row],[key]])/1000+SUMIFS(Table3[In Transit],Table3[key],Table1[[#This Row],[key]])/1000,2)</f>
        <v>0</v>
      </c>
      <c r="M43" s="9">
        <v>3</v>
      </c>
      <c r="N43" s="9" t="s">
        <v>5</v>
      </c>
      <c r="O43" s="9" t="s">
        <v>5</v>
      </c>
      <c r="P43" s="9" t="s">
        <v>5</v>
      </c>
      <c r="Q43" s="9">
        <v>5</v>
      </c>
      <c r="R43" s="9" t="s">
        <v>5</v>
      </c>
      <c r="S43" s="9" t="s">
        <v>5</v>
      </c>
      <c r="T43" s="12" t="s">
        <v>5</v>
      </c>
    </row>
    <row r="44" spans="1:20" ht="15" customHeight="1" x14ac:dyDescent="0.3">
      <c r="A44" s="9">
        <v>58</v>
      </c>
      <c r="B44" s="9" t="s">
        <v>5</v>
      </c>
      <c r="C44" s="9">
        <v>943210</v>
      </c>
      <c r="D44" s="9">
        <v>28.58</v>
      </c>
      <c r="E44" s="9">
        <v>3.2</v>
      </c>
      <c r="F44" s="9">
        <v>12.016999999999999</v>
      </c>
      <c r="G44" s="9" t="s">
        <v>5</v>
      </c>
      <c r="H44" s="9" t="s">
        <v>29</v>
      </c>
      <c r="I44" s="9" t="s">
        <v>47</v>
      </c>
      <c r="J44" s="10">
        <f t="shared" si="1"/>
        <v>0</v>
      </c>
      <c r="K44" s="10"/>
      <c r="L44" s="10">
        <f>ROUND(SUMIFS(Table3[Stock],Table3[key],Table1[[#This Row],[key]])/1000+SUMIFS(Table3[In Transit],Table3[key],Table1[[#This Row],[key]])/1000,2)</f>
        <v>0</v>
      </c>
      <c r="M44" s="9" t="s">
        <v>5</v>
      </c>
      <c r="N44" s="9" t="s">
        <v>5</v>
      </c>
      <c r="O44" s="9" t="s">
        <v>5</v>
      </c>
      <c r="P44" s="9" t="s">
        <v>5</v>
      </c>
      <c r="Q44" s="9" t="s">
        <v>5</v>
      </c>
      <c r="R44" s="9" t="s">
        <v>5</v>
      </c>
      <c r="S44" s="9" t="s">
        <v>5</v>
      </c>
      <c r="T44" s="12" t="s">
        <v>5</v>
      </c>
    </row>
    <row r="45" spans="1:20" ht="15" customHeight="1" x14ac:dyDescent="0.3">
      <c r="A45" s="9">
        <v>59</v>
      </c>
      <c r="B45" s="9" t="s">
        <v>5</v>
      </c>
      <c r="C45" s="9" t="s">
        <v>5</v>
      </c>
      <c r="D45" s="9">
        <v>29.4</v>
      </c>
      <c r="E45" s="9">
        <v>4.5</v>
      </c>
      <c r="F45" s="9" t="s">
        <v>5</v>
      </c>
      <c r="G45" s="9" t="s">
        <v>88</v>
      </c>
      <c r="H45" s="9" t="s">
        <v>55</v>
      </c>
      <c r="I45" s="9" t="s">
        <v>47</v>
      </c>
      <c r="J45" s="10">
        <f t="shared" si="1"/>
        <v>25</v>
      </c>
      <c r="K45" s="10"/>
      <c r="L45" s="10">
        <f>ROUND(SUMIFS(Table3[Stock],Table3[key],Table1[[#This Row],[key]])/1000+SUMIFS(Table3[In Transit],Table3[key],Table1[[#This Row],[key]])/1000,2)</f>
        <v>9.4499999999999993</v>
      </c>
      <c r="M45" s="9" t="s">
        <v>5</v>
      </c>
      <c r="N45" s="9" t="s">
        <v>5</v>
      </c>
      <c r="O45" s="9" t="s">
        <v>5</v>
      </c>
      <c r="P45" s="9" t="s">
        <v>5</v>
      </c>
      <c r="Q45" s="9" t="s">
        <v>5</v>
      </c>
      <c r="R45" s="9">
        <v>25</v>
      </c>
      <c r="S45" s="9" t="s">
        <v>5</v>
      </c>
      <c r="T45" s="12" t="s">
        <v>5</v>
      </c>
    </row>
    <row r="46" spans="1:20" ht="15" customHeight="1" x14ac:dyDescent="0.3">
      <c r="A46" s="9">
        <v>60</v>
      </c>
      <c r="B46" s="9" t="s">
        <v>5</v>
      </c>
      <c r="C46" s="9" t="s">
        <v>5</v>
      </c>
      <c r="D46" s="9">
        <v>30</v>
      </c>
      <c r="E46" s="9">
        <v>3</v>
      </c>
      <c r="F46" s="9">
        <v>6.992</v>
      </c>
      <c r="G46" s="9" t="s">
        <v>5</v>
      </c>
      <c r="H46" s="9" t="s">
        <v>55</v>
      </c>
      <c r="I46" s="9" t="s">
        <v>47</v>
      </c>
      <c r="J46" s="10">
        <f t="shared" si="1"/>
        <v>0</v>
      </c>
      <c r="K46" s="10"/>
      <c r="L46" s="10">
        <f>ROUND(SUMIFS(Table3[Stock],Table3[key],Table1[[#This Row],[key]])/1000+SUMIFS(Table3[In Transit],Table3[key],Table1[[#This Row],[key]])/1000,2)</f>
        <v>0</v>
      </c>
      <c r="M46" s="9" t="s">
        <v>5</v>
      </c>
      <c r="N46" s="9" t="s">
        <v>5</v>
      </c>
      <c r="O46" s="9" t="s">
        <v>5</v>
      </c>
      <c r="P46" s="9" t="s">
        <v>5</v>
      </c>
      <c r="Q46" s="9" t="s">
        <v>5</v>
      </c>
      <c r="R46" s="9" t="s">
        <v>5</v>
      </c>
      <c r="S46" s="9" t="s">
        <v>5</v>
      </c>
      <c r="T46" s="12" t="s">
        <v>5</v>
      </c>
    </row>
    <row r="47" spans="1:20" ht="15" customHeight="1" x14ac:dyDescent="0.3">
      <c r="A47" s="9">
        <v>61</v>
      </c>
      <c r="B47" s="9" t="s">
        <v>5</v>
      </c>
      <c r="C47" s="9" t="s">
        <v>5</v>
      </c>
      <c r="D47" s="9">
        <v>31.75</v>
      </c>
      <c r="E47" s="9">
        <v>1.2</v>
      </c>
      <c r="F47" s="9" t="s">
        <v>5</v>
      </c>
      <c r="G47" s="9" t="s">
        <v>58</v>
      </c>
      <c r="H47" s="9" t="s">
        <v>29</v>
      </c>
      <c r="I47" s="9" t="s">
        <v>47</v>
      </c>
      <c r="J47" s="10">
        <f t="shared" si="1"/>
        <v>5</v>
      </c>
      <c r="K47" s="10">
        <f>(1091)/1000</f>
        <v>1.091</v>
      </c>
      <c r="L47" s="10">
        <f>ROUND(SUMIFS(Table3[Stock],Table3[key],Table1[[#This Row],[key]])/1000+SUMIFS(Table3[In Transit],Table3[key],Table1[[#This Row],[key]])/1000,2)</f>
        <v>21.18</v>
      </c>
      <c r="M47" s="9" t="s">
        <v>5</v>
      </c>
      <c r="N47" s="9">
        <v>5</v>
      </c>
      <c r="O47" s="9" t="s">
        <v>5</v>
      </c>
      <c r="P47" s="9" t="s">
        <v>5</v>
      </c>
      <c r="Q47" s="9" t="s">
        <v>5</v>
      </c>
      <c r="R47" s="9" t="s">
        <v>5</v>
      </c>
      <c r="S47" s="9" t="s">
        <v>5</v>
      </c>
      <c r="T47" s="12" t="s">
        <v>5</v>
      </c>
    </row>
    <row r="48" spans="1:20" ht="15" customHeight="1" x14ac:dyDescent="0.3">
      <c r="A48" s="9">
        <v>63</v>
      </c>
      <c r="B48" s="9" t="s">
        <v>5</v>
      </c>
      <c r="C48" s="9" t="s">
        <v>5</v>
      </c>
      <c r="D48" s="9">
        <v>31.75</v>
      </c>
      <c r="E48" s="9">
        <v>2</v>
      </c>
      <c r="F48" s="9">
        <v>8.657</v>
      </c>
      <c r="G48" s="9" t="s">
        <v>5</v>
      </c>
      <c r="H48" s="9" t="s">
        <v>29</v>
      </c>
      <c r="I48" s="9" t="s">
        <v>47</v>
      </c>
      <c r="J48" s="10">
        <f t="shared" si="1"/>
        <v>0</v>
      </c>
      <c r="K48" s="10"/>
      <c r="L48" s="10">
        <f>ROUND(SUMIFS(Table3[Stock],Table3[key],Table1[[#This Row],[key]])/1000+SUMIFS(Table3[In Transit],Table3[key],Table1[[#This Row],[key]])/1000,2)</f>
        <v>0</v>
      </c>
      <c r="M48" s="9" t="s">
        <v>5</v>
      </c>
      <c r="N48" s="9" t="s">
        <v>5</v>
      </c>
      <c r="O48" s="9" t="s">
        <v>5</v>
      </c>
      <c r="P48" s="9" t="s">
        <v>5</v>
      </c>
      <c r="Q48" s="9" t="s">
        <v>5</v>
      </c>
      <c r="R48" s="9" t="s">
        <v>5</v>
      </c>
      <c r="S48" s="9" t="s">
        <v>5</v>
      </c>
      <c r="T48" s="12" t="s">
        <v>5</v>
      </c>
    </row>
    <row r="49" spans="1:20" ht="15" customHeight="1" x14ac:dyDescent="0.3">
      <c r="A49" s="9">
        <v>64</v>
      </c>
      <c r="B49" s="9" t="s">
        <v>5</v>
      </c>
      <c r="C49" s="9">
        <v>943209</v>
      </c>
      <c r="D49" s="9">
        <v>31.75</v>
      </c>
      <c r="E49" s="9">
        <v>2.2999999999999998</v>
      </c>
      <c r="F49" s="9">
        <v>10.023</v>
      </c>
      <c r="G49" s="9" t="s">
        <v>60</v>
      </c>
      <c r="H49" s="9" t="s">
        <v>29</v>
      </c>
      <c r="I49" s="9" t="s">
        <v>47</v>
      </c>
      <c r="J49" s="10">
        <f t="shared" si="1"/>
        <v>15</v>
      </c>
      <c r="K49" s="10">
        <f>(805+967+1934+644)/1000</f>
        <v>4.3499999999999996</v>
      </c>
      <c r="L49" s="10">
        <f>ROUND(SUMIFS(Table3[Stock],Table3[key],Table1[[#This Row],[key]])/1000+SUMIFS(Table3[In Transit],Table3[key],Table1[[#This Row],[key]])/1000,2)</f>
        <v>36.89</v>
      </c>
      <c r="M49" s="9">
        <v>15</v>
      </c>
      <c r="N49" s="9" t="s">
        <v>5</v>
      </c>
      <c r="O49" s="9" t="s">
        <v>5</v>
      </c>
      <c r="P49" s="9" t="s">
        <v>5</v>
      </c>
      <c r="Q49" s="9" t="s">
        <v>5</v>
      </c>
      <c r="R49" s="9" t="s">
        <v>5</v>
      </c>
      <c r="S49" s="9" t="s">
        <v>5</v>
      </c>
      <c r="T49" s="12" t="s">
        <v>5</v>
      </c>
    </row>
    <row r="50" spans="1:20" ht="15" customHeight="1" x14ac:dyDescent="0.3">
      <c r="A50" s="9">
        <v>66</v>
      </c>
      <c r="B50" s="9" t="s">
        <v>5</v>
      </c>
      <c r="C50" s="9" t="s">
        <v>5</v>
      </c>
      <c r="D50" s="9">
        <v>31.75</v>
      </c>
      <c r="E50" s="9">
        <v>3.65</v>
      </c>
      <c r="F50" s="9">
        <v>15.176</v>
      </c>
      <c r="G50" s="9" t="s">
        <v>5</v>
      </c>
      <c r="H50" s="9" t="s">
        <v>55</v>
      </c>
      <c r="I50" s="9" t="s">
        <v>47</v>
      </c>
      <c r="J50" s="10">
        <f t="shared" ref="J50:J96" si="2">SUM(M50:R50)</f>
        <v>0</v>
      </c>
      <c r="K50" s="10"/>
      <c r="L50" s="10">
        <f>ROUND(SUMIFS(Table3[Stock],Table3[key],Table1[[#This Row],[key]])/1000+SUMIFS(Table3[In Transit],Table3[key],Table1[[#This Row],[key]])/1000,2)</f>
        <v>0</v>
      </c>
      <c r="M50" s="9" t="s">
        <v>5</v>
      </c>
      <c r="N50" s="9" t="s">
        <v>5</v>
      </c>
      <c r="O50" s="9" t="s">
        <v>5</v>
      </c>
      <c r="P50" s="9" t="s">
        <v>5</v>
      </c>
      <c r="Q50" s="9" t="s">
        <v>5</v>
      </c>
      <c r="R50" s="9" t="s">
        <v>5</v>
      </c>
      <c r="S50" s="9" t="s">
        <v>5</v>
      </c>
      <c r="T50" s="12" t="s">
        <v>5</v>
      </c>
    </row>
    <row r="51" spans="1:20" ht="15" customHeight="1" x14ac:dyDescent="0.3">
      <c r="A51" s="9">
        <v>67</v>
      </c>
      <c r="B51" s="9" t="s">
        <v>5</v>
      </c>
      <c r="C51" s="9" t="s">
        <v>5</v>
      </c>
      <c r="D51" s="9">
        <v>31.9</v>
      </c>
      <c r="E51" s="9">
        <v>4.55</v>
      </c>
      <c r="F51" s="9">
        <v>13.964</v>
      </c>
      <c r="G51" s="9" t="s">
        <v>5</v>
      </c>
      <c r="H51" s="9" t="s">
        <v>55</v>
      </c>
      <c r="I51" s="9" t="s">
        <v>47</v>
      </c>
      <c r="J51" s="10">
        <f t="shared" si="2"/>
        <v>0</v>
      </c>
      <c r="K51" s="10"/>
      <c r="L51" s="10">
        <f>ROUND(SUMIFS(Table3[Stock],Table3[key],Table1[[#This Row],[key]])/1000+SUMIFS(Table3[In Transit],Table3[key],Table1[[#This Row],[key]])/1000,2)</f>
        <v>0</v>
      </c>
      <c r="M51" s="9" t="s">
        <v>5</v>
      </c>
      <c r="N51" s="9" t="s">
        <v>5</v>
      </c>
      <c r="O51" s="9" t="s">
        <v>5</v>
      </c>
      <c r="P51" s="9" t="s">
        <v>5</v>
      </c>
      <c r="Q51" s="9" t="s">
        <v>5</v>
      </c>
      <c r="R51" s="9" t="s">
        <v>5</v>
      </c>
      <c r="S51" s="9" t="s">
        <v>5</v>
      </c>
      <c r="T51" s="12" t="s">
        <v>5</v>
      </c>
    </row>
    <row r="52" spans="1:20" ht="15" customHeight="1" x14ac:dyDescent="0.3">
      <c r="A52" s="9">
        <v>68</v>
      </c>
      <c r="B52" s="9" t="s">
        <v>5</v>
      </c>
      <c r="C52" s="9">
        <v>943210</v>
      </c>
      <c r="D52" s="9">
        <v>34</v>
      </c>
      <c r="E52" s="9">
        <v>1.4</v>
      </c>
      <c r="F52" s="9">
        <v>7.3390000000000004</v>
      </c>
      <c r="G52" s="9" t="s">
        <v>5</v>
      </c>
      <c r="H52" s="9" t="s">
        <v>29</v>
      </c>
      <c r="I52" s="9" t="s">
        <v>47</v>
      </c>
      <c r="J52" s="10">
        <f t="shared" si="2"/>
        <v>0</v>
      </c>
      <c r="K52" s="10"/>
      <c r="L52" s="10">
        <f>ROUND(SUMIFS(Table3[Stock],Table3[key],Table1[[#This Row],[key]])/1000+SUMIFS(Table3[In Transit],Table3[key],Table1[[#This Row],[key]])/1000,2)</f>
        <v>0</v>
      </c>
      <c r="M52" s="9" t="s">
        <v>5</v>
      </c>
      <c r="N52" s="9" t="s">
        <v>5</v>
      </c>
      <c r="O52" s="9" t="s">
        <v>5</v>
      </c>
      <c r="P52" s="9" t="s">
        <v>5</v>
      </c>
      <c r="Q52" s="9" t="s">
        <v>5</v>
      </c>
      <c r="R52" s="9" t="s">
        <v>5</v>
      </c>
      <c r="S52" s="9" t="s">
        <v>5</v>
      </c>
      <c r="T52" s="12" t="s">
        <v>5</v>
      </c>
    </row>
    <row r="53" spans="1:20" ht="15" customHeight="1" x14ac:dyDescent="0.3">
      <c r="A53" s="9">
        <v>69</v>
      </c>
      <c r="B53" s="9" t="s">
        <v>5</v>
      </c>
      <c r="C53" s="9">
        <v>943211</v>
      </c>
      <c r="D53" s="9">
        <v>34.93</v>
      </c>
      <c r="E53" s="9">
        <v>1.2</v>
      </c>
      <c r="F53" s="9">
        <v>5.0910000000000002</v>
      </c>
      <c r="G53" s="9" t="s">
        <v>61</v>
      </c>
      <c r="H53" s="9" t="s">
        <v>29</v>
      </c>
      <c r="I53" s="9" t="s">
        <v>47</v>
      </c>
      <c r="J53" s="10">
        <f t="shared" si="2"/>
        <v>1</v>
      </c>
      <c r="K53" s="10">
        <f>(449)/1000</f>
        <v>0.44900000000000001</v>
      </c>
      <c r="L53" s="10">
        <f>ROUND(SUMIFS(Table3[Stock],Table3[key],Table1[[#This Row],[key]])/1000+SUMIFS(Table3[In Transit],Table3[key],Table1[[#This Row],[key]])/1000,2)</f>
        <v>4.32</v>
      </c>
      <c r="M53" s="9" t="s">
        <v>5</v>
      </c>
      <c r="N53" s="9">
        <v>1</v>
      </c>
      <c r="O53" s="9" t="s">
        <v>5</v>
      </c>
      <c r="P53" s="9" t="s">
        <v>5</v>
      </c>
      <c r="Q53" s="9" t="s">
        <v>5</v>
      </c>
      <c r="R53" s="9" t="s">
        <v>5</v>
      </c>
      <c r="S53" s="9" t="s">
        <v>5</v>
      </c>
      <c r="T53" s="12" t="s">
        <v>5</v>
      </c>
    </row>
    <row r="54" spans="1:20" ht="15" customHeight="1" x14ac:dyDescent="0.3">
      <c r="A54" s="9">
        <v>70</v>
      </c>
      <c r="B54" s="9" t="s">
        <v>5</v>
      </c>
      <c r="C54" s="9">
        <v>943211</v>
      </c>
      <c r="D54" s="9">
        <v>34.93</v>
      </c>
      <c r="E54" s="9">
        <v>1.2</v>
      </c>
      <c r="F54" s="9" t="s">
        <v>5</v>
      </c>
      <c r="G54" s="9" t="s">
        <v>5</v>
      </c>
      <c r="H54" s="9" t="s">
        <v>29</v>
      </c>
      <c r="I54" s="9" t="s">
        <v>47</v>
      </c>
      <c r="J54" s="10">
        <f t="shared" si="2"/>
        <v>0</v>
      </c>
      <c r="K54" s="10"/>
      <c r="L54" s="10">
        <f>ROUND(SUMIFS(Table3[Stock],Table3[key],Table1[[#This Row],[key]])/1000+SUMIFS(Table3[In Transit],Table3[key],Table1[[#This Row],[key]])/1000,2)</f>
        <v>0</v>
      </c>
      <c r="M54" s="9" t="s">
        <v>5</v>
      </c>
      <c r="N54" s="9" t="s">
        <v>5</v>
      </c>
      <c r="O54" s="9" t="s">
        <v>5</v>
      </c>
      <c r="P54" s="9" t="s">
        <v>5</v>
      </c>
      <c r="Q54" s="9" t="s">
        <v>5</v>
      </c>
      <c r="R54" s="9" t="s">
        <v>5</v>
      </c>
      <c r="S54" s="9" t="s">
        <v>5</v>
      </c>
      <c r="T54" s="12" t="s">
        <v>5</v>
      </c>
    </row>
    <row r="55" spans="1:20" ht="15" customHeight="1" x14ac:dyDescent="0.3">
      <c r="A55" s="9">
        <v>72</v>
      </c>
      <c r="B55" s="9" t="s">
        <v>5</v>
      </c>
      <c r="C55" s="9" t="s">
        <v>5</v>
      </c>
      <c r="D55" s="9">
        <v>34.93</v>
      </c>
      <c r="E55" s="9">
        <v>1.2</v>
      </c>
      <c r="F55" s="9">
        <v>620</v>
      </c>
      <c r="G55" s="9" t="s">
        <v>5</v>
      </c>
      <c r="H55" s="9" t="s">
        <v>29</v>
      </c>
      <c r="I55" s="9" t="s">
        <v>5</v>
      </c>
      <c r="J55" s="10">
        <f t="shared" si="2"/>
        <v>0</v>
      </c>
      <c r="K55" s="10"/>
      <c r="L55" s="10">
        <f>ROUND(SUMIFS(Table3[Stock],Table3[key],Table1[[#This Row],[key]])/1000+SUMIFS(Table3[In Transit],Table3[key],Table1[[#This Row],[key]])/1000,2)</f>
        <v>0</v>
      </c>
      <c r="M55" s="9" t="s">
        <v>5</v>
      </c>
      <c r="N55" s="9" t="s">
        <v>5</v>
      </c>
      <c r="O55" s="9" t="s">
        <v>5</v>
      </c>
      <c r="P55" s="9" t="s">
        <v>5</v>
      </c>
      <c r="Q55" s="9" t="s">
        <v>5</v>
      </c>
      <c r="R55" s="9" t="s">
        <v>5</v>
      </c>
      <c r="S55" s="9" t="s">
        <v>5</v>
      </c>
      <c r="T55" s="12" t="s">
        <v>5</v>
      </c>
    </row>
    <row r="56" spans="1:20" ht="15" customHeight="1" x14ac:dyDescent="0.3">
      <c r="A56" s="9">
        <v>73</v>
      </c>
      <c r="B56" s="9" t="s">
        <v>5</v>
      </c>
      <c r="C56" s="9" t="s">
        <v>5</v>
      </c>
      <c r="D56" s="9">
        <v>34.93</v>
      </c>
      <c r="E56" s="9">
        <v>1.2</v>
      </c>
      <c r="F56" s="9">
        <v>650</v>
      </c>
      <c r="G56" s="9" t="s">
        <v>5</v>
      </c>
      <c r="H56" s="9" t="s">
        <v>29</v>
      </c>
      <c r="I56" s="9" t="s">
        <v>5</v>
      </c>
      <c r="J56" s="10">
        <f t="shared" si="2"/>
        <v>0</v>
      </c>
      <c r="K56" s="10"/>
      <c r="L56" s="10">
        <f>ROUND(SUMIFS(Table3[Stock],Table3[key],Table1[[#This Row],[key]])/1000+SUMIFS(Table3[In Transit],Table3[key],Table1[[#This Row],[key]])/1000,2)</f>
        <v>0</v>
      </c>
      <c r="M56" s="9" t="s">
        <v>5</v>
      </c>
      <c r="N56" s="9" t="s">
        <v>5</v>
      </c>
      <c r="O56" s="9" t="s">
        <v>5</v>
      </c>
      <c r="P56" s="9" t="s">
        <v>5</v>
      </c>
      <c r="Q56" s="9" t="s">
        <v>5</v>
      </c>
      <c r="R56" s="9" t="s">
        <v>5</v>
      </c>
      <c r="S56" s="9" t="s">
        <v>5</v>
      </c>
      <c r="T56" s="12" t="s">
        <v>5</v>
      </c>
    </row>
    <row r="57" spans="1:20" ht="15" customHeight="1" x14ac:dyDescent="0.3">
      <c r="A57" s="9">
        <v>74</v>
      </c>
      <c r="B57" s="9" t="s">
        <v>5</v>
      </c>
      <c r="C57" s="9" t="s">
        <v>5</v>
      </c>
      <c r="D57" s="9">
        <v>34.93</v>
      </c>
      <c r="E57" s="9">
        <v>1.2</v>
      </c>
      <c r="F57" s="9">
        <v>780</v>
      </c>
      <c r="G57" s="9" t="s">
        <v>5</v>
      </c>
      <c r="H57" s="9" t="s">
        <v>29</v>
      </c>
      <c r="I57" s="9" t="s">
        <v>5</v>
      </c>
      <c r="J57" s="10">
        <f t="shared" si="2"/>
        <v>0</v>
      </c>
      <c r="K57" s="10"/>
      <c r="L57" s="10">
        <f>ROUND(SUMIFS(Table3[Stock],Table3[key],Table1[[#This Row],[key]])/1000+SUMIFS(Table3[In Transit],Table3[key],Table1[[#This Row],[key]])/1000,2)</f>
        <v>0</v>
      </c>
      <c r="M57" s="9" t="s">
        <v>5</v>
      </c>
      <c r="N57" s="9" t="s">
        <v>5</v>
      </c>
      <c r="O57" s="9" t="s">
        <v>5</v>
      </c>
      <c r="P57" s="9" t="s">
        <v>5</v>
      </c>
      <c r="Q57" s="9" t="s">
        <v>5</v>
      </c>
      <c r="R57" s="9" t="s">
        <v>5</v>
      </c>
      <c r="S57" s="9" t="s">
        <v>5</v>
      </c>
      <c r="T57" s="12" t="s">
        <v>5</v>
      </c>
    </row>
    <row r="58" spans="1:20" ht="15" customHeight="1" x14ac:dyDescent="0.3">
      <c r="A58" s="9">
        <v>75</v>
      </c>
      <c r="B58" s="9" t="s">
        <v>5</v>
      </c>
      <c r="C58" s="9" t="s">
        <v>5</v>
      </c>
      <c r="D58" s="9">
        <v>38.1</v>
      </c>
      <c r="E58" s="9">
        <v>1.6</v>
      </c>
      <c r="F58" s="9">
        <v>7.2009999999999996</v>
      </c>
      <c r="G58" s="9" t="s">
        <v>62</v>
      </c>
      <c r="H58" s="9" t="s">
        <v>29</v>
      </c>
      <c r="I58" s="9" t="s">
        <v>47</v>
      </c>
      <c r="J58" s="10">
        <f t="shared" si="2"/>
        <v>0</v>
      </c>
      <c r="K58" s="10"/>
      <c r="L58" s="10">
        <f>ROUND(SUMIFS(Table3[Stock],Table3[key],Table1[[#This Row],[key]])/1000+SUMIFS(Table3[In Transit],Table3[key],Table1[[#This Row],[key]])/1000,2)</f>
        <v>6.32</v>
      </c>
      <c r="M58" s="9" t="s">
        <v>5</v>
      </c>
      <c r="N58" s="9" t="s">
        <v>5</v>
      </c>
      <c r="O58" s="9" t="s">
        <v>5</v>
      </c>
      <c r="P58" s="9" t="s">
        <v>5</v>
      </c>
      <c r="Q58" s="9" t="s">
        <v>5</v>
      </c>
      <c r="R58" s="9" t="s">
        <v>5</v>
      </c>
      <c r="S58" s="9" t="s">
        <v>5</v>
      </c>
      <c r="T58" s="12" t="s">
        <v>5</v>
      </c>
    </row>
    <row r="59" spans="1:20" ht="15" customHeight="1" x14ac:dyDescent="0.3">
      <c r="A59" s="9">
        <v>76</v>
      </c>
      <c r="B59" s="9" t="s">
        <v>5</v>
      </c>
      <c r="C59" s="9">
        <v>943209</v>
      </c>
      <c r="D59" s="9">
        <v>38.1</v>
      </c>
      <c r="E59" s="9">
        <v>1.6</v>
      </c>
      <c r="F59" s="9">
        <v>8.9149999999999991</v>
      </c>
      <c r="G59" s="9" t="s">
        <v>63</v>
      </c>
      <c r="H59" s="9" t="s">
        <v>38</v>
      </c>
      <c r="I59" s="9" t="s">
        <v>47</v>
      </c>
      <c r="J59" s="10">
        <f t="shared" si="2"/>
        <v>64</v>
      </c>
      <c r="K59" s="10">
        <f>(1264+662)/1000</f>
        <v>1.9259999999999999</v>
      </c>
      <c r="L59" s="10">
        <f>ROUND(SUMIFS(Table3[Stock],Table3[key],Table1[[#This Row],[key]])/1000+SUMIFS(Table3[In Transit],Table3[key],Table1[[#This Row],[key]])/1000,2)</f>
        <v>4.79</v>
      </c>
      <c r="M59" s="9">
        <v>44</v>
      </c>
      <c r="N59" s="9">
        <v>20</v>
      </c>
      <c r="O59" s="9" t="s">
        <v>5</v>
      </c>
      <c r="P59" s="9" t="s">
        <v>5</v>
      </c>
      <c r="Q59" s="9" t="s">
        <v>5</v>
      </c>
      <c r="R59" s="9" t="s">
        <v>5</v>
      </c>
      <c r="S59" s="9" t="s">
        <v>5</v>
      </c>
      <c r="T59" s="12" t="s">
        <v>5</v>
      </c>
    </row>
    <row r="60" spans="1:20" ht="15" customHeight="1" x14ac:dyDescent="0.3">
      <c r="A60" s="9">
        <v>78</v>
      </c>
      <c r="B60" s="9" t="s">
        <v>5</v>
      </c>
      <c r="C60" s="9">
        <v>943209</v>
      </c>
      <c r="D60" s="9">
        <v>38.1</v>
      </c>
      <c r="E60" s="9">
        <v>2</v>
      </c>
      <c r="F60" s="9">
        <v>10.06</v>
      </c>
      <c r="G60" s="9" t="s">
        <v>65</v>
      </c>
      <c r="H60" s="9" t="s">
        <v>29</v>
      </c>
      <c r="I60" s="9" t="s">
        <v>47</v>
      </c>
      <c r="J60" s="10">
        <f t="shared" si="2"/>
        <v>10</v>
      </c>
      <c r="K60" s="10">
        <f>(2847+7732+3504+1459)/1000</f>
        <v>15.542</v>
      </c>
      <c r="L60" s="10">
        <f>ROUND(SUMIFS(Table3[Stock],Table3[key],Table1[[#This Row],[key]])/1000+SUMIFS(Table3[In Transit],Table3[key],Table1[[#This Row],[key]])/1000,2)</f>
        <v>33.340000000000003</v>
      </c>
      <c r="M60" s="9" t="s">
        <v>5</v>
      </c>
      <c r="N60" s="9">
        <v>10</v>
      </c>
      <c r="O60" s="9" t="s">
        <v>5</v>
      </c>
      <c r="P60" s="9" t="s">
        <v>5</v>
      </c>
      <c r="Q60" s="9" t="s">
        <v>5</v>
      </c>
      <c r="R60" s="9" t="s">
        <v>5</v>
      </c>
      <c r="S60" s="9" t="s">
        <v>5</v>
      </c>
      <c r="T60" s="12" t="s">
        <v>5</v>
      </c>
    </row>
    <row r="61" spans="1:20" ht="15" customHeight="1" x14ac:dyDescent="0.3">
      <c r="A61" s="9">
        <v>79</v>
      </c>
      <c r="B61" s="9" t="s">
        <v>5</v>
      </c>
      <c r="C61" s="9">
        <v>943209</v>
      </c>
      <c r="D61" s="9">
        <v>38.1</v>
      </c>
      <c r="E61" s="9">
        <v>2.5</v>
      </c>
      <c r="F61" s="9">
        <v>13.586</v>
      </c>
      <c r="G61" s="9" t="s">
        <v>66</v>
      </c>
      <c r="H61" s="9" t="s">
        <v>38</v>
      </c>
      <c r="I61" s="9" t="s">
        <v>47</v>
      </c>
      <c r="J61" s="10">
        <f t="shared" si="2"/>
        <v>97</v>
      </c>
      <c r="K61" s="10">
        <f>(12105+1565)/1000</f>
        <v>13.67</v>
      </c>
      <c r="L61" s="10">
        <f>ROUND(SUMIFS(Table3[Stock],Table3[key],Table1[[#This Row],[key]])/1000+SUMIFS(Table3[In Transit],Table3[key],Table1[[#This Row],[key]])/1000,2)</f>
        <v>75.08</v>
      </c>
      <c r="M61" s="9">
        <v>67</v>
      </c>
      <c r="N61" s="9">
        <v>30</v>
      </c>
      <c r="O61" s="9" t="s">
        <v>5</v>
      </c>
      <c r="P61" s="9" t="s">
        <v>5</v>
      </c>
      <c r="Q61" s="9" t="s">
        <v>5</v>
      </c>
      <c r="R61" s="9" t="s">
        <v>5</v>
      </c>
      <c r="S61" s="9" t="s">
        <v>5</v>
      </c>
      <c r="T61" s="12" t="s">
        <v>5</v>
      </c>
    </row>
    <row r="62" spans="1:20" ht="15" customHeight="1" x14ac:dyDescent="0.3">
      <c r="A62" s="9">
        <v>80</v>
      </c>
      <c r="B62" s="9" t="s">
        <v>5</v>
      </c>
      <c r="C62" s="9">
        <v>943211</v>
      </c>
      <c r="D62" s="9">
        <v>38.1</v>
      </c>
      <c r="E62" s="9">
        <v>3.2</v>
      </c>
      <c r="F62" s="9" t="s">
        <v>5</v>
      </c>
      <c r="G62" s="9" t="s">
        <v>5</v>
      </c>
      <c r="H62" s="9" t="s">
        <v>38</v>
      </c>
      <c r="I62" s="9" t="s">
        <v>47</v>
      </c>
      <c r="J62" s="10">
        <f t="shared" si="2"/>
        <v>0</v>
      </c>
      <c r="K62" s="10"/>
      <c r="L62" s="10">
        <f>ROUND(SUMIFS(Table3[Stock],Table3[key],Table1[[#This Row],[key]])/1000+SUMIFS(Table3[In Transit],Table3[key],Table1[[#This Row],[key]])/1000,2)</f>
        <v>0</v>
      </c>
      <c r="M62" s="9" t="s">
        <v>5</v>
      </c>
      <c r="N62" s="9" t="s">
        <v>5</v>
      </c>
      <c r="O62" s="9" t="s">
        <v>5</v>
      </c>
      <c r="P62" s="9" t="s">
        <v>5</v>
      </c>
      <c r="Q62" s="9" t="s">
        <v>5</v>
      </c>
      <c r="R62" s="9" t="s">
        <v>5</v>
      </c>
      <c r="S62" s="9" t="s">
        <v>5</v>
      </c>
      <c r="T62" s="12" t="s">
        <v>5</v>
      </c>
    </row>
    <row r="63" spans="1:20" ht="15" customHeight="1" x14ac:dyDescent="0.3">
      <c r="A63" s="9">
        <v>81</v>
      </c>
      <c r="B63" s="9" t="s">
        <v>5</v>
      </c>
      <c r="C63" s="9">
        <v>943211</v>
      </c>
      <c r="D63" s="9">
        <v>38.1</v>
      </c>
      <c r="E63" s="9">
        <v>3.2</v>
      </c>
      <c r="F63" s="9" t="s">
        <v>5</v>
      </c>
      <c r="G63" s="9" t="s">
        <v>5</v>
      </c>
      <c r="H63" s="9" t="s">
        <v>67</v>
      </c>
      <c r="I63" s="9" t="s">
        <v>5</v>
      </c>
      <c r="J63" s="10">
        <f t="shared" si="2"/>
        <v>0</v>
      </c>
      <c r="K63" s="10"/>
      <c r="L63" s="10">
        <f>ROUND(SUMIFS(Table3[Stock],Table3[key],Table1[[#This Row],[key]])/1000+SUMIFS(Table3[In Transit],Table3[key],Table1[[#This Row],[key]])/1000,2)</f>
        <v>0</v>
      </c>
      <c r="M63" s="9" t="s">
        <v>5</v>
      </c>
      <c r="N63" s="9" t="s">
        <v>5</v>
      </c>
      <c r="O63" s="9" t="s">
        <v>5</v>
      </c>
      <c r="P63" s="9" t="s">
        <v>5</v>
      </c>
      <c r="Q63" s="9" t="s">
        <v>5</v>
      </c>
      <c r="R63" s="9" t="s">
        <v>5</v>
      </c>
      <c r="S63" s="9" t="s">
        <v>5</v>
      </c>
      <c r="T63" s="12" t="s">
        <v>5</v>
      </c>
    </row>
    <row r="64" spans="1:20" ht="15" customHeight="1" x14ac:dyDescent="0.3">
      <c r="A64" s="9">
        <v>83</v>
      </c>
      <c r="B64" s="9" t="s">
        <v>68</v>
      </c>
      <c r="C64" s="9">
        <v>943209</v>
      </c>
      <c r="D64" s="9">
        <v>41.28</v>
      </c>
      <c r="E64" s="9">
        <v>1.6</v>
      </c>
      <c r="F64" s="9">
        <v>9.5</v>
      </c>
      <c r="G64" s="9" t="s">
        <v>69</v>
      </c>
      <c r="H64" s="9" t="s">
        <v>29</v>
      </c>
      <c r="I64" s="9" t="s">
        <v>47</v>
      </c>
      <c r="J64" s="10">
        <f t="shared" si="2"/>
        <v>13</v>
      </c>
      <c r="K64" s="10">
        <f>(701+501+421+1017)/1000</f>
        <v>2.64</v>
      </c>
      <c r="L64" s="10">
        <f>ROUND(SUMIFS(Table3[Stock],Table3[key],Table1[[#This Row],[key]])/1000+SUMIFS(Table3[In Transit],Table3[key],Table1[[#This Row],[key]])/1000,2)</f>
        <v>11.02</v>
      </c>
      <c r="M64" s="9">
        <v>10</v>
      </c>
      <c r="N64" s="9">
        <v>3</v>
      </c>
      <c r="O64" s="9" t="s">
        <v>5</v>
      </c>
      <c r="P64" s="9" t="s">
        <v>5</v>
      </c>
      <c r="Q64" s="9" t="s">
        <v>5</v>
      </c>
      <c r="R64" s="9" t="s">
        <v>5</v>
      </c>
      <c r="S64" s="9" t="s">
        <v>5</v>
      </c>
      <c r="T64" s="12" t="s">
        <v>5</v>
      </c>
    </row>
    <row r="65" spans="1:20" ht="15" customHeight="1" x14ac:dyDescent="0.3">
      <c r="A65" s="9">
        <v>84</v>
      </c>
      <c r="B65" s="9" t="s">
        <v>68</v>
      </c>
      <c r="C65" s="9" t="s">
        <v>5</v>
      </c>
      <c r="D65" s="9">
        <v>41.28</v>
      </c>
      <c r="E65" s="9">
        <v>1.6</v>
      </c>
      <c r="F65" s="9" t="s">
        <v>5</v>
      </c>
      <c r="G65" s="9" t="s">
        <v>5</v>
      </c>
      <c r="H65" s="9" t="s">
        <v>5</v>
      </c>
      <c r="I65" s="9" t="s">
        <v>5</v>
      </c>
      <c r="J65" s="10">
        <f t="shared" si="2"/>
        <v>0</v>
      </c>
      <c r="K65" s="10"/>
      <c r="L65" s="10">
        <f>ROUND(SUMIFS(Table3[Stock],Table3[key],Table1[[#This Row],[key]])/1000+SUMIFS(Table3[In Transit],Table3[key],Table1[[#This Row],[key]])/1000,2)</f>
        <v>0</v>
      </c>
      <c r="M65" s="9" t="s">
        <v>5</v>
      </c>
      <c r="N65" s="9" t="s">
        <v>5</v>
      </c>
      <c r="O65" s="9" t="s">
        <v>5</v>
      </c>
      <c r="P65" s="9" t="s">
        <v>5</v>
      </c>
      <c r="Q65" s="9" t="s">
        <v>5</v>
      </c>
      <c r="R65" s="9" t="s">
        <v>5</v>
      </c>
      <c r="S65" s="9" t="s">
        <v>5</v>
      </c>
      <c r="T65" s="12" t="s">
        <v>5</v>
      </c>
    </row>
    <row r="66" spans="1:20" ht="15" customHeight="1" x14ac:dyDescent="0.3">
      <c r="A66" s="9">
        <v>85</v>
      </c>
      <c r="B66" s="9" t="s">
        <v>5</v>
      </c>
      <c r="C66" s="9">
        <v>943209</v>
      </c>
      <c r="D66" s="9">
        <v>41.28</v>
      </c>
      <c r="E66" s="9">
        <v>2.6</v>
      </c>
      <c r="F66" s="9">
        <v>14.881</v>
      </c>
      <c r="G66" s="9" t="s">
        <v>70</v>
      </c>
      <c r="H66" s="9" t="s">
        <v>29</v>
      </c>
      <c r="I66" s="9" t="s">
        <v>47</v>
      </c>
      <c r="J66" s="10">
        <f t="shared" si="2"/>
        <v>85</v>
      </c>
      <c r="K66" s="10">
        <f>(6420+4248+3154+32937)/1000</f>
        <v>46.759</v>
      </c>
      <c r="L66" s="10">
        <f>ROUND(SUMIFS(Table3[Stock],Table3[key],Table1[[#This Row],[key]])/1000+SUMIFS(Table3[In Transit],Table3[key],Table1[[#This Row],[key]])/1000,2)</f>
        <v>50.65</v>
      </c>
      <c r="M66" s="9">
        <v>85</v>
      </c>
      <c r="N66" s="9" t="s">
        <v>5</v>
      </c>
      <c r="O66" s="9" t="s">
        <v>5</v>
      </c>
      <c r="P66" s="9" t="s">
        <v>5</v>
      </c>
      <c r="Q66" s="9" t="s">
        <v>5</v>
      </c>
      <c r="R66" s="9" t="s">
        <v>5</v>
      </c>
      <c r="S66" s="9" t="s">
        <v>5</v>
      </c>
      <c r="T66" s="12" t="s">
        <v>5</v>
      </c>
    </row>
    <row r="67" spans="1:20" ht="15" customHeight="1" x14ac:dyDescent="0.3">
      <c r="A67" s="9">
        <v>87</v>
      </c>
      <c r="B67" s="9" t="s">
        <v>5</v>
      </c>
      <c r="C67" s="9">
        <v>943210</v>
      </c>
      <c r="D67" s="9">
        <v>41.28</v>
      </c>
      <c r="E67" s="9">
        <v>3.15</v>
      </c>
      <c r="F67" s="9">
        <v>17.417000000000002</v>
      </c>
      <c r="G67" s="9" t="s">
        <v>71</v>
      </c>
      <c r="H67" s="9" t="s">
        <v>29</v>
      </c>
      <c r="I67" s="9" t="s">
        <v>47</v>
      </c>
      <c r="J67" s="10">
        <f t="shared" si="2"/>
        <v>57</v>
      </c>
      <c r="K67" s="10">
        <f>(2588+2962+5248+3528)/1000</f>
        <v>14.326000000000001</v>
      </c>
      <c r="L67" s="10">
        <f>ROUND(SUMIFS(Table3[Stock],Table3[key],Table1[[#This Row],[key]])/1000+SUMIFS(Table3[In Transit],Table3[key],Table1[[#This Row],[key]])/1000,2)</f>
        <v>45.08</v>
      </c>
      <c r="M67" s="9">
        <v>30</v>
      </c>
      <c r="N67" s="9">
        <v>20</v>
      </c>
      <c r="O67" s="9" t="s">
        <v>5</v>
      </c>
      <c r="P67" s="9">
        <v>7</v>
      </c>
      <c r="Q67" s="9" t="s">
        <v>5</v>
      </c>
      <c r="R67" s="9" t="s">
        <v>5</v>
      </c>
      <c r="S67" s="9" t="s">
        <v>5</v>
      </c>
      <c r="T67" s="12" t="s">
        <v>5</v>
      </c>
    </row>
    <row r="68" spans="1:20" ht="15" customHeight="1" x14ac:dyDescent="0.3">
      <c r="A68" s="9">
        <v>89</v>
      </c>
      <c r="B68" s="9" t="s">
        <v>5</v>
      </c>
      <c r="C68" s="9" t="s">
        <v>5</v>
      </c>
      <c r="D68" s="9">
        <v>41.28</v>
      </c>
      <c r="E68" s="9">
        <v>3.15</v>
      </c>
      <c r="F68" s="9" t="s">
        <v>5</v>
      </c>
      <c r="G68" s="9" t="s">
        <v>5</v>
      </c>
      <c r="H68" s="9" t="s">
        <v>5</v>
      </c>
      <c r="I68" s="9" t="s">
        <v>5</v>
      </c>
      <c r="J68" s="10">
        <f t="shared" si="2"/>
        <v>0</v>
      </c>
      <c r="K68" s="10"/>
      <c r="L68" s="10">
        <f>ROUND(SUMIFS(Table3[Stock],Table3[key],Table1[[#This Row],[key]])/1000+SUMIFS(Table3[In Transit],Table3[key],Table1[[#This Row],[key]])/1000,2)</f>
        <v>0</v>
      </c>
      <c r="M68" s="9" t="s">
        <v>5</v>
      </c>
      <c r="N68" s="9" t="s">
        <v>5</v>
      </c>
      <c r="O68" s="9" t="s">
        <v>5</v>
      </c>
      <c r="P68" s="9" t="s">
        <v>5</v>
      </c>
      <c r="Q68" s="9" t="s">
        <v>5</v>
      </c>
      <c r="R68" s="9" t="s">
        <v>5</v>
      </c>
      <c r="S68" s="9" t="s">
        <v>5</v>
      </c>
      <c r="T68" s="12" t="s">
        <v>5</v>
      </c>
    </row>
    <row r="69" spans="1:20" ht="15" customHeight="1" x14ac:dyDescent="0.3">
      <c r="A69" s="9">
        <v>90</v>
      </c>
      <c r="B69" s="9" t="s">
        <v>5</v>
      </c>
      <c r="C69" s="9">
        <v>943210</v>
      </c>
      <c r="D69" s="9">
        <v>42.7</v>
      </c>
      <c r="E69" s="9">
        <v>1.6</v>
      </c>
      <c r="F69" s="9" t="s">
        <v>5</v>
      </c>
      <c r="G69" s="9" t="s">
        <v>5</v>
      </c>
      <c r="H69" s="9" t="s">
        <v>38</v>
      </c>
      <c r="I69" s="9" t="s">
        <v>47</v>
      </c>
      <c r="J69" s="10">
        <f t="shared" si="2"/>
        <v>0</v>
      </c>
      <c r="K69" s="10"/>
      <c r="L69" s="10">
        <f>ROUND(SUMIFS(Table3[Stock],Table3[key],Table1[[#This Row],[key]])/1000+SUMIFS(Table3[In Transit],Table3[key],Table1[[#This Row],[key]])/1000,2)</f>
        <v>0</v>
      </c>
      <c r="M69" s="9" t="s">
        <v>5</v>
      </c>
      <c r="N69" s="9" t="s">
        <v>5</v>
      </c>
      <c r="O69" s="9" t="s">
        <v>5</v>
      </c>
      <c r="P69" s="9" t="s">
        <v>5</v>
      </c>
      <c r="Q69" s="9" t="s">
        <v>5</v>
      </c>
      <c r="R69" s="9" t="s">
        <v>5</v>
      </c>
      <c r="S69" s="9" t="s">
        <v>5</v>
      </c>
      <c r="T69" s="12" t="s">
        <v>5</v>
      </c>
    </row>
    <row r="70" spans="1:20" ht="15" customHeight="1" x14ac:dyDescent="0.3">
      <c r="A70" s="9">
        <v>92</v>
      </c>
      <c r="B70" s="9" t="s">
        <v>5</v>
      </c>
      <c r="C70" s="9">
        <v>943209</v>
      </c>
      <c r="D70" s="9">
        <v>42.7</v>
      </c>
      <c r="E70" s="9">
        <v>3.5</v>
      </c>
      <c r="F70" s="9">
        <v>20.471</v>
      </c>
      <c r="G70" s="9" t="s">
        <v>72</v>
      </c>
      <c r="H70" s="9" t="s">
        <v>29</v>
      </c>
      <c r="I70" s="9" t="s">
        <v>47</v>
      </c>
      <c r="J70" s="10">
        <f t="shared" si="2"/>
        <v>1.5</v>
      </c>
      <c r="K70" s="10"/>
      <c r="L70" s="10">
        <f>ROUND(SUMIFS(Table3[Stock],Table3[key],Table1[[#This Row],[key]])/1000+SUMIFS(Table3[In Transit],Table3[key],Table1[[#This Row],[key]])/1000,2)</f>
        <v>12.12</v>
      </c>
      <c r="M70" s="9" t="s">
        <v>5</v>
      </c>
      <c r="N70" s="9">
        <v>1.5</v>
      </c>
      <c r="O70" s="9" t="s">
        <v>5</v>
      </c>
      <c r="P70" s="9" t="s">
        <v>5</v>
      </c>
      <c r="Q70" s="9" t="s">
        <v>5</v>
      </c>
      <c r="R70" s="9" t="s">
        <v>5</v>
      </c>
      <c r="S70" s="9" t="s">
        <v>5</v>
      </c>
      <c r="T70" s="12" t="s">
        <v>5</v>
      </c>
    </row>
    <row r="71" spans="1:20" ht="15" customHeight="1" x14ac:dyDescent="0.3">
      <c r="A71" s="9">
        <v>93</v>
      </c>
      <c r="B71" s="9" t="s">
        <v>5</v>
      </c>
      <c r="C71" s="9">
        <v>943209</v>
      </c>
      <c r="D71" s="9">
        <v>42.7</v>
      </c>
      <c r="E71" s="9">
        <v>4</v>
      </c>
      <c r="F71" s="9">
        <v>20.997</v>
      </c>
      <c r="G71" s="9" t="s">
        <v>73</v>
      </c>
      <c r="H71" s="9" t="s">
        <v>29</v>
      </c>
      <c r="I71" s="9" t="s">
        <v>47</v>
      </c>
      <c r="J71" s="10">
        <f t="shared" si="2"/>
        <v>38</v>
      </c>
      <c r="K71" s="10">
        <f>(3317+5585+1525+6218)/1000</f>
        <v>16.645</v>
      </c>
      <c r="L71" s="10">
        <f>ROUND(SUMIFS(Table3[Stock],Table3[key],Table1[[#This Row],[key]])/1000+SUMIFS(Table3[In Transit],Table3[key],Table1[[#This Row],[key]])/1000,2)</f>
        <v>12.6</v>
      </c>
      <c r="M71" s="9">
        <v>25</v>
      </c>
      <c r="N71" s="9">
        <v>10</v>
      </c>
      <c r="O71" s="9" t="s">
        <v>5</v>
      </c>
      <c r="P71" s="9">
        <v>3</v>
      </c>
      <c r="Q71" s="9" t="s">
        <v>5</v>
      </c>
      <c r="R71" s="9" t="s">
        <v>5</v>
      </c>
      <c r="S71" s="9" t="s">
        <v>5</v>
      </c>
      <c r="T71" s="12" t="s">
        <v>5</v>
      </c>
    </row>
    <row r="72" spans="1:20" ht="15" customHeight="1" x14ac:dyDescent="0.3">
      <c r="A72" s="9">
        <v>94</v>
      </c>
      <c r="B72" s="9" t="s">
        <v>74</v>
      </c>
      <c r="C72" s="9">
        <v>943209</v>
      </c>
      <c r="D72" s="9">
        <v>44.45</v>
      </c>
      <c r="E72" s="9">
        <v>1.6</v>
      </c>
      <c r="F72" s="9">
        <v>10.02</v>
      </c>
      <c r="G72" s="9" t="s">
        <v>75</v>
      </c>
      <c r="H72" s="9" t="s">
        <v>29</v>
      </c>
      <c r="I72" s="9" t="s">
        <v>47</v>
      </c>
      <c r="J72" s="10">
        <f t="shared" si="2"/>
        <v>15</v>
      </c>
      <c r="K72" s="10"/>
      <c r="L72" s="10">
        <f>ROUND(SUMIFS(Table3[Stock],Table3[key],Table1[[#This Row],[key]])/1000+SUMIFS(Table3[In Transit],Table3[key],Table1[[#This Row],[key]])/1000,2)</f>
        <v>9.23</v>
      </c>
      <c r="M72" s="9" t="s">
        <v>5</v>
      </c>
      <c r="N72" s="9">
        <v>15</v>
      </c>
      <c r="O72" s="9" t="s">
        <v>5</v>
      </c>
      <c r="P72" s="9" t="s">
        <v>5</v>
      </c>
      <c r="Q72" s="9" t="s">
        <v>5</v>
      </c>
      <c r="R72" s="9" t="s">
        <v>5</v>
      </c>
      <c r="S72" s="9" t="s">
        <v>5</v>
      </c>
      <c r="T72" s="12" t="s">
        <v>5</v>
      </c>
    </row>
    <row r="73" spans="1:20" ht="15" customHeight="1" x14ac:dyDescent="0.3">
      <c r="A73" s="9">
        <v>96</v>
      </c>
      <c r="B73" s="9" t="s">
        <v>5</v>
      </c>
      <c r="C73" s="9">
        <v>943210</v>
      </c>
      <c r="D73" s="9">
        <v>45</v>
      </c>
      <c r="E73" s="9">
        <v>1.4</v>
      </c>
      <c r="F73" s="9">
        <v>8.58</v>
      </c>
      <c r="G73" s="9" t="s">
        <v>5</v>
      </c>
      <c r="H73" s="9" t="s">
        <v>29</v>
      </c>
      <c r="I73" s="9" t="s">
        <v>47</v>
      </c>
      <c r="J73" s="10">
        <f t="shared" si="2"/>
        <v>0</v>
      </c>
      <c r="K73" s="10"/>
      <c r="L73" s="10">
        <f>ROUND(SUMIFS(Table3[Stock],Table3[key],Table1[[#This Row],[key]])/1000+SUMIFS(Table3[In Transit],Table3[key],Table1[[#This Row],[key]])/1000,2)</f>
        <v>0</v>
      </c>
      <c r="M73" s="9" t="s">
        <v>5</v>
      </c>
      <c r="N73" s="9" t="s">
        <v>5</v>
      </c>
      <c r="O73" s="9" t="s">
        <v>5</v>
      </c>
      <c r="P73" s="9" t="s">
        <v>5</v>
      </c>
      <c r="Q73" s="9" t="s">
        <v>5</v>
      </c>
      <c r="R73" s="9" t="s">
        <v>5</v>
      </c>
      <c r="S73" s="9" t="s">
        <v>5</v>
      </c>
      <c r="T73" s="12" t="s">
        <v>5</v>
      </c>
    </row>
    <row r="74" spans="1:20" ht="15" customHeight="1" x14ac:dyDescent="0.3">
      <c r="A74" s="9">
        <v>97</v>
      </c>
      <c r="B74" s="9" t="s">
        <v>5</v>
      </c>
      <c r="C74" s="9">
        <v>943210</v>
      </c>
      <c r="D74" s="9">
        <v>45</v>
      </c>
      <c r="E74" s="9">
        <v>1.4</v>
      </c>
      <c r="F74" s="9">
        <v>9.6340000000000003</v>
      </c>
      <c r="G74" s="9" t="s">
        <v>5</v>
      </c>
      <c r="H74" s="9" t="s">
        <v>38</v>
      </c>
      <c r="I74" s="9" t="s">
        <v>47</v>
      </c>
      <c r="J74" s="10">
        <f t="shared" si="2"/>
        <v>0</v>
      </c>
      <c r="K74" s="10"/>
      <c r="L74" s="10">
        <f>ROUND(SUMIFS(Table3[Stock],Table3[key],Table1[[#This Row],[key]])/1000+SUMIFS(Table3[In Transit],Table3[key],Table1[[#This Row],[key]])/1000,2)</f>
        <v>0</v>
      </c>
      <c r="M74" s="9" t="s">
        <v>5</v>
      </c>
      <c r="N74" s="9" t="s">
        <v>5</v>
      </c>
      <c r="O74" s="9" t="s">
        <v>5</v>
      </c>
      <c r="P74" s="9" t="s">
        <v>5</v>
      </c>
      <c r="Q74" s="9" t="s">
        <v>5</v>
      </c>
      <c r="R74" s="9" t="s">
        <v>5</v>
      </c>
      <c r="S74" s="9" t="s">
        <v>5</v>
      </c>
      <c r="T74" s="12" t="s">
        <v>5</v>
      </c>
    </row>
    <row r="75" spans="1:20" ht="15" customHeight="1" x14ac:dyDescent="0.3">
      <c r="A75" s="9">
        <v>98</v>
      </c>
      <c r="B75" s="9" t="s">
        <v>5</v>
      </c>
      <c r="C75" s="9" t="s">
        <v>5</v>
      </c>
      <c r="D75" s="9">
        <v>45</v>
      </c>
      <c r="E75" s="9">
        <v>1.4</v>
      </c>
      <c r="F75" s="9">
        <v>9.7240000000000002</v>
      </c>
      <c r="G75" s="9" t="s">
        <v>5</v>
      </c>
      <c r="H75" s="9" t="s">
        <v>38</v>
      </c>
      <c r="I75" s="9" t="s">
        <v>47</v>
      </c>
      <c r="J75" s="10">
        <f t="shared" si="2"/>
        <v>0</v>
      </c>
      <c r="K75" s="10"/>
      <c r="L75" s="10">
        <f>ROUND(SUMIFS(Table3[Stock],Table3[key],Table1[[#This Row],[key]])/1000+SUMIFS(Table3[In Transit],Table3[key],Table1[[#This Row],[key]])/1000,2)</f>
        <v>0</v>
      </c>
      <c r="M75" s="9" t="s">
        <v>5</v>
      </c>
      <c r="N75" s="9" t="s">
        <v>5</v>
      </c>
      <c r="O75" s="9" t="s">
        <v>5</v>
      </c>
      <c r="P75" s="9" t="s">
        <v>5</v>
      </c>
      <c r="Q75" s="9" t="s">
        <v>5</v>
      </c>
      <c r="R75" s="9" t="s">
        <v>5</v>
      </c>
      <c r="S75" s="9" t="s">
        <v>5</v>
      </c>
      <c r="T75" s="12" t="s">
        <v>5</v>
      </c>
    </row>
    <row r="76" spans="1:20" ht="15" customHeight="1" x14ac:dyDescent="0.3">
      <c r="A76" s="9">
        <v>99</v>
      </c>
      <c r="B76" s="9" t="s">
        <v>5</v>
      </c>
      <c r="C76" s="9">
        <v>943210</v>
      </c>
      <c r="D76" s="9">
        <v>45</v>
      </c>
      <c r="E76" s="9">
        <v>1.6</v>
      </c>
      <c r="F76" s="9">
        <v>10.96</v>
      </c>
      <c r="G76" s="9" t="s">
        <v>5</v>
      </c>
      <c r="H76" s="9" t="s">
        <v>38</v>
      </c>
      <c r="I76" s="9" t="s">
        <v>47</v>
      </c>
      <c r="J76" s="10">
        <f t="shared" si="2"/>
        <v>0</v>
      </c>
      <c r="K76" s="10"/>
      <c r="L76" s="10">
        <f>ROUND(SUMIFS(Table3[Stock],Table3[key],Table1[[#This Row],[key]])/1000+SUMIFS(Table3[In Transit],Table3[key],Table1[[#This Row],[key]])/1000,2)</f>
        <v>0</v>
      </c>
      <c r="M76" s="9" t="s">
        <v>5</v>
      </c>
      <c r="N76" s="9" t="s">
        <v>5</v>
      </c>
      <c r="O76" s="9" t="s">
        <v>5</v>
      </c>
      <c r="P76" s="9" t="s">
        <v>5</v>
      </c>
      <c r="Q76" s="9" t="s">
        <v>5</v>
      </c>
      <c r="R76" s="9" t="s">
        <v>5</v>
      </c>
      <c r="S76" s="9" t="s">
        <v>5</v>
      </c>
      <c r="T76" s="12" t="s">
        <v>5</v>
      </c>
    </row>
    <row r="77" spans="1:20" ht="15" customHeight="1" x14ac:dyDescent="0.3">
      <c r="A77" s="9">
        <v>100</v>
      </c>
      <c r="B77" s="9" t="s">
        <v>5</v>
      </c>
      <c r="C77" s="9" t="s">
        <v>5</v>
      </c>
      <c r="D77" s="9">
        <v>45</v>
      </c>
      <c r="E77" s="9">
        <v>3.5</v>
      </c>
      <c r="F77" s="9">
        <v>10.96</v>
      </c>
      <c r="G77" s="9" t="s">
        <v>5</v>
      </c>
      <c r="H77" s="9" t="s">
        <v>55</v>
      </c>
      <c r="I77" s="9" t="s">
        <v>47</v>
      </c>
      <c r="J77" s="10">
        <f t="shared" si="2"/>
        <v>0</v>
      </c>
      <c r="K77" s="10"/>
      <c r="L77" s="10">
        <f>ROUND(SUMIFS(Table3[Stock],Table3[key],Table1[[#This Row],[key]])/1000+SUMIFS(Table3[In Transit],Table3[key],Table1[[#This Row],[key]])/1000,2)</f>
        <v>0</v>
      </c>
      <c r="M77" s="9" t="s">
        <v>5</v>
      </c>
      <c r="N77" s="9" t="s">
        <v>5</v>
      </c>
      <c r="O77" s="9" t="s">
        <v>5</v>
      </c>
      <c r="P77" s="9" t="s">
        <v>5</v>
      </c>
      <c r="Q77" s="9" t="s">
        <v>5</v>
      </c>
      <c r="R77" s="9" t="s">
        <v>5</v>
      </c>
      <c r="S77" s="9" t="s">
        <v>5</v>
      </c>
      <c r="T77" s="12" t="s">
        <v>5</v>
      </c>
    </row>
    <row r="78" spans="1:20" ht="15" customHeight="1" x14ac:dyDescent="0.3">
      <c r="A78" s="9">
        <v>101</v>
      </c>
      <c r="B78" s="9" t="s">
        <v>5</v>
      </c>
      <c r="C78" s="9" t="s">
        <v>5</v>
      </c>
      <c r="D78" s="9">
        <v>47.63</v>
      </c>
      <c r="E78" s="9">
        <v>4</v>
      </c>
      <c r="F78" s="9">
        <v>25.824000000000002</v>
      </c>
      <c r="G78" s="9" t="s">
        <v>5</v>
      </c>
      <c r="H78" s="9" t="s">
        <v>55</v>
      </c>
      <c r="I78" s="9" t="s">
        <v>47</v>
      </c>
      <c r="J78" s="10">
        <f t="shared" si="2"/>
        <v>0</v>
      </c>
      <c r="K78" s="10"/>
      <c r="L78" s="10">
        <f>ROUND(SUMIFS(Table3[Stock],Table3[key],Table1[[#This Row],[key]])/1000+SUMIFS(Table3[In Transit],Table3[key],Table1[[#This Row],[key]])/1000,2)</f>
        <v>0</v>
      </c>
      <c r="M78" s="9" t="s">
        <v>5</v>
      </c>
      <c r="N78" s="9" t="s">
        <v>5</v>
      </c>
      <c r="O78" s="9" t="s">
        <v>5</v>
      </c>
      <c r="P78" s="9" t="s">
        <v>5</v>
      </c>
      <c r="Q78" s="9" t="s">
        <v>5</v>
      </c>
      <c r="R78" s="9" t="s">
        <v>5</v>
      </c>
      <c r="S78" s="9" t="s">
        <v>5</v>
      </c>
      <c r="T78" s="12" t="s">
        <v>5</v>
      </c>
    </row>
    <row r="79" spans="1:20" ht="15" customHeight="1" x14ac:dyDescent="0.3">
      <c r="A79" s="9">
        <v>102</v>
      </c>
      <c r="B79" s="9" t="s">
        <v>5</v>
      </c>
      <c r="C79" s="9">
        <v>943211</v>
      </c>
      <c r="D79" s="9">
        <v>48</v>
      </c>
      <c r="E79" s="9">
        <v>1.2</v>
      </c>
      <c r="F79" s="9" t="s">
        <v>5</v>
      </c>
      <c r="G79" s="9" t="s">
        <v>5</v>
      </c>
      <c r="H79" s="9" t="s">
        <v>29</v>
      </c>
      <c r="I79" s="9" t="s">
        <v>47</v>
      </c>
      <c r="J79" s="10">
        <f t="shared" si="2"/>
        <v>0</v>
      </c>
      <c r="K79" s="10"/>
      <c r="L79" s="10">
        <f>ROUND(SUMIFS(Table3[Stock],Table3[key],Table1[[#This Row],[key]])/1000+SUMIFS(Table3[In Transit],Table3[key],Table1[[#This Row],[key]])/1000,2)</f>
        <v>0</v>
      </c>
      <c r="M79" s="9" t="s">
        <v>5</v>
      </c>
      <c r="N79" s="9" t="s">
        <v>5</v>
      </c>
      <c r="O79" s="9" t="s">
        <v>5</v>
      </c>
      <c r="P79" s="9" t="s">
        <v>5</v>
      </c>
      <c r="Q79" s="9" t="s">
        <v>5</v>
      </c>
      <c r="R79" s="9" t="s">
        <v>5</v>
      </c>
      <c r="S79" s="9" t="s">
        <v>5</v>
      </c>
      <c r="T79" s="12" t="s">
        <v>5</v>
      </c>
    </row>
    <row r="80" spans="1:20" ht="15" customHeight="1" x14ac:dyDescent="0.3">
      <c r="A80" s="9">
        <v>103</v>
      </c>
      <c r="B80" s="9" t="s">
        <v>5</v>
      </c>
      <c r="C80" s="9">
        <v>943211</v>
      </c>
      <c r="D80" s="9">
        <v>48</v>
      </c>
      <c r="E80" s="9">
        <v>1.2</v>
      </c>
      <c r="F80" s="9" t="s">
        <v>5</v>
      </c>
      <c r="G80" s="9" t="s">
        <v>5</v>
      </c>
      <c r="H80" s="9" t="s">
        <v>29</v>
      </c>
      <c r="I80" s="9" t="s">
        <v>47</v>
      </c>
      <c r="J80" s="10">
        <f t="shared" si="2"/>
        <v>0</v>
      </c>
      <c r="K80" s="10"/>
      <c r="L80" s="10">
        <f>ROUND(SUMIFS(Table3[Stock],Table3[key],Table1[[#This Row],[key]])/1000+SUMIFS(Table3[In Transit],Table3[key],Table1[[#This Row],[key]])/1000,2)</f>
        <v>0</v>
      </c>
      <c r="M80" s="9" t="s">
        <v>5</v>
      </c>
      <c r="N80" s="9" t="s">
        <v>5</v>
      </c>
      <c r="O80" s="9" t="s">
        <v>5</v>
      </c>
      <c r="P80" s="9" t="s">
        <v>5</v>
      </c>
      <c r="Q80" s="9" t="s">
        <v>5</v>
      </c>
      <c r="R80" s="9" t="s">
        <v>5</v>
      </c>
      <c r="S80" s="9" t="s">
        <v>5</v>
      </c>
      <c r="T80" s="12" t="s">
        <v>5</v>
      </c>
    </row>
    <row r="81" spans="1:20" ht="15" customHeight="1" x14ac:dyDescent="0.3">
      <c r="A81" s="9">
        <v>104</v>
      </c>
      <c r="B81" s="9" t="s">
        <v>5</v>
      </c>
      <c r="C81" s="9">
        <v>943211</v>
      </c>
      <c r="D81" s="9">
        <v>48</v>
      </c>
      <c r="E81" s="9">
        <v>1.2</v>
      </c>
      <c r="F81" s="9">
        <v>25.824000000000002</v>
      </c>
      <c r="G81" s="9" t="s">
        <v>5</v>
      </c>
      <c r="H81" s="9" t="s">
        <v>29</v>
      </c>
      <c r="I81" s="9" t="s">
        <v>47</v>
      </c>
      <c r="J81" s="10">
        <f t="shared" si="2"/>
        <v>0</v>
      </c>
      <c r="K81" s="10"/>
      <c r="L81" s="10">
        <f>ROUND(SUMIFS(Table3[Stock],Table3[key],Table1[[#This Row],[key]])/1000+SUMIFS(Table3[In Transit],Table3[key],Table1[[#This Row],[key]])/1000,2)</f>
        <v>0</v>
      </c>
      <c r="M81" s="9" t="s">
        <v>5</v>
      </c>
      <c r="N81" s="9" t="s">
        <v>5</v>
      </c>
      <c r="O81" s="9" t="s">
        <v>5</v>
      </c>
      <c r="P81" s="9" t="s">
        <v>5</v>
      </c>
      <c r="Q81" s="9" t="s">
        <v>5</v>
      </c>
      <c r="R81" s="9" t="s">
        <v>5</v>
      </c>
      <c r="S81" s="9" t="s">
        <v>5</v>
      </c>
      <c r="T81" s="12" t="s">
        <v>5</v>
      </c>
    </row>
    <row r="82" spans="1:20" ht="15" customHeight="1" x14ac:dyDescent="0.3">
      <c r="A82" s="9">
        <v>106</v>
      </c>
      <c r="B82" s="9" t="s">
        <v>76</v>
      </c>
      <c r="C82" s="9">
        <v>943209</v>
      </c>
      <c r="D82" s="9">
        <v>48.6</v>
      </c>
      <c r="E82" s="9">
        <v>1.6</v>
      </c>
      <c r="F82" s="9">
        <v>11.12</v>
      </c>
      <c r="G82" s="9" t="s">
        <v>77</v>
      </c>
      <c r="H82" s="9" t="s">
        <v>29</v>
      </c>
      <c r="I82" s="9" t="s">
        <v>47</v>
      </c>
      <c r="J82" s="10">
        <f t="shared" si="2"/>
        <v>1</v>
      </c>
      <c r="K82" s="10">
        <f>(911)/1000</f>
        <v>0.91100000000000003</v>
      </c>
      <c r="L82" s="10">
        <f>ROUND(SUMIFS(Table3[Stock],Table3[key],Table1[[#This Row],[key]])/1000+SUMIFS(Table3[In Transit],Table3[key],Table1[[#This Row],[key]])/1000,2)</f>
        <v>0</v>
      </c>
      <c r="M82" s="9">
        <v>1</v>
      </c>
      <c r="N82" s="9" t="s">
        <v>5</v>
      </c>
      <c r="O82" s="9" t="s">
        <v>5</v>
      </c>
      <c r="P82" s="9" t="s">
        <v>5</v>
      </c>
      <c r="Q82" s="9" t="s">
        <v>5</v>
      </c>
      <c r="R82" s="9" t="s">
        <v>5</v>
      </c>
      <c r="S82" s="9" t="s">
        <v>5</v>
      </c>
      <c r="T82" s="12" t="s">
        <v>5</v>
      </c>
    </row>
    <row r="83" spans="1:20" ht="15" customHeight="1" x14ac:dyDescent="0.3">
      <c r="A83" s="9">
        <v>107</v>
      </c>
      <c r="B83" s="9" t="s">
        <v>5</v>
      </c>
      <c r="C83" s="9">
        <v>943210</v>
      </c>
      <c r="D83" s="9">
        <v>48.6</v>
      </c>
      <c r="E83" s="9">
        <v>2</v>
      </c>
      <c r="F83" s="9">
        <v>14.411</v>
      </c>
      <c r="G83" s="9" t="s">
        <v>5</v>
      </c>
      <c r="H83" s="9" t="s">
        <v>38</v>
      </c>
      <c r="I83" s="9" t="s">
        <v>47</v>
      </c>
      <c r="J83" s="10">
        <f t="shared" si="2"/>
        <v>0</v>
      </c>
      <c r="K83" s="10"/>
      <c r="L83" s="10">
        <f>ROUND(SUMIFS(Table3[Stock],Table3[key],Table1[[#This Row],[key]])/1000+SUMIFS(Table3[In Transit],Table3[key],Table1[[#This Row],[key]])/1000,2)</f>
        <v>0</v>
      </c>
      <c r="M83" s="9" t="s">
        <v>5</v>
      </c>
      <c r="N83" s="9" t="s">
        <v>5</v>
      </c>
      <c r="O83" s="9" t="s">
        <v>5</v>
      </c>
      <c r="P83" s="9" t="s">
        <v>5</v>
      </c>
      <c r="Q83" s="9" t="s">
        <v>5</v>
      </c>
      <c r="R83" s="9" t="s">
        <v>5</v>
      </c>
      <c r="S83" s="9" t="s">
        <v>5</v>
      </c>
      <c r="T83" s="12" t="s">
        <v>5</v>
      </c>
    </row>
    <row r="84" spans="1:20" ht="15" customHeight="1" x14ac:dyDescent="0.3">
      <c r="A84" s="9">
        <v>108</v>
      </c>
      <c r="B84" s="9" t="s">
        <v>5</v>
      </c>
      <c r="C84" s="9" t="s">
        <v>5</v>
      </c>
      <c r="D84" s="9">
        <v>48.6</v>
      </c>
      <c r="E84" s="9">
        <v>2</v>
      </c>
      <c r="F84" s="9" t="s">
        <v>5</v>
      </c>
      <c r="G84" s="9" t="s">
        <v>5</v>
      </c>
      <c r="H84" s="9" t="s">
        <v>5</v>
      </c>
      <c r="I84" s="9" t="s">
        <v>5</v>
      </c>
      <c r="J84" s="10">
        <f t="shared" si="2"/>
        <v>0</v>
      </c>
      <c r="K84" s="10"/>
      <c r="L84" s="10">
        <f>ROUND(SUMIFS(Table3[Stock],Table3[key],Table1[[#This Row],[key]])/1000+SUMIFS(Table3[In Transit],Table3[key],Table1[[#This Row],[key]])/1000,2)</f>
        <v>0</v>
      </c>
      <c r="M84" s="9" t="s">
        <v>5</v>
      </c>
      <c r="N84" s="9" t="s">
        <v>5</v>
      </c>
      <c r="O84" s="9" t="s">
        <v>5</v>
      </c>
      <c r="P84" s="9" t="s">
        <v>5</v>
      </c>
      <c r="Q84" s="9" t="s">
        <v>5</v>
      </c>
      <c r="R84" s="9" t="s">
        <v>5</v>
      </c>
      <c r="S84" s="9" t="s">
        <v>5</v>
      </c>
      <c r="T84" s="12" t="s">
        <v>5</v>
      </c>
    </row>
    <row r="85" spans="1:20" ht="15" customHeight="1" x14ac:dyDescent="0.3">
      <c r="A85" s="9">
        <v>109</v>
      </c>
      <c r="B85" s="9" t="s">
        <v>5</v>
      </c>
      <c r="C85" s="9" t="s">
        <v>5</v>
      </c>
      <c r="D85" s="9">
        <v>48.6</v>
      </c>
      <c r="E85" s="9">
        <v>2.2999999999999998</v>
      </c>
      <c r="F85" s="9">
        <v>15.055</v>
      </c>
      <c r="G85" s="9" t="s">
        <v>5</v>
      </c>
      <c r="H85" s="9" t="s">
        <v>38</v>
      </c>
      <c r="I85" s="9" t="s">
        <v>47</v>
      </c>
      <c r="J85" s="10">
        <f t="shared" si="2"/>
        <v>0</v>
      </c>
      <c r="K85" s="10"/>
      <c r="L85" s="10">
        <f>ROUND(SUMIFS(Table3[Stock],Table3[key],Table1[[#This Row],[key]])/1000+SUMIFS(Table3[In Transit],Table3[key],Table1[[#This Row],[key]])/1000,2)</f>
        <v>0</v>
      </c>
      <c r="M85" s="9" t="s">
        <v>5</v>
      </c>
      <c r="N85" s="9" t="s">
        <v>5</v>
      </c>
      <c r="O85" s="9" t="s">
        <v>5</v>
      </c>
      <c r="P85" s="9" t="s">
        <v>5</v>
      </c>
      <c r="Q85" s="9" t="s">
        <v>5</v>
      </c>
      <c r="R85" s="9" t="s">
        <v>5</v>
      </c>
      <c r="S85" s="9" t="s">
        <v>5</v>
      </c>
      <c r="T85" s="12" t="s">
        <v>5</v>
      </c>
    </row>
    <row r="86" spans="1:20" ht="15" customHeight="1" x14ac:dyDescent="0.3">
      <c r="A86" s="9">
        <v>110</v>
      </c>
      <c r="B86" s="9" t="s">
        <v>5</v>
      </c>
      <c r="C86" s="9" t="s">
        <v>5</v>
      </c>
      <c r="D86" s="9">
        <v>48.6</v>
      </c>
      <c r="E86" s="9">
        <v>2.2999999999999998</v>
      </c>
      <c r="F86" s="9">
        <v>15.782999999999999</v>
      </c>
      <c r="G86" s="9" t="s">
        <v>5</v>
      </c>
      <c r="H86" s="9" t="s">
        <v>29</v>
      </c>
      <c r="I86" s="9" t="s">
        <v>47</v>
      </c>
      <c r="J86" s="10">
        <f t="shared" si="2"/>
        <v>0</v>
      </c>
      <c r="K86" s="10"/>
      <c r="L86" s="10">
        <f>ROUND(SUMIFS(Table3[Stock],Table3[key],Table1[[#This Row],[key]])/1000+SUMIFS(Table3[In Transit],Table3[key],Table1[[#This Row],[key]])/1000,2)</f>
        <v>0</v>
      </c>
      <c r="M86" s="9" t="s">
        <v>5</v>
      </c>
      <c r="N86" s="9" t="s">
        <v>5</v>
      </c>
      <c r="O86" s="9" t="s">
        <v>5</v>
      </c>
      <c r="P86" s="9" t="s">
        <v>5</v>
      </c>
      <c r="Q86" s="9" t="s">
        <v>5</v>
      </c>
      <c r="R86" s="9" t="s">
        <v>5</v>
      </c>
      <c r="S86" s="9" t="s">
        <v>5</v>
      </c>
      <c r="T86" s="12" t="s">
        <v>5</v>
      </c>
    </row>
    <row r="87" spans="1:20" ht="15" customHeight="1" x14ac:dyDescent="0.3">
      <c r="A87" s="9">
        <v>111</v>
      </c>
      <c r="B87" s="9" t="s">
        <v>5</v>
      </c>
      <c r="C87" s="9">
        <v>943210</v>
      </c>
      <c r="D87" s="9">
        <v>48.6</v>
      </c>
      <c r="E87" s="9">
        <v>2.2999999999999998</v>
      </c>
      <c r="F87" s="9">
        <v>16.466000000000001</v>
      </c>
      <c r="G87" s="9" t="s">
        <v>5</v>
      </c>
      <c r="H87" s="9" t="s">
        <v>38</v>
      </c>
      <c r="I87" s="9" t="s">
        <v>47</v>
      </c>
      <c r="J87" s="10">
        <f t="shared" si="2"/>
        <v>0</v>
      </c>
      <c r="K87" s="10"/>
      <c r="L87" s="10">
        <f>ROUND(SUMIFS(Table3[Stock],Table3[key],Table1[[#This Row],[key]])/1000+SUMIFS(Table3[In Transit],Table3[key],Table1[[#This Row],[key]])/1000,2)</f>
        <v>0</v>
      </c>
      <c r="M87" s="9" t="s">
        <v>5</v>
      </c>
      <c r="N87" s="9" t="s">
        <v>5</v>
      </c>
      <c r="O87" s="9" t="s">
        <v>5</v>
      </c>
      <c r="P87" s="9" t="s">
        <v>5</v>
      </c>
      <c r="Q87" s="9" t="s">
        <v>5</v>
      </c>
      <c r="R87" s="9" t="s">
        <v>5</v>
      </c>
      <c r="S87" s="9" t="s">
        <v>5</v>
      </c>
      <c r="T87" s="12" t="s">
        <v>5</v>
      </c>
    </row>
    <row r="88" spans="1:20" ht="15" customHeight="1" x14ac:dyDescent="0.3">
      <c r="A88" s="9">
        <v>113</v>
      </c>
      <c r="B88" s="9" t="s">
        <v>5</v>
      </c>
      <c r="C88" s="9">
        <v>943209</v>
      </c>
      <c r="D88" s="9">
        <v>48.6</v>
      </c>
      <c r="E88" s="9">
        <v>3.5</v>
      </c>
      <c r="F88" s="9">
        <v>23.356999999999999</v>
      </c>
      <c r="G88" s="9" t="s">
        <v>78</v>
      </c>
      <c r="H88" s="9" t="s">
        <v>29</v>
      </c>
      <c r="I88" s="9" t="s">
        <v>47</v>
      </c>
      <c r="J88" s="10">
        <f t="shared" si="2"/>
        <v>10</v>
      </c>
      <c r="K88" s="10">
        <f>(1440+2761)/1000</f>
        <v>4.2009999999999996</v>
      </c>
      <c r="L88" s="10">
        <f>ROUND(SUMIFS(Table3[Stock],Table3[key],Table1[[#This Row],[key]])/1000+SUMIFS(Table3[In Transit],Table3[key],Table1[[#This Row],[key]])/1000,2)</f>
        <v>35.89</v>
      </c>
      <c r="M88" s="9">
        <v>10</v>
      </c>
      <c r="N88" s="9" t="s">
        <v>5</v>
      </c>
      <c r="O88" s="9" t="s">
        <v>5</v>
      </c>
      <c r="P88" s="9" t="s">
        <v>5</v>
      </c>
      <c r="Q88" s="9" t="s">
        <v>5</v>
      </c>
      <c r="R88" s="9" t="s">
        <v>5</v>
      </c>
      <c r="S88" s="9" t="s">
        <v>5</v>
      </c>
      <c r="T88" s="12" t="s">
        <v>5</v>
      </c>
    </row>
    <row r="89" spans="1:20" ht="15" customHeight="1" x14ac:dyDescent="0.3">
      <c r="A89" s="9">
        <v>114</v>
      </c>
      <c r="B89" s="9" t="s">
        <v>5</v>
      </c>
      <c r="C89" s="9" t="s">
        <v>5</v>
      </c>
      <c r="D89" s="9">
        <v>50.8</v>
      </c>
      <c r="E89" s="9">
        <v>2.6</v>
      </c>
      <c r="F89" s="9">
        <v>18.542999999999999</v>
      </c>
      <c r="G89" s="9" t="s">
        <v>5</v>
      </c>
      <c r="H89" s="9" t="s">
        <v>29</v>
      </c>
      <c r="I89" s="9" t="s">
        <v>47</v>
      </c>
      <c r="J89" s="10">
        <f t="shared" si="2"/>
        <v>0</v>
      </c>
      <c r="K89" s="10"/>
      <c r="L89" s="10">
        <f>ROUND(SUMIFS(Table3[Stock],Table3[key],Table1[[#This Row],[key]])/1000+SUMIFS(Table3[In Transit],Table3[key],Table1[[#This Row],[key]])/1000,2)</f>
        <v>0</v>
      </c>
      <c r="M89" s="9" t="s">
        <v>5</v>
      </c>
      <c r="N89" s="9" t="s">
        <v>5</v>
      </c>
      <c r="O89" s="9" t="s">
        <v>5</v>
      </c>
      <c r="P89" s="9" t="s">
        <v>5</v>
      </c>
      <c r="Q89" s="9" t="s">
        <v>5</v>
      </c>
      <c r="R89" s="9" t="s">
        <v>5</v>
      </c>
      <c r="S89" s="9" t="s">
        <v>5</v>
      </c>
      <c r="T89" s="12" t="s">
        <v>5</v>
      </c>
    </row>
    <row r="90" spans="1:20" ht="15" customHeight="1" x14ac:dyDescent="0.3">
      <c r="A90" s="9">
        <v>115</v>
      </c>
      <c r="B90" s="9" t="s">
        <v>5</v>
      </c>
      <c r="C90" s="9">
        <v>943211</v>
      </c>
      <c r="D90" s="9">
        <v>50.8</v>
      </c>
      <c r="E90" s="9">
        <v>2.6</v>
      </c>
      <c r="F90" s="9">
        <v>18.542999999999999</v>
      </c>
      <c r="G90" s="9" t="s">
        <v>5</v>
      </c>
      <c r="H90" s="9" t="s">
        <v>29</v>
      </c>
      <c r="I90" s="9" t="s">
        <v>47</v>
      </c>
      <c r="J90" s="10">
        <f t="shared" si="2"/>
        <v>0</v>
      </c>
      <c r="K90" s="10"/>
      <c r="L90" s="10">
        <f>ROUND(SUMIFS(Table3[Stock],Table3[key],Table1[[#This Row],[key]])/1000+SUMIFS(Table3[In Transit],Table3[key],Table1[[#This Row],[key]])/1000,2)</f>
        <v>0</v>
      </c>
      <c r="M90" s="9" t="s">
        <v>5</v>
      </c>
      <c r="N90" s="9" t="s">
        <v>5</v>
      </c>
      <c r="O90" s="9" t="s">
        <v>5</v>
      </c>
      <c r="P90" s="9" t="s">
        <v>5</v>
      </c>
      <c r="Q90" s="9" t="s">
        <v>5</v>
      </c>
      <c r="R90" s="9" t="s">
        <v>5</v>
      </c>
      <c r="S90" s="9" t="s">
        <v>5</v>
      </c>
      <c r="T90" s="12" t="s">
        <v>5</v>
      </c>
    </row>
    <row r="91" spans="1:20" ht="15" customHeight="1" x14ac:dyDescent="0.3">
      <c r="A91" s="9">
        <v>116</v>
      </c>
      <c r="B91" s="9" t="s">
        <v>5</v>
      </c>
      <c r="C91" s="9">
        <v>943209</v>
      </c>
      <c r="D91" s="9">
        <v>54</v>
      </c>
      <c r="E91" s="9">
        <v>3</v>
      </c>
      <c r="F91" s="9">
        <v>21.847000000000001</v>
      </c>
      <c r="G91" s="9" t="s">
        <v>79</v>
      </c>
      <c r="H91" s="9" t="s">
        <v>64</v>
      </c>
      <c r="I91" s="9" t="s">
        <v>47</v>
      </c>
      <c r="J91" s="10">
        <f t="shared" si="2"/>
        <v>20</v>
      </c>
      <c r="K91" s="10"/>
      <c r="L91" s="10">
        <f>ROUND(SUMIFS(Table3[Stock],Table3[key],Table1[[#This Row],[key]])/1000+SUMIFS(Table3[In Transit],Table3[key],Table1[[#This Row],[key]])/1000,2)</f>
        <v>40.14</v>
      </c>
      <c r="M91" s="9" t="s">
        <v>5</v>
      </c>
      <c r="N91" s="9">
        <v>20</v>
      </c>
      <c r="O91" s="9" t="s">
        <v>5</v>
      </c>
      <c r="P91" s="9" t="s">
        <v>5</v>
      </c>
      <c r="Q91" s="9" t="s">
        <v>5</v>
      </c>
      <c r="R91" s="9" t="s">
        <v>5</v>
      </c>
      <c r="S91" s="9" t="s">
        <v>5</v>
      </c>
      <c r="T91" s="12" t="s">
        <v>5</v>
      </c>
    </row>
    <row r="92" spans="1:20" ht="15" customHeight="1" x14ac:dyDescent="0.3">
      <c r="A92" s="9">
        <v>117</v>
      </c>
      <c r="B92" s="9" t="s">
        <v>5</v>
      </c>
      <c r="C92" s="9">
        <v>943209</v>
      </c>
      <c r="D92" s="9">
        <v>57.15</v>
      </c>
      <c r="E92" s="9">
        <v>2.5</v>
      </c>
      <c r="F92" s="9">
        <v>19.239000000000001</v>
      </c>
      <c r="G92" s="9" t="s">
        <v>80</v>
      </c>
      <c r="H92" s="9" t="s">
        <v>29</v>
      </c>
      <c r="I92" s="9" t="s">
        <v>47</v>
      </c>
      <c r="J92" s="10">
        <v>178</v>
      </c>
      <c r="K92" s="10">
        <f>(30825+4060+20114+8625)/1000</f>
        <v>63.624000000000002</v>
      </c>
      <c r="L92" s="10">
        <f>ROUND(SUMIFS(Table3[Stock],Table3[key],Table1[[#This Row],[key]])/1000+SUMIFS(Table3[In Transit],Table3[key],Table1[[#This Row],[key]])/1000,2)</f>
        <v>200.39</v>
      </c>
      <c r="M92" s="9">
        <v>80</v>
      </c>
      <c r="N92" s="9">
        <v>56</v>
      </c>
      <c r="O92" s="9" t="s">
        <v>5</v>
      </c>
      <c r="P92" s="9">
        <v>42</v>
      </c>
      <c r="Q92" s="9" t="s">
        <v>5</v>
      </c>
      <c r="R92" s="9" t="s">
        <v>5</v>
      </c>
      <c r="S92" s="9" t="s">
        <v>5</v>
      </c>
      <c r="T92" s="12" t="s">
        <v>5</v>
      </c>
    </row>
    <row r="93" spans="1:20" ht="15" customHeight="1" x14ac:dyDescent="0.3">
      <c r="A93" s="9">
        <v>121</v>
      </c>
      <c r="B93" s="9" t="s">
        <v>5</v>
      </c>
      <c r="C93" s="9">
        <v>943210</v>
      </c>
      <c r="D93" s="9">
        <v>57.15</v>
      </c>
      <c r="E93" s="9">
        <v>3</v>
      </c>
      <c r="F93" s="9">
        <v>22.635000000000002</v>
      </c>
      <c r="G93" s="9" t="s">
        <v>5</v>
      </c>
      <c r="H93" s="9" t="s">
        <v>29</v>
      </c>
      <c r="I93" s="9" t="s">
        <v>47</v>
      </c>
      <c r="J93" s="10">
        <f t="shared" si="2"/>
        <v>0</v>
      </c>
      <c r="K93" s="10"/>
      <c r="L93" s="10">
        <f>ROUND(SUMIFS(Table3[Stock],Table3[key],Table1[[#This Row],[key]])/1000+SUMIFS(Table3[In Transit],Table3[key],Table1[[#This Row],[key]])/1000,2)</f>
        <v>0</v>
      </c>
      <c r="M93" s="9" t="s">
        <v>5</v>
      </c>
      <c r="N93" s="9" t="s">
        <v>5</v>
      </c>
      <c r="O93" s="9" t="s">
        <v>5</v>
      </c>
      <c r="P93" s="9" t="s">
        <v>5</v>
      </c>
      <c r="Q93" s="9" t="s">
        <v>5</v>
      </c>
      <c r="R93" s="9" t="s">
        <v>5</v>
      </c>
      <c r="S93" s="9" t="s">
        <v>5</v>
      </c>
      <c r="T93" s="12" t="s">
        <v>5</v>
      </c>
    </row>
    <row r="94" spans="1:20" ht="15" customHeight="1" x14ac:dyDescent="0.3">
      <c r="A94" s="9">
        <v>122</v>
      </c>
      <c r="B94" s="9" t="s">
        <v>5</v>
      </c>
      <c r="C94" s="9" t="s">
        <v>5</v>
      </c>
      <c r="D94" s="9">
        <v>57.15</v>
      </c>
      <c r="E94" s="9">
        <v>3</v>
      </c>
      <c r="F94" s="9" t="s">
        <v>5</v>
      </c>
      <c r="G94" s="9" t="s">
        <v>5</v>
      </c>
      <c r="H94" s="9" t="s">
        <v>29</v>
      </c>
      <c r="I94" s="9" t="s">
        <v>5</v>
      </c>
      <c r="J94" s="10">
        <f t="shared" si="2"/>
        <v>0</v>
      </c>
      <c r="K94" s="10"/>
      <c r="L94" s="10">
        <f>ROUND(SUMIFS(Table3[Stock],Table3[key],Table1[[#This Row],[key]])/1000+SUMIFS(Table3[In Transit],Table3[key],Table1[[#This Row],[key]])/1000,2)</f>
        <v>0</v>
      </c>
      <c r="M94" s="9" t="s">
        <v>5</v>
      </c>
      <c r="N94" s="9" t="s">
        <v>5</v>
      </c>
      <c r="O94" s="9" t="s">
        <v>5</v>
      </c>
      <c r="P94" s="9" t="s">
        <v>5</v>
      </c>
      <c r="Q94" s="9" t="s">
        <v>5</v>
      </c>
      <c r="R94" s="9" t="s">
        <v>5</v>
      </c>
      <c r="S94" s="9" t="s">
        <v>5</v>
      </c>
      <c r="T94" s="12" t="s">
        <v>5</v>
      </c>
    </row>
    <row r="95" spans="1:20" ht="15" customHeight="1" x14ac:dyDescent="0.3">
      <c r="A95" s="9">
        <v>124</v>
      </c>
      <c r="B95" s="9" t="s">
        <v>5</v>
      </c>
      <c r="C95" s="9">
        <v>943209</v>
      </c>
      <c r="D95" s="9">
        <v>60.3</v>
      </c>
      <c r="E95" s="9">
        <v>2</v>
      </c>
      <c r="F95" s="9">
        <v>14.654999999999999</v>
      </c>
      <c r="G95" s="9" t="s">
        <v>81</v>
      </c>
      <c r="H95" s="9" t="s">
        <v>29</v>
      </c>
      <c r="I95" s="9" t="s">
        <v>47</v>
      </c>
      <c r="J95" s="10">
        <v>54</v>
      </c>
      <c r="K95" s="10">
        <f>(11177+1509+4356+4166)/1000</f>
        <v>21.207999999999998</v>
      </c>
      <c r="L95" s="10">
        <f>ROUND(SUMIFS(Table3[Stock],Table3[key],Table1[[#This Row],[key]])/1000+SUMIFS(Table3[In Transit],Table3[key],Table1[[#This Row],[key]])/1000,2)</f>
        <v>0</v>
      </c>
      <c r="M95" s="9">
        <v>15</v>
      </c>
      <c r="N95" s="9">
        <v>9</v>
      </c>
      <c r="O95" s="9" t="s">
        <v>5</v>
      </c>
      <c r="P95" s="9">
        <v>30</v>
      </c>
      <c r="Q95" s="9" t="s">
        <v>5</v>
      </c>
      <c r="R95" s="9" t="s">
        <v>5</v>
      </c>
      <c r="S95" s="9" t="s">
        <v>5</v>
      </c>
      <c r="T95" s="12" t="s">
        <v>5</v>
      </c>
    </row>
    <row r="96" spans="1:20" ht="15" customHeight="1" x14ac:dyDescent="0.3">
      <c r="A96" s="9">
        <v>127</v>
      </c>
      <c r="B96" s="9" t="s">
        <v>82</v>
      </c>
      <c r="C96" s="9" t="s">
        <v>5</v>
      </c>
      <c r="D96" s="9">
        <v>63.5</v>
      </c>
      <c r="E96" s="9">
        <v>1.6</v>
      </c>
      <c r="F96" s="9" t="s">
        <v>5</v>
      </c>
      <c r="G96" s="9" t="s">
        <v>5</v>
      </c>
      <c r="H96" s="9" t="s">
        <v>29</v>
      </c>
      <c r="I96" s="9" t="s">
        <v>47</v>
      </c>
      <c r="J96" s="10">
        <f t="shared" si="2"/>
        <v>0</v>
      </c>
      <c r="K96" s="10"/>
      <c r="L96" s="10">
        <f>ROUND(SUMIFS(Table3[Stock],Table3[key],Table1[[#This Row],[key]])/1000+SUMIFS(Table3[In Transit],Table3[key],Table1[[#This Row],[key]])/1000,2)</f>
        <v>0</v>
      </c>
      <c r="M96" s="9" t="s">
        <v>5</v>
      </c>
      <c r="N96" s="9" t="s">
        <v>5</v>
      </c>
      <c r="O96" s="9" t="s">
        <v>5</v>
      </c>
      <c r="P96" s="9" t="s">
        <v>5</v>
      </c>
      <c r="Q96" s="9" t="s">
        <v>5</v>
      </c>
      <c r="R96" s="9" t="s">
        <v>5</v>
      </c>
      <c r="S96" s="9" t="s">
        <v>5</v>
      </c>
      <c r="T96" s="12" t="s">
        <v>5</v>
      </c>
    </row>
    <row r="97" spans="1:21" ht="15" customHeight="1" x14ac:dyDescent="0.3">
      <c r="A97" s="8" t="s">
        <v>5</v>
      </c>
      <c r="B97" s="9" t="s">
        <v>5</v>
      </c>
      <c r="C97" s="9" t="s">
        <v>5</v>
      </c>
      <c r="D97" s="9" t="s">
        <v>5</v>
      </c>
      <c r="E97" s="9" t="s">
        <v>5</v>
      </c>
      <c r="F97" s="9" t="s">
        <v>5</v>
      </c>
      <c r="G97" s="9" t="s">
        <v>5</v>
      </c>
      <c r="H97" s="9" t="s">
        <v>5</v>
      </c>
      <c r="I97" s="9" t="s">
        <v>5</v>
      </c>
      <c r="J97" s="9" t="s">
        <v>5</v>
      </c>
      <c r="K97" s="10">
        <f>SUM(K4:K95)</f>
        <v>391.77</v>
      </c>
      <c r="L97" s="10">
        <f>SUM(L2:L95)</f>
        <v>2223.7800000000002</v>
      </c>
      <c r="M97" s="10"/>
      <c r="N97" s="9" t="s">
        <v>5</v>
      </c>
      <c r="O97" s="9" t="s">
        <v>5</v>
      </c>
      <c r="P97" s="9" t="s">
        <v>5</v>
      </c>
      <c r="Q97" s="9" t="s">
        <v>5</v>
      </c>
      <c r="R97" s="9" t="s">
        <v>5</v>
      </c>
      <c r="S97" s="9" t="s">
        <v>5</v>
      </c>
      <c r="T97" s="9" t="s">
        <v>5</v>
      </c>
    </row>
    <row r="98" spans="1:21" ht="15" customHeight="1" x14ac:dyDescent="0.3">
      <c r="U98" s="9" t="s">
        <v>5</v>
      </c>
    </row>
  </sheetData>
  <phoneticPr fontId="1" type="noConversion"/>
  <conditionalFormatting sqref="G4:G96">
    <cfRule type="duplicateValues" dxfId="16" priority="162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074C4-8999-4A69-B7BB-EC5219CC4BE2}">
  <dimension ref="A1:AD125"/>
  <sheetViews>
    <sheetView tabSelected="1" topLeftCell="D1" zoomScale="90" zoomScaleNormal="90" workbookViewId="0">
      <selection activeCell="R5" sqref="R5"/>
    </sheetView>
  </sheetViews>
  <sheetFormatPr defaultRowHeight="20.25" customHeight="1" outlineLevelCol="1" x14ac:dyDescent="0.25"/>
  <cols>
    <col min="1" max="1" width="5" customWidth="1"/>
    <col min="2" max="2" width="10.28515625" customWidth="1"/>
    <col min="3" max="3" width="8" customWidth="1"/>
    <col min="4" max="4" width="9.140625" bestFit="1" customWidth="1"/>
    <col min="5" max="5" width="5.5703125" customWidth="1"/>
    <col min="6" max="6" width="9.140625" bestFit="1" customWidth="1"/>
    <col min="7" max="7" width="9.85546875" customWidth="1"/>
    <col min="8" max="8" width="20.42578125" customWidth="1" outlineLevel="1"/>
    <col min="9" max="9" width="24.85546875" bestFit="1" customWidth="1" outlineLevel="1"/>
    <col min="10" max="10" width="31.5703125" bestFit="1" customWidth="1" outlineLevel="1"/>
    <col min="11" max="11" width="5" customWidth="1" outlineLevel="1"/>
    <col min="12" max="12" width="5.140625" customWidth="1" outlineLevel="1"/>
    <col min="13" max="13" width="8.140625" customWidth="1" outlineLevel="1"/>
    <col min="14" max="14" width="11.5703125" customWidth="1"/>
    <col min="15" max="16" width="8.7109375" customWidth="1"/>
    <col min="17" max="17" width="12.5703125" bestFit="1" customWidth="1"/>
    <col min="18" max="18" width="11" customWidth="1"/>
    <col min="19" max="19" width="9.28515625" customWidth="1"/>
    <col min="20" max="20" width="7.85546875" customWidth="1"/>
    <col min="21" max="21" width="13.28515625" customWidth="1"/>
    <col min="22" max="22" width="10.28515625" customWidth="1"/>
    <col min="23" max="23" width="7.42578125" customWidth="1"/>
    <col min="24" max="24" width="8.140625" customWidth="1"/>
    <col min="25" max="25" width="13.42578125" bestFit="1" customWidth="1"/>
    <col min="26" max="26" width="10" customWidth="1"/>
    <col min="27" max="27" width="11.140625" customWidth="1"/>
    <col min="28" max="28" width="34.5703125" bestFit="1" customWidth="1"/>
  </cols>
  <sheetData>
    <row r="1" spans="1:29" ht="20.25" customHeight="1" x14ac:dyDescent="0.25">
      <c r="H1" s="19" t="s">
        <v>6</v>
      </c>
      <c r="M1" s="20" t="s">
        <v>89</v>
      </c>
    </row>
    <row r="2" spans="1:29" ht="20.25" customHeight="1" x14ac:dyDescent="0.25">
      <c r="Q2">
        <f>SUM(Table3[Schedule])</f>
        <v>1696500</v>
      </c>
      <c r="R2">
        <f>SUM(Table3[Schedule])</f>
        <v>1696500</v>
      </c>
      <c r="S2">
        <f>SUM(Table3[In Transit])</f>
        <v>112399</v>
      </c>
    </row>
    <row r="3" spans="1:29" ht="20.25" customHeight="1" x14ac:dyDescent="0.25">
      <c r="A3" s="21" t="s">
        <v>18</v>
      </c>
      <c r="B3" s="21" t="s">
        <v>19</v>
      </c>
      <c r="C3" s="21" t="s">
        <v>20</v>
      </c>
      <c r="D3" s="21" t="s">
        <v>21</v>
      </c>
      <c r="E3" s="21" t="s">
        <v>90</v>
      </c>
      <c r="F3" s="21" t="s">
        <v>22</v>
      </c>
      <c r="G3" s="21" t="s">
        <v>23</v>
      </c>
      <c r="H3" s="21" t="s">
        <v>24</v>
      </c>
      <c r="I3" s="21" t="s">
        <v>25</v>
      </c>
      <c r="J3" s="21" t="s">
        <v>166</v>
      </c>
      <c r="K3" s="21" t="s">
        <v>26</v>
      </c>
      <c r="L3" s="21" t="s">
        <v>27</v>
      </c>
      <c r="M3" s="21" t="s">
        <v>91</v>
      </c>
      <c r="N3" s="21" t="s">
        <v>92</v>
      </c>
      <c r="O3" s="22" t="s">
        <v>93</v>
      </c>
      <c r="P3" s="22" t="s">
        <v>94</v>
      </c>
      <c r="Q3" s="22" t="s">
        <v>95</v>
      </c>
      <c r="R3" s="23" t="s">
        <v>96</v>
      </c>
      <c r="S3" s="21" t="s">
        <v>97</v>
      </c>
      <c r="T3" s="21" t="s">
        <v>98</v>
      </c>
      <c r="U3" s="21" t="s">
        <v>99</v>
      </c>
      <c r="V3" s="21" t="s">
        <v>100</v>
      </c>
      <c r="W3" s="22" t="s">
        <v>101</v>
      </c>
      <c r="X3" s="22" t="s">
        <v>102</v>
      </c>
      <c r="Y3" s="22" t="s">
        <v>103</v>
      </c>
      <c r="Z3" s="22" t="s">
        <v>104</v>
      </c>
      <c r="AA3" s="24" t="s">
        <v>105</v>
      </c>
      <c r="AB3" s="25" t="s">
        <v>106</v>
      </c>
      <c r="AC3" s="26" t="s">
        <v>107</v>
      </c>
    </row>
    <row r="4" spans="1:29" ht="20.25" customHeight="1" x14ac:dyDescent="0.25">
      <c r="A4" s="27">
        <v>1</v>
      </c>
      <c r="B4" s="27"/>
      <c r="C4" s="27">
        <v>943209</v>
      </c>
      <c r="D4" s="27">
        <v>12.7</v>
      </c>
      <c r="E4" s="27">
        <v>0</v>
      </c>
      <c r="F4" s="27">
        <v>1.2</v>
      </c>
      <c r="G4" s="27">
        <v>6</v>
      </c>
      <c r="H4" s="27">
        <v>2.0419999999999998</v>
      </c>
      <c r="I4" s="27" t="s">
        <v>28</v>
      </c>
      <c r="J4" s="27" t="str">
        <f>_xlfn.CONCAT(Table3[[#This Row],[key]],"-",Table3[[#This Row],[Length]])</f>
        <v>12.7-0-1.2-ERW 1-PE-6</v>
      </c>
      <c r="K4" s="27" t="s">
        <v>29</v>
      </c>
      <c r="L4" s="27" t="s">
        <v>30</v>
      </c>
      <c r="M4" s="27"/>
      <c r="N4" s="27">
        <v>7973</v>
      </c>
      <c r="O4" s="27"/>
      <c r="P4" s="27">
        <v>1939985</v>
      </c>
      <c r="Q4" s="27"/>
      <c r="R4" s="27">
        <f>VLOOKUP(Table3[[#This Row],[length key]],Table2[[#All],[length key]:[Total schedule]],4,0)</f>
        <v>6000</v>
      </c>
      <c r="S4" s="27">
        <f t="shared" ref="S4:S37" si="0">((D4-F4)*F4*0.0246615*G4*N4)</f>
        <v>16280.6443506</v>
      </c>
      <c r="T4" s="27">
        <v>0</v>
      </c>
      <c r="U4" s="27"/>
      <c r="V4" s="27">
        <f>ROUND((S4+Table3[[#This Row],[In Transit]])/R4*30,0)</f>
        <v>81</v>
      </c>
      <c r="W4" s="27">
        <v>0</v>
      </c>
      <c r="X4" s="28"/>
      <c r="Y4" s="27"/>
      <c r="Z4" s="27"/>
      <c r="AA4" s="29">
        <f>IF((45-Table3[[#This Row],[Coverage post order]])&gt;0,Table3[[#This Row],[Schedule]]*1.5,0)</f>
        <v>0</v>
      </c>
      <c r="AB4" s="27">
        <f>ROUND((Table3[[#This Row],[Stock]]+Table3[[#This Row],[056 Order]]+Table3[[#This Row],[0789 Order]]+Table3[[#This Row],[0788 Order]]+Table3[[#This Row],[In Transit]])/Table3[[#This Row],[Schedule]]*30,0)</f>
        <v>81</v>
      </c>
      <c r="AC4" s="30">
        <v>789</v>
      </c>
    </row>
    <row r="5" spans="1:29" ht="20.25" customHeight="1" x14ac:dyDescent="0.25">
      <c r="A5" s="27">
        <v>2</v>
      </c>
      <c r="B5" s="27"/>
      <c r="C5" s="27">
        <v>943210</v>
      </c>
      <c r="D5" s="27">
        <v>12.7</v>
      </c>
      <c r="E5" s="27">
        <v>0</v>
      </c>
      <c r="F5" s="27">
        <v>1.4</v>
      </c>
      <c r="G5" s="27">
        <v>5.67</v>
      </c>
      <c r="H5" s="27">
        <v>2.2120000000000002</v>
      </c>
      <c r="I5" s="27" t="str">
        <f>_xlfn.CONCAT("Megh-",D5,"-",E5,"-",F5,"-",G5)</f>
        <v>Megh-12.7-0-1.4-5.67</v>
      </c>
      <c r="J5" s="27" t="str">
        <f>_xlfn.CONCAT(Table3[[#This Row],[key]])</f>
        <v>Megh-12.7-0-1.4-5.67</v>
      </c>
      <c r="K5" s="27" t="s">
        <v>29</v>
      </c>
      <c r="L5" s="27" t="s">
        <v>30</v>
      </c>
      <c r="M5" s="27"/>
      <c r="N5" s="27">
        <v>100</v>
      </c>
      <c r="O5" s="27"/>
      <c r="P5" s="27">
        <v>3552188</v>
      </c>
      <c r="Q5" s="27"/>
      <c r="R5" s="27">
        <f>VLOOKUP(Table3[[#This Row],[length key]],Table2[[#All],[length key]:[Total schedule]],4,0)</f>
        <v>1500</v>
      </c>
      <c r="S5" s="27">
        <f t="shared" si="0"/>
        <v>221.21217530999994</v>
      </c>
      <c r="T5" s="27"/>
      <c r="U5" s="27"/>
      <c r="V5" s="27">
        <f>ROUND((S5+Table3[[#This Row],[In Transit]])/R5*30,0)</f>
        <v>4</v>
      </c>
      <c r="W5" s="27"/>
      <c r="X5" s="28">
        <v>2250</v>
      </c>
      <c r="Y5" s="27"/>
      <c r="Z5" s="27"/>
      <c r="AA5" s="29">
        <f>IF((45-Table3[[#This Row],[Coverage post order]])&gt;0,Table3[[#This Row],[Schedule]]*1.5,0)</f>
        <v>0</v>
      </c>
      <c r="AB5" s="27">
        <f>ROUND((Table3[[#This Row],[Stock]]+Table3[[#This Row],[056 Order]]+Table3[[#This Row],[0789 Order]]+Table3[[#This Row],[0788 Order]]+Table3[[#This Row],[In Transit]])/Table3[[#This Row],[Schedule]]*30,0)</f>
        <v>49</v>
      </c>
      <c r="AC5" s="56" t="s">
        <v>94</v>
      </c>
    </row>
    <row r="6" spans="1:29" ht="20.25" customHeight="1" x14ac:dyDescent="0.25">
      <c r="A6" s="27">
        <v>3</v>
      </c>
      <c r="B6" s="27"/>
      <c r="C6" s="27"/>
      <c r="D6" s="27">
        <v>12.7</v>
      </c>
      <c r="E6" s="27">
        <v>0</v>
      </c>
      <c r="F6" s="27">
        <v>1.4</v>
      </c>
      <c r="G6" s="27">
        <v>6</v>
      </c>
      <c r="H6" s="27">
        <v>2.3410000000000002</v>
      </c>
      <c r="I6" s="27" t="str">
        <f>_xlfn.CONCAT("Megh-",D6,"-",E6,"-",F6,"-",G6)</f>
        <v>Megh-12.7-0-1.4-6</v>
      </c>
      <c r="J6" s="27" t="str">
        <f>_xlfn.CONCAT(Table3[[#This Row],[key]])</f>
        <v>Megh-12.7-0-1.4-6</v>
      </c>
      <c r="K6" s="27" t="s">
        <v>29</v>
      </c>
      <c r="L6" s="27" t="s">
        <v>30</v>
      </c>
      <c r="M6" s="27"/>
      <c r="N6" s="27">
        <v>0</v>
      </c>
      <c r="O6" s="27"/>
      <c r="P6" s="27">
        <v>1931117</v>
      </c>
      <c r="Q6" s="27"/>
      <c r="R6" s="27">
        <f>VLOOKUP(Table3[[#This Row],[length key]],Table2[[#All],[length key]:[Total schedule]],4,0)</f>
        <v>0</v>
      </c>
      <c r="S6" s="27">
        <f t="shared" si="0"/>
        <v>0</v>
      </c>
      <c r="T6" s="27"/>
      <c r="U6" s="27"/>
      <c r="V6" s="27" t="e">
        <f>ROUND((S6+Table3[[#This Row],[In Transit]])/R6*30,0)</f>
        <v>#DIV/0!</v>
      </c>
      <c r="W6" s="27"/>
      <c r="X6" s="27"/>
      <c r="Y6" s="27"/>
      <c r="Z6" s="27"/>
      <c r="AA6" s="29" t="e">
        <f>IF((45-Table3[[#This Row],[Coverage post order]])&gt;0,Table3[[#This Row],[Schedule]]*1.5,0)</f>
        <v>#DIV/0!</v>
      </c>
      <c r="AB6" s="27" t="e">
        <f>ROUND((Table3[[#This Row],[Stock]]+Table3[[#This Row],[056 Order]]+Table3[[#This Row],[0789 Order]]+Table3[[#This Row],[0788 Order]]+Table3[[#This Row],[In Transit]])/Table3[[#This Row],[Schedule]]*30,0)</f>
        <v>#DIV/0!</v>
      </c>
      <c r="AC6" s="27"/>
    </row>
    <row r="7" spans="1:29" ht="20.25" customHeight="1" x14ac:dyDescent="0.25">
      <c r="A7" s="27">
        <v>4</v>
      </c>
      <c r="B7" s="27"/>
      <c r="C7" s="27"/>
      <c r="D7" s="27">
        <v>12.7</v>
      </c>
      <c r="E7" s="27">
        <v>0</v>
      </c>
      <c r="F7" s="27">
        <v>1.4</v>
      </c>
      <c r="G7" s="27">
        <v>6.0350000000000001</v>
      </c>
      <c r="H7" s="27">
        <v>2.355</v>
      </c>
      <c r="I7" s="27" t="str">
        <f>_xlfn.CONCAT("Megh-",D7,"-",E7,"-",F7,"-",G7)</f>
        <v>Megh-12.7-0-1.4-6.035</v>
      </c>
      <c r="J7" s="27" t="str">
        <f>_xlfn.CONCAT(Table3[[#This Row],[key]])</f>
        <v>Megh-12.7-0-1.4-6.035</v>
      </c>
      <c r="K7" s="27" t="s">
        <v>29</v>
      </c>
      <c r="L7" s="27" t="s">
        <v>30</v>
      </c>
      <c r="M7" s="27"/>
      <c r="N7" s="27">
        <v>0</v>
      </c>
      <c r="O7" s="28"/>
      <c r="P7" s="27"/>
      <c r="Q7" s="27"/>
      <c r="R7" s="27">
        <f>VLOOKUP(Table3[[#This Row],[length key]],Table2[[#All],[length key]:[Total schedule]],4,0)</f>
        <v>0</v>
      </c>
      <c r="S7" s="27">
        <f t="shared" si="0"/>
        <v>0</v>
      </c>
      <c r="T7" s="27"/>
      <c r="U7" s="27"/>
      <c r="V7" s="27" t="e">
        <f>ROUND((S7+Table3[[#This Row],[In Transit]])/R7*30,0)</f>
        <v>#DIV/0!</v>
      </c>
      <c r="W7" s="27"/>
      <c r="X7" s="27"/>
      <c r="Y7" s="27"/>
      <c r="Z7" s="27"/>
      <c r="AA7" s="29" t="e">
        <f>IF((45-Table3[[#This Row],[Coverage post order]])&gt;0,Table3[[#This Row],[Schedule]]*1.5,0)</f>
        <v>#DIV/0!</v>
      </c>
      <c r="AB7" s="27" t="e">
        <f>ROUND((Table3[[#This Row],[Stock]]+Table3[[#This Row],[056 Order]]+Table3[[#This Row],[0789 Order]]+Table3[[#This Row],[0788 Order]]+Table3[[#This Row],[In Transit]])/Table3[[#This Row],[Schedule]]*30,0)</f>
        <v>#DIV/0!</v>
      </c>
      <c r="AC7" s="27"/>
    </row>
    <row r="8" spans="1:29" ht="20.25" customHeight="1" x14ac:dyDescent="0.25">
      <c r="A8" s="27">
        <v>5</v>
      </c>
      <c r="B8" s="27"/>
      <c r="C8" s="27">
        <v>943210</v>
      </c>
      <c r="D8" s="27">
        <v>12.7</v>
      </c>
      <c r="E8" s="27">
        <v>0</v>
      </c>
      <c r="F8" s="27">
        <v>1.6</v>
      </c>
      <c r="G8" s="27">
        <v>6</v>
      </c>
      <c r="H8" s="27">
        <v>2.6280000000000001</v>
      </c>
      <c r="I8" s="27" t="s">
        <v>31</v>
      </c>
      <c r="J8" s="27" t="str">
        <f>_xlfn.CONCAT(Table3[[#This Row],[key]],"-",Table3[[#This Row],[Length]])</f>
        <v>12.7-0-1.6-ERW 1-PE-6</v>
      </c>
      <c r="K8" s="27" t="s">
        <v>29</v>
      </c>
      <c r="L8" s="27" t="s">
        <v>30</v>
      </c>
      <c r="M8" s="27"/>
      <c r="N8" s="27">
        <v>899</v>
      </c>
      <c r="O8" s="28"/>
      <c r="P8" s="27">
        <v>1931154</v>
      </c>
      <c r="Q8" s="27"/>
      <c r="R8" s="27">
        <f>VLOOKUP(Table3[[#This Row],[length key]],Table2[[#All],[length key]:[Total schedule]],4,0)</f>
        <v>0</v>
      </c>
      <c r="S8" s="27">
        <f t="shared" si="0"/>
        <v>2362.50856656</v>
      </c>
      <c r="T8" s="27"/>
      <c r="U8" s="27"/>
      <c r="V8" s="27" t="e">
        <f>ROUND((S8+Table3[[#This Row],[In Transit]])/R8*30,0)</f>
        <v>#DIV/0!</v>
      </c>
      <c r="W8" s="27"/>
      <c r="X8" s="28"/>
      <c r="Y8" s="27"/>
      <c r="Z8" s="27"/>
      <c r="AA8" s="29" t="e">
        <f>IF((45-Table3[[#This Row],[Coverage post order]])&gt;0,Table3[[#This Row],[Schedule]]*1.5,0)</f>
        <v>#DIV/0!</v>
      </c>
      <c r="AB8" s="27" t="e">
        <f>ROUND((Table3[[#This Row],[Stock]]+Table3[[#This Row],[056 Order]]+Table3[[#This Row],[0789 Order]]+Table3[[#This Row],[0788 Order]]+Table3[[#This Row],[In Transit]])/Table3[[#This Row],[Schedule]]*30,0)</f>
        <v>#DIV/0!</v>
      </c>
      <c r="AC8" s="27"/>
    </row>
    <row r="9" spans="1:29" ht="20.25" customHeight="1" x14ac:dyDescent="0.25">
      <c r="A9" s="27">
        <v>6</v>
      </c>
      <c r="B9" s="27"/>
      <c r="C9" s="27"/>
      <c r="D9" s="27">
        <v>12.7</v>
      </c>
      <c r="E9" s="27">
        <v>0</v>
      </c>
      <c r="F9" s="27">
        <v>2</v>
      </c>
      <c r="G9" s="27">
        <v>6</v>
      </c>
      <c r="H9" s="27">
        <v>3.1669999999999998</v>
      </c>
      <c r="I9" s="27" t="str">
        <f>_xlfn.CONCAT("Megh-",D9,"-",E9,"-",F9,"-",G9)</f>
        <v>Megh-12.7-0-2-6</v>
      </c>
      <c r="J9" s="27" t="str">
        <f>_xlfn.CONCAT(Table3[[#This Row],[key]])</f>
        <v>Megh-12.7-0-2-6</v>
      </c>
      <c r="K9" s="27" t="s">
        <v>29</v>
      </c>
      <c r="L9" s="27" t="s">
        <v>30</v>
      </c>
      <c r="M9" s="27"/>
      <c r="N9" s="27">
        <v>0</v>
      </c>
      <c r="O9" s="28"/>
      <c r="P9" s="27"/>
      <c r="Q9" s="27"/>
      <c r="R9" s="27">
        <f>VLOOKUP(Table3[[#This Row],[length key]],Table2[[#All],[length key]:[Total schedule]],4,0)</f>
        <v>2000</v>
      </c>
      <c r="S9" s="27">
        <f t="shared" si="0"/>
        <v>0</v>
      </c>
      <c r="T9" s="27"/>
      <c r="U9" s="27"/>
      <c r="V9" s="27">
        <f>ROUND((S9+Table3[[#This Row],[In Transit]])/R9*30,0)</f>
        <v>0</v>
      </c>
      <c r="W9" s="27"/>
      <c r="X9" s="27"/>
      <c r="Y9" s="27"/>
      <c r="Z9" s="27"/>
      <c r="AA9" s="29">
        <f>IF((45-Table3[[#This Row],[Coverage post order]])&gt;0,Table3[[#This Row],[Schedule]]*1.5,0)</f>
        <v>3000</v>
      </c>
      <c r="AB9" s="27">
        <f>ROUND((Table3[[#This Row],[Stock]]+Table3[[#This Row],[056 Order]]+Table3[[#This Row],[0789 Order]]+Table3[[#This Row],[0788 Order]]+Table3[[#This Row],[In Transit]])/Table3[[#This Row],[Schedule]]*30,0)</f>
        <v>0</v>
      </c>
      <c r="AC9" s="56" t="s">
        <v>108</v>
      </c>
    </row>
    <row r="10" spans="1:29" ht="20.25" customHeight="1" x14ac:dyDescent="0.25">
      <c r="A10" s="27"/>
      <c r="B10" s="27"/>
      <c r="C10" s="19"/>
      <c r="D10" s="19">
        <v>14</v>
      </c>
      <c r="E10" s="27">
        <v>0</v>
      </c>
      <c r="F10" s="19">
        <v>2.4500000000000002</v>
      </c>
      <c r="G10" s="19">
        <v>5</v>
      </c>
      <c r="H10" s="19"/>
      <c r="I10" s="19" t="s">
        <v>109</v>
      </c>
      <c r="J10" s="19" t="str">
        <f>_xlfn.CONCAT(Table3[[#This Row],[key]],"-",Table3[[#This Row],[Length]])</f>
        <v>14-0-2.45-CEW-CEW-5</v>
      </c>
      <c r="K10" s="19"/>
      <c r="L10" s="19"/>
      <c r="M10" s="19"/>
      <c r="N10" s="19">
        <v>0</v>
      </c>
      <c r="O10" s="31"/>
      <c r="P10" s="32"/>
      <c r="Q10" s="32"/>
      <c r="R10" s="27">
        <f>VLOOKUP(Table3[[#This Row],[length key]],Table2[[#All],[length key]:[Total schedule]],4,0)</f>
        <v>0</v>
      </c>
      <c r="S10" s="19">
        <f t="shared" si="0"/>
        <v>0</v>
      </c>
      <c r="T10" s="19"/>
      <c r="U10" s="19"/>
      <c r="V10" s="27" t="e">
        <f>ROUND((S10+Table3[[#This Row],[In Transit]])/R10*30,0)</f>
        <v>#DIV/0!</v>
      </c>
      <c r="W10" s="32"/>
      <c r="X10" s="32"/>
      <c r="Y10" s="32"/>
      <c r="Z10" s="32"/>
      <c r="AA10" s="33" t="e">
        <f>IF((45-Table3[[#This Row],[Coverage post order]])&gt;0,Table3[[#This Row],[Schedule]]*1.5,0)</f>
        <v>#DIV/0!</v>
      </c>
      <c r="AB10" s="32" t="e">
        <f>ROUND((Table3[[#This Row],[Stock]]+Table3[[#This Row],[056 Order]]+Table3[[#This Row],[0789 Order]]+Table3[[#This Row],[0788 Order]]+Table3[[#This Row],[In Transit]])/Table3[[#This Row],[Schedule]]*30,0)</f>
        <v>#DIV/0!</v>
      </c>
      <c r="AC10" s="27"/>
    </row>
    <row r="11" spans="1:29" ht="20.25" customHeight="1" x14ac:dyDescent="0.25">
      <c r="A11" s="27">
        <v>7</v>
      </c>
      <c r="B11" s="27"/>
      <c r="C11" s="27"/>
      <c r="D11" s="27">
        <v>15.88</v>
      </c>
      <c r="E11" s="27">
        <v>0</v>
      </c>
      <c r="F11" s="27">
        <v>1</v>
      </c>
      <c r="G11" s="27">
        <v>6.19</v>
      </c>
      <c r="H11" s="27">
        <v>2.2719999999999998</v>
      </c>
      <c r="I11" s="27" t="s">
        <v>32</v>
      </c>
      <c r="J11" s="27" t="str">
        <f>_xlfn.CONCAT(Table3[[#This Row],[key]],"-",Table3[[#This Row],[Length]])</f>
        <v>15.88-0-1-ERW 1-PE-6.19</v>
      </c>
      <c r="K11" s="27" t="s">
        <v>29</v>
      </c>
      <c r="L11" s="27" t="s">
        <v>30</v>
      </c>
      <c r="M11" s="27"/>
      <c r="N11" s="27">
        <v>0</v>
      </c>
      <c r="O11" s="28"/>
      <c r="P11" s="27">
        <v>1940054</v>
      </c>
      <c r="Q11" s="27"/>
      <c r="R11" s="27">
        <f>VLOOKUP(Table3[[#This Row],[length key]],Table2[[#All],[length key]:[Total schedule]],4,0)</f>
        <v>0</v>
      </c>
      <c r="S11" s="27">
        <f t="shared" si="0"/>
        <v>0</v>
      </c>
      <c r="T11" s="27"/>
      <c r="U11" s="27"/>
      <c r="V11" s="27" t="e">
        <f>ROUND((S11+Table3[[#This Row],[In Transit]])/R11*30,0)</f>
        <v>#DIV/0!</v>
      </c>
      <c r="W11" s="27"/>
      <c r="X11" s="27"/>
      <c r="Y11" s="27"/>
      <c r="Z11" s="27"/>
      <c r="AA11" s="29" t="e">
        <f>IF((45-Table3[[#This Row],[Coverage post order]])&gt;0,Table3[[#This Row],[Schedule]]*1.5,0)</f>
        <v>#DIV/0!</v>
      </c>
      <c r="AB11" s="27" t="e">
        <f>ROUND((Table3[[#This Row],[Stock]]+Table3[[#This Row],[056 Order]]+Table3[[#This Row],[0789 Order]]+Table3[[#This Row],[0788 Order]]+Table3[[#This Row],[In Transit]])/Table3[[#This Row],[Schedule]]*30,0)</f>
        <v>#DIV/0!</v>
      </c>
      <c r="AC11" s="27"/>
    </row>
    <row r="12" spans="1:29" ht="20.25" customHeight="1" x14ac:dyDescent="0.25">
      <c r="A12" s="27">
        <v>8</v>
      </c>
      <c r="B12" s="27"/>
      <c r="C12" s="27">
        <v>943210</v>
      </c>
      <c r="D12" s="27">
        <v>15.88</v>
      </c>
      <c r="E12" s="27">
        <v>0</v>
      </c>
      <c r="F12" s="27">
        <v>1.2</v>
      </c>
      <c r="G12" s="27">
        <v>6</v>
      </c>
      <c r="H12" s="27">
        <v>2.6070000000000002</v>
      </c>
      <c r="I12" s="27" t="s">
        <v>33</v>
      </c>
      <c r="J12" s="27" t="str">
        <f>_xlfn.CONCAT(Table3[[#This Row],[key]],"-",Table3[[#This Row],[Length]])</f>
        <v>15.88-0-1.2-ERW 1-PE-6</v>
      </c>
      <c r="K12" s="27" t="s">
        <v>29</v>
      </c>
      <c r="L12" s="27" t="s">
        <v>30</v>
      </c>
      <c r="M12" s="27"/>
      <c r="N12" s="27">
        <v>3112</v>
      </c>
      <c r="O12" s="28"/>
      <c r="P12" s="27">
        <v>1940054</v>
      </c>
      <c r="Q12" s="27"/>
      <c r="R12" s="27">
        <f>VLOOKUP(Table3[[#This Row],[length key]],Table2[[#All],[length key]:[Total schedule]],4,0)</f>
        <v>5000</v>
      </c>
      <c r="S12" s="27">
        <f t="shared" si="0"/>
        <v>8111.8073652479998</v>
      </c>
      <c r="T12" s="27"/>
      <c r="U12" s="27"/>
      <c r="V12" s="27">
        <f>ROUND((S12+Table3[[#This Row],[In Transit]])/R12*30,0)</f>
        <v>49</v>
      </c>
      <c r="W12" s="27"/>
      <c r="X12" s="27">
        <v>7500</v>
      </c>
      <c r="Y12" s="27"/>
      <c r="Z12" s="27"/>
      <c r="AA12" s="29">
        <f>IF((45-Table3[[#This Row],[Coverage post order]])&gt;0,Table3[[#This Row],[Schedule]]*1.5,0)</f>
        <v>0</v>
      </c>
      <c r="AB12" s="27">
        <f>ROUND((Table3[[#This Row],[Stock]]+Table3[[#This Row],[056 Order]]+Table3[[#This Row],[0789 Order]]+Table3[[#This Row],[0788 Order]]+Table3[[#This Row],[In Transit]])/Table3[[#This Row],[Schedule]]*30,0)</f>
        <v>94</v>
      </c>
      <c r="AC12" s="56" t="s">
        <v>94</v>
      </c>
    </row>
    <row r="13" spans="1:29" ht="20.25" customHeight="1" x14ac:dyDescent="0.25">
      <c r="A13" s="27">
        <v>9</v>
      </c>
      <c r="B13" s="27"/>
      <c r="C13" s="27"/>
      <c r="D13" s="27">
        <v>15.88</v>
      </c>
      <c r="E13" s="27">
        <v>0</v>
      </c>
      <c r="F13" s="27">
        <v>1.4</v>
      </c>
      <c r="G13" s="27">
        <v>6</v>
      </c>
      <c r="H13" s="27">
        <v>2.6070000000000002</v>
      </c>
      <c r="I13" s="27" t="str">
        <f>_xlfn.CONCAT("Megh-",D13,"-",E13,"-",F13,"-",G13)</f>
        <v>Megh-15.88-0-1.4-6</v>
      </c>
      <c r="J13" s="27" t="str">
        <f>_xlfn.CONCAT(Table3[[#This Row],[key]])</f>
        <v>Megh-15.88-0-1.4-6</v>
      </c>
      <c r="K13" s="27" t="s">
        <v>29</v>
      </c>
      <c r="L13" s="27" t="s">
        <v>30</v>
      </c>
      <c r="M13" s="27"/>
      <c r="N13" s="27">
        <v>2456</v>
      </c>
      <c r="O13" s="28"/>
      <c r="P13" s="27"/>
      <c r="Q13" s="27"/>
      <c r="R13" s="27">
        <f>VLOOKUP(Table3[[#This Row],[length key]],Table2[[#All],[length key]:[Total schedule]],4,0)</f>
        <v>0</v>
      </c>
      <c r="S13" s="27">
        <f t="shared" si="0"/>
        <v>7367.0853070079993</v>
      </c>
      <c r="T13" s="27"/>
      <c r="U13" s="27"/>
      <c r="V13" s="27" t="e">
        <f>ROUND((S13+Table3[[#This Row],[In Transit]])/R13*30,0)</f>
        <v>#DIV/0!</v>
      </c>
      <c r="W13" s="27"/>
      <c r="X13" s="27"/>
      <c r="Y13" s="27"/>
      <c r="Z13" s="27"/>
      <c r="AA13" s="29" t="e">
        <f>IF((45-Table3[[#This Row],[Coverage post order]])&gt;0,Table3[[#This Row],[Schedule]]*1.5,0)</f>
        <v>#DIV/0!</v>
      </c>
      <c r="AB13" s="27" t="e">
        <f>ROUND((Table3[[#This Row],[Stock]]+Table3[[#This Row],[056 Order]]+Table3[[#This Row],[0789 Order]]+Table3[[#This Row],[0788 Order]]+Table3[[#This Row],[In Transit]])/Table3[[#This Row],[Schedule]]*30,0)</f>
        <v>#DIV/0!</v>
      </c>
      <c r="AC13" s="27"/>
    </row>
    <row r="14" spans="1:29" ht="20.25" customHeight="1" x14ac:dyDescent="0.25">
      <c r="A14" s="27">
        <v>10</v>
      </c>
      <c r="B14" s="27"/>
      <c r="C14" s="27"/>
      <c r="D14" s="27">
        <v>15.88</v>
      </c>
      <c r="E14" s="27">
        <v>0</v>
      </c>
      <c r="F14" s="27">
        <v>1.6</v>
      </c>
      <c r="G14" s="27">
        <v>6</v>
      </c>
      <c r="H14" s="27">
        <v>3.3809999999999998</v>
      </c>
      <c r="I14" s="27" t="s">
        <v>34</v>
      </c>
      <c r="J14" s="27" t="str">
        <f>_xlfn.CONCAT(Table3[[#This Row],[key]],"-",Table3[[#This Row],[Length]])</f>
        <v>15.88-0-1.6-ERW 1-PE-6</v>
      </c>
      <c r="K14" s="27" t="s">
        <v>29</v>
      </c>
      <c r="L14" s="27" t="s">
        <v>30</v>
      </c>
      <c r="M14" s="27"/>
      <c r="N14" s="27">
        <v>3154</v>
      </c>
      <c r="O14" s="28"/>
      <c r="P14" s="27">
        <v>1900224</v>
      </c>
      <c r="Q14" s="27"/>
      <c r="R14" s="27">
        <f>VLOOKUP(Table3[[#This Row],[length key]],Table2[[#All],[length key]:[Total schedule]],4,0)</f>
        <v>1000</v>
      </c>
      <c r="S14" s="27">
        <f t="shared" si="0"/>
        <v>10663.029675648</v>
      </c>
      <c r="T14" s="27"/>
      <c r="U14" s="27"/>
      <c r="V14" s="27">
        <f>ROUND((S14+Table3[[#This Row],[In Transit]])/R14*30,0)</f>
        <v>320</v>
      </c>
      <c r="W14" s="27"/>
      <c r="X14" s="27"/>
      <c r="Y14" s="27"/>
      <c r="Z14" s="27"/>
      <c r="AA14" s="29">
        <f>IF((45-Table3[[#This Row],[Coverage post order]])&gt;0,Table3[[#This Row],[Schedule]]*1.5,0)</f>
        <v>0</v>
      </c>
      <c r="AB14" s="27">
        <f>ROUND((Table3[[#This Row],[Stock]]+Table3[[#This Row],[056 Order]]+Table3[[#This Row],[0789 Order]]+Table3[[#This Row],[0788 Order]]+Table3[[#This Row],[In Transit]])/Table3[[#This Row],[Schedule]]*30,0)</f>
        <v>320</v>
      </c>
      <c r="AC14" s="27"/>
    </row>
    <row r="15" spans="1:29" ht="20.25" customHeight="1" x14ac:dyDescent="0.25">
      <c r="A15" s="27">
        <v>11</v>
      </c>
      <c r="B15" s="27"/>
      <c r="C15" s="27">
        <v>943209</v>
      </c>
      <c r="D15" s="27">
        <v>15.88</v>
      </c>
      <c r="E15" s="27">
        <v>0</v>
      </c>
      <c r="F15" s="27">
        <v>2</v>
      </c>
      <c r="G15" s="27">
        <v>6</v>
      </c>
      <c r="H15" s="27">
        <v>4.1079999999999997</v>
      </c>
      <c r="I15" s="27" t="s">
        <v>35</v>
      </c>
      <c r="J15" s="27" t="str">
        <f>_xlfn.CONCAT(Table3[[#This Row],[key]],"-",Table3[[#This Row],[Length]])</f>
        <v>15.88-0-2-ERW 1-PE-6</v>
      </c>
      <c r="K15" s="27" t="s">
        <v>29</v>
      </c>
      <c r="L15" s="27" t="s">
        <v>30</v>
      </c>
      <c r="M15" s="27"/>
      <c r="N15" s="27">
        <v>0</v>
      </c>
      <c r="O15" s="28"/>
      <c r="P15" s="27">
        <v>1940120</v>
      </c>
      <c r="Q15" s="27"/>
      <c r="R15" s="27">
        <f>VLOOKUP(Table3[[#This Row],[length key]],Table2[[#All],[length key]:[Total schedule]],4,0)</f>
        <v>3000</v>
      </c>
      <c r="S15" s="27">
        <f t="shared" si="0"/>
        <v>0</v>
      </c>
      <c r="T15" s="27"/>
      <c r="U15" s="27"/>
      <c r="V15" s="27">
        <f>ROUND((S15+Table3[[#This Row],[In Transit]])/R15*30,0)</f>
        <v>0</v>
      </c>
      <c r="W15" s="27"/>
      <c r="X15" s="27">
        <v>4500</v>
      </c>
      <c r="Y15" s="27"/>
      <c r="Z15" s="27"/>
      <c r="AA15" s="29">
        <f>IF((45-Table3[[#This Row],[Coverage post order]])&gt;0,Table3[[#This Row],[Schedule]]*1.5,0)</f>
        <v>0</v>
      </c>
      <c r="AB15" s="27">
        <f>ROUND((Table3[[#This Row],[Stock]]+Table3[[#This Row],[056 Order]]+Table3[[#This Row],[0789 Order]]+Table3[[#This Row],[0788 Order]]+Table3[[#This Row],[In Transit]])/Table3[[#This Row],[Schedule]]*30,0)</f>
        <v>45</v>
      </c>
      <c r="AC15" s="56" t="s">
        <v>94</v>
      </c>
    </row>
    <row r="16" spans="1:29" ht="20.25" customHeight="1" x14ac:dyDescent="0.25">
      <c r="A16" s="34">
        <v>12</v>
      </c>
      <c r="B16" s="34"/>
      <c r="C16" s="19"/>
      <c r="D16" s="19">
        <v>16.8</v>
      </c>
      <c r="E16" s="27">
        <v>0</v>
      </c>
      <c r="F16" s="19">
        <v>2.4</v>
      </c>
      <c r="G16" s="19">
        <v>4.4000000000000004</v>
      </c>
      <c r="H16" s="19">
        <v>3.75</v>
      </c>
      <c r="I16" s="19" t="s">
        <v>36</v>
      </c>
      <c r="J16" s="19" t="str">
        <f>_xlfn.CONCAT(Table3[[#This Row],[key]],"-",Table3[[#This Row],[Length]])</f>
        <v>16.1-10.4-2.7-CEW-CEW-4.4</v>
      </c>
      <c r="K16" s="19" t="s">
        <v>29</v>
      </c>
      <c r="L16" s="19" t="s">
        <v>30</v>
      </c>
      <c r="M16" s="19"/>
      <c r="N16" s="19">
        <v>0</v>
      </c>
      <c r="O16" s="31"/>
      <c r="P16" s="32"/>
      <c r="Q16" s="32"/>
      <c r="R16" s="27">
        <f>VLOOKUP(Table3[[#This Row],[length key]],Table2[[#All],[length key]:[Total schedule]],4,0)</f>
        <v>0</v>
      </c>
      <c r="S16" s="19">
        <f t="shared" si="0"/>
        <v>0</v>
      </c>
      <c r="T16" s="19"/>
      <c r="U16" s="19"/>
      <c r="V16" s="34" t="e">
        <f>ROUND((S16+Table3[[#This Row],[In Transit]])/R16*30,0)</f>
        <v>#DIV/0!</v>
      </c>
      <c r="W16" s="32"/>
      <c r="X16" s="32"/>
      <c r="Y16" s="32"/>
      <c r="Z16" s="32"/>
      <c r="AA16" s="33" t="e">
        <f>IF((45-Table3[[#This Row],[Coverage post order]])&gt;0,Table3[[#This Row],[Schedule]]*1.5,0)</f>
        <v>#DIV/0!</v>
      </c>
      <c r="AB16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16" s="34"/>
    </row>
    <row r="17" spans="1:29" ht="20.25" customHeight="1" x14ac:dyDescent="0.25">
      <c r="A17" s="27">
        <v>13</v>
      </c>
      <c r="B17" s="27"/>
      <c r="C17" s="27"/>
      <c r="D17" s="27">
        <v>18.2</v>
      </c>
      <c r="E17" s="27">
        <v>0</v>
      </c>
      <c r="F17" s="27">
        <v>1</v>
      </c>
      <c r="G17" s="27">
        <v>6.1449999999999996</v>
      </c>
      <c r="H17" s="27">
        <v>2.6070000000000002</v>
      </c>
      <c r="I17" s="27" t="s">
        <v>37</v>
      </c>
      <c r="J17" s="27" t="str">
        <f>_xlfn.CONCAT(Table3[[#This Row],[key]],"-",Table3[[#This Row],[Length]])</f>
        <v>18.2-0-1-ERW 1-PE-6.145</v>
      </c>
      <c r="K17" s="27" t="s">
        <v>29</v>
      </c>
      <c r="L17" s="27" t="s">
        <v>30</v>
      </c>
      <c r="M17" s="27"/>
      <c r="N17" s="27">
        <v>1880</v>
      </c>
      <c r="O17" s="28"/>
      <c r="P17" s="27">
        <v>2288945</v>
      </c>
      <c r="Q17" s="27"/>
      <c r="R17" s="27">
        <f>VLOOKUP(Table3[[#This Row],[length key]],Table2[[#All],[length key]:[Total schedule]],4,0)</f>
        <v>5000</v>
      </c>
      <c r="S17" s="27">
        <f t="shared" si="0"/>
        <v>4900.3564522799998</v>
      </c>
      <c r="T17" s="27">
        <v>0</v>
      </c>
      <c r="U17" s="27"/>
      <c r="V17" s="27">
        <f>ROUND((S17+Table3[[#This Row],[In Transit]])/R17*30,0)</f>
        <v>29</v>
      </c>
      <c r="W17" s="27"/>
      <c r="X17" s="28"/>
      <c r="Y17" s="27"/>
      <c r="Z17" s="27"/>
      <c r="AA17" s="29">
        <f>IF((45-Table3[[#This Row],[Coverage post order]])&gt;0,Table3[[#This Row],[Schedule]]*1.5,0)</f>
        <v>7500</v>
      </c>
      <c r="AB17" s="27">
        <f>ROUND((Table3[[#This Row],[Stock]]+Table3[[#This Row],[056 Order]]+Table3[[#This Row],[0789 Order]]+Table3[[#This Row],[0788 Order]]+Table3[[#This Row],[In Transit]])/Table3[[#This Row],[Schedule]]*30,0)</f>
        <v>29</v>
      </c>
      <c r="AC17" s="34" t="s">
        <v>110</v>
      </c>
    </row>
    <row r="18" spans="1:29" ht="20.25" customHeight="1" x14ac:dyDescent="0.25">
      <c r="A18" s="27">
        <v>14</v>
      </c>
      <c r="B18" s="27"/>
      <c r="C18" s="27">
        <v>943210</v>
      </c>
      <c r="D18" s="27">
        <v>19.05</v>
      </c>
      <c r="E18" s="27">
        <v>0</v>
      </c>
      <c r="F18" s="27">
        <v>1.4</v>
      </c>
      <c r="G18" s="27">
        <v>6</v>
      </c>
      <c r="H18" s="27">
        <v>3.6560000000000001</v>
      </c>
      <c r="I18" s="27" t="str">
        <f>_xlfn.CONCAT("Megh-",D18,"-",E18,"-",F18,"-",G18)</f>
        <v>Megh-19.05-0-1.4-6</v>
      </c>
      <c r="J18" s="27" t="str">
        <f>_xlfn.CONCAT(Table3[[#This Row],[key]])</f>
        <v>Megh-19.05-0-1.4-6</v>
      </c>
      <c r="K18" s="27" t="s">
        <v>38</v>
      </c>
      <c r="L18" s="27" t="s">
        <v>30</v>
      </c>
      <c r="M18" s="27"/>
      <c r="N18" s="27">
        <v>195</v>
      </c>
      <c r="O18" s="28">
        <v>3891285</v>
      </c>
      <c r="P18" s="27">
        <v>1931848</v>
      </c>
      <c r="Q18" s="27"/>
      <c r="R18" s="27">
        <f>VLOOKUP(Table3[[#This Row],[length key]],Table2[[#All],[length key]:[Total schedule]],4,0)</f>
        <v>11000</v>
      </c>
      <c r="S18" s="27">
        <f t="shared" si="0"/>
        <v>712.98122805000003</v>
      </c>
      <c r="T18" s="27">
        <v>0</v>
      </c>
      <c r="U18" s="27"/>
      <c r="V18" s="27">
        <f>ROUND((S18+Table3[[#This Row],[In Transit]])/R18*30,0)</f>
        <v>2</v>
      </c>
      <c r="W18" s="28">
        <v>10000</v>
      </c>
      <c r="X18" s="27"/>
      <c r="Y18" s="27"/>
      <c r="Z18" s="27"/>
      <c r="AA18" s="29">
        <f>IF((45-Table3[[#This Row],[Coverage post order]])&gt;0,Table3[[#This Row],[Schedule]]*1.5,0)</f>
        <v>16500</v>
      </c>
      <c r="AB18" s="27">
        <f>ROUND((Table3[[#This Row],[Stock]]+Table3[[#This Row],[056 Order]]+Table3[[#This Row],[0789 Order]]+Table3[[#This Row],[0788 Order]]+Table3[[#This Row],[In Transit]])/Table3[[#This Row],[Schedule]]*30,0)</f>
        <v>29</v>
      </c>
      <c r="AC18" s="27"/>
    </row>
    <row r="19" spans="1:29" ht="20.25" customHeight="1" x14ac:dyDescent="0.25">
      <c r="A19" s="34">
        <v>15</v>
      </c>
      <c r="B19" s="34"/>
      <c r="C19" s="19">
        <v>943209</v>
      </c>
      <c r="D19" s="19">
        <v>19.05</v>
      </c>
      <c r="E19" s="27">
        <v>0</v>
      </c>
      <c r="F19" s="19">
        <v>1.6</v>
      </c>
      <c r="G19" s="19">
        <v>6</v>
      </c>
      <c r="H19" s="19">
        <v>4.0620000000000003</v>
      </c>
      <c r="I19" s="19" t="s">
        <v>39</v>
      </c>
      <c r="J19" s="19" t="str">
        <f>_xlfn.CONCAT(Table3[[#This Row],[key]],"-",Table3[[#This Row],[Length]])</f>
        <v>19.05-0-1.6-ERW 1-PE-6</v>
      </c>
      <c r="K19" s="19" t="s">
        <v>29</v>
      </c>
      <c r="L19" s="19" t="s">
        <v>30</v>
      </c>
      <c r="M19" s="19"/>
      <c r="N19" s="19">
        <v>1964</v>
      </c>
      <c r="O19" s="31">
        <v>3498997</v>
      </c>
      <c r="P19" s="32">
        <v>2405716</v>
      </c>
      <c r="Q19" s="32"/>
      <c r="R19" s="19">
        <f>VLOOKUP(Table3[[#This Row],[length key]],Table2[[#All],[length key]:[Total schedule]],4,0)</f>
        <v>25000</v>
      </c>
      <c r="S19" s="19">
        <f t="shared" si="0"/>
        <v>8113.86235872</v>
      </c>
      <c r="T19" s="19">
        <v>0</v>
      </c>
      <c r="U19" s="19"/>
      <c r="V19" s="27">
        <f>ROUND((S19+Table3[[#This Row],[In Transit]])/R19*30,0)</f>
        <v>10</v>
      </c>
      <c r="W19" s="31">
        <v>11800</v>
      </c>
      <c r="X19" s="32"/>
      <c r="Y19" s="32"/>
      <c r="Z19" s="32"/>
      <c r="AA19" s="33">
        <f>IF((45-Table3[[#This Row],[Coverage post order]])&gt;0,Table3[[#This Row],[Schedule]]*1.5,0)</f>
        <v>37500</v>
      </c>
      <c r="AB19" s="34">
        <f>ROUND((Table3[[#This Row],[Stock]]+Table3[[#This Row],[056 Order]]+Table3[[#This Row],[0789 Order]]+Table3[[#This Row],[0788 Order]]+Table3[[#This Row],[In Transit]])/Table3[[#This Row],[Schedule]]*30,0)</f>
        <v>24</v>
      </c>
      <c r="AC19" s="34"/>
    </row>
    <row r="20" spans="1:29" ht="20.25" customHeight="1" x14ac:dyDescent="0.25">
      <c r="A20" s="34">
        <v>16</v>
      </c>
      <c r="B20" s="34"/>
      <c r="C20" s="19"/>
      <c r="D20" s="19">
        <v>19.05</v>
      </c>
      <c r="E20" s="27">
        <v>0</v>
      </c>
      <c r="F20" s="19">
        <v>1.6</v>
      </c>
      <c r="G20" s="19">
        <v>6.2</v>
      </c>
      <c r="H20" s="19">
        <v>4.1310000000000002</v>
      </c>
      <c r="I20" s="19" t="s">
        <v>39</v>
      </c>
      <c r="J20" s="19" t="str">
        <f>_xlfn.CONCAT(Table3[[#This Row],[key]],"-",Table3[[#This Row],[Length]])</f>
        <v>19.05-0-1.6-ERW 1-PE-6.2</v>
      </c>
      <c r="K20" s="19" t="s">
        <v>29</v>
      </c>
      <c r="L20" s="19" t="s">
        <v>30</v>
      </c>
      <c r="M20" s="19"/>
      <c r="N20" s="19">
        <v>0</v>
      </c>
      <c r="O20" s="31"/>
      <c r="P20" s="32"/>
      <c r="Q20" s="32"/>
      <c r="R20" s="27">
        <f>VLOOKUP(Table3[[#This Row],[length key]],Table2[[#All],[length key]:[Total schedule]],4,0)</f>
        <v>0</v>
      </c>
      <c r="S20" s="19">
        <f t="shared" si="0"/>
        <v>0</v>
      </c>
      <c r="T20" s="19"/>
      <c r="U20" s="19"/>
      <c r="V20" s="34" t="e">
        <f>ROUND((S20+Table3[[#This Row],[In Transit]])/R20*30,0)</f>
        <v>#DIV/0!</v>
      </c>
      <c r="W20" s="32"/>
      <c r="X20" s="32"/>
      <c r="Y20" s="32"/>
      <c r="Z20" s="32"/>
      <c r="AA20" s="33" t="e">
        <f>IF((45-Table3[[#This Row],[Coverage post order]])&gt;0,Table3[[#This Row],[Schedule]]*1.5,0)</f>
        <v>#DIV/0!</v>
      </c>
      <c r="AB20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20" s="34"/>
    </row>
    <row r="21" spans="1:29" ht="20.25" customHeight="1" x14ac:dyDescent="0.25">
      <c r="A21" s="27">
        <v>17</v>
      </c>
      <c r="B21" s="27"/>
      <c r="C21" s="27">
        <v>943209</v>
      </c>
      <c r="D21" s="27">
        <v>19.05</v>
      </c>
      <c r="E21" s="27">
        <v>0</v>
      </c>
      <c r="F21" s="27">
        <v>2</v>
      </c>
      <c r="G21" s="27">
        <v>5.8</v>
      </c>
      <c r="H21" s="27">
        <v>4.8780000000000001</v>
      </c>
      <c r="I21" s="27" t="s">
        <v>40</v>
      </c>
      <c r="J21" s="27" t="str">
        <f>_xlfn.CONCAT(Table3[[#This Row],[key]],"-",Table3[[#This Row],[Length]])</f>
        <v>19.05-0-2-ERW 1-PE-5.8</v>
      </c>
      <c r="K21" s="27" t="s">
        <v>29</v>
      </c>
      <c r="L21" s="27" t="s">
        <v>30</v>
      </c>
      <c r="M21" s="27"/>
      <c r="N21" s="27">
        <v>5577</v>
      </c>
      <c r="O21" s="28"/>
      <c r="P21" s="27">
        <v>1940292</v>
      </c>
      <c r="Q21" s="27"/>
      <c r="R21" s="27">
        <f>VLOOKUP(Table3[[#This Row],[length key]],Table2[[#All],[length key]:[Total schedule]],4,0)</f>
        <v>48000</v>
      </c>
      <c r="S21" s="27">
        <f t="shared" si="0"/>
        <v>27202.10454819</v>
      </c>
      <c r="T21" s="27"/>
      <c r="U21" s="27"/>
      <c r="V21" s="27">
        <f>ROUND((S21+Table3[[#This Row],[In Transit]])/R21*30,0)</f>
        <v>17</v>
      </c>
      <c r="W21" s="27"/>
      <c r="X21" s="35">
        <v>25500</v>
      </c>
      <c r="Y21" s="27"/>
      <c r="Z21" s="27"/>
      <c r="AA21" s="29">
        <f>IF((45-Table3[[#This Row],[Coverage post order]])&gt;0,Table3[[#This Row],[Schedule]]*1.5,0)</f>
        <v>72000</v>
      </c>
      <c r="AB21" s="27">
        <f>ROUND((Table3[[#This Row],[Stock]]+Table3[[#This Row],[056 Order]]+Table3[[#This Row],[0789 Order]]+Table3[[#This Row],[0788 Order]]+Table3[[#This Row],[In Transit]])/Table3[[#This Row],[Schedule]]*30,0)</f>
        <v>33</v>
      </c>
      <c r="AC21" s="56" t="s">
        <v>94</v>
      </c>
    </row>
    <row r="22" spans="1:29" ht="20.25" customHeight="1" x14ac:dyDescent="0.25">
      <c r="A22" s="34">
        <v>18</v>
      </c>
      <c r="B22" s="34"/>
      <c r="C22" s="19">
        <v>943209</v>
      </c>
      <c r="D22" s="19">
        <v>19.05</v>
      </c>
      <c r="E22" s="27">
        <v>0</v>
      </c>
      <c r="F22" s="19">
        <v>2</v>
      </c>
      <c r="G22" s="19">
        <v>6.2</v>
      </c>
      <c r="H22" s="19">
        <v>4.9119999999999999</v>
      </c>
      <c r="I22" s="19" t="s">
        <v>40</v>
      </c>
      <c r="J22" s="19" t="str">
        <f>_xlfn.CONCAT(Table3[[#This Row],[key]],"-",Table3[[#This Row],[Length]])</f>
        <v>19.05-0-2-ERW 1-PE-6.2</v>
      </c>
      <c r="K22" s="19" t="s">
        <v>29</v>
      </c>
      <c r="L22" s="19" t="s">
        <v>30</v>
      </c>
      <c r="M22" s="19"/>
      <c r="N22" s="19">
        <v>139</v>
      </c>
      <c r="O22" s="31">
        <v>3673888</v>
      </c>
      <c r="P22" s="32"/>
      <c r="Q22" s="32"/>
      <c r="R22" s="27">
        <f>_xlfn.IFNA(VLOOKUP(Table3[[#This Row],[length key]],Table2[[#All],[length key]:[Total schedule]],4,0),0)</f>
        <v>0</v>
      </c>
      <c r="S22" s="19">
        <f t="shared" si="0"/>
        <v>724.73687187000007</v>
      </c>
      <c r="T22" s="19">
        <v>0</v>
      </c>
      <c r="U22" s="19"/>
      <c r="V22" s="27" t="e">
        <f>ROUND((S22+Table3[[#This Row],[In Transit]])/R22*30,0)</f>
        <v>#DIV/0!</v>
      </c>
      <c r="W22" s="31">
        <v>72000</v>
      </c>
      <c r="X22" s="32"/>
      <c r="Y22" s="32"/>
      <c r="Z22" s="32"/>
      <c r="AA22" s="33" t="e">
        <f>IF((45-Table3[[#This Row],[Coverage post order]])&gt;0,Table3[[#This Row],[Schedule]]*1.5,0)</f>
        <v>#DIV/0!</v>
      </c>
      <c r="AB22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22" s="40" t="s">
        <v>93</v>
      </c>
    </row>
    <row r="23" spans="1:29" ht="20.25" customHeight="1" x14ac:dyDescent="0.25">
      <c r="A23" s="34"/>
      <c r="B23" s="34"/>
      <c r="C23" s="19"/>
      <c r="D23" s="19">
        <v>19.05</v>
      </c>
      <c r="E23" s="27">
        <v>0</v>
      </c>
      <c r="F23" s="19">
        <v>2</v>
      </c>
      <c r="G23" s="19">
        <v>5.9550000000000001</v>
      </c>
      <c r="H23" s="19"/>
      <c r="I23" s="19" t="s">
        <v>40</v>
      </c>
      <c r="J23" s="19" t="str">
        <f>_xlfn.CONCAT(Table3[[#This Row],[key]],"-",Table3[[#This Row],[Length]])</f>
        <v>19.05-0-2-ERW 1-PE-5.955</v>
      </c>
      <c r="K23" s="19" t="s">
        <v>29</v>
      </c>
      <c r="L23" s="19"/>
      <c r="M23" s="19"/>
      <c r="N23" s="19">
        <v>0</v>
      </c>
      <c r="O23" s="31"/>
      <c r="P23" s="32"/>
      <c r="Q23" s="32"/>
      <c r="R23" s="27">
        <f>_xlfn.IFNA(VLOOKUP(Table3[[#This Row],[length key]],Table2[[#All],[length key]:[Total schedule]],4,0),0)</f>
        <v>0</v>
      </c>
      <c r="S23" s="19">
        <f>((D23-F23)*F23*0.0246615*G23*N23)</f>
        <v>0</v>
      </c>
      <c r="T23" s="19"/>
      <c r="U23" s="19"/>
      <c r="V23" s="27" t="e">
        <f>ROUND((S23+Table3[[#This Row],[In Transit]])/R23*30,0)</f>
        <v>#DIV/0!</v>
      </c>
      <c r="W23" s="31"/>
      <c r="X23" s="32"/>
      <c r="Y23" s="32"/>
      <c r="Z23" s="32"/>
      <c r="AA23" s="33" t="e">
        <f>IF((45-Table3[[#This Row],[Coverage post order]])&gt;0,Table3[[#This Row],[Schedule]]*1.5,0)</f>
        <v>#DIV/0!</v>
      </c>
      <c r="AB23" s="32" t="e">
        <f>ROUND((Table3[[#This Row],[Stock]]+Table3[[#This Row],[056 Order]]+Table3[[#This Row],[0789 Order]]+Table3[[#This Row],[0788 Order]])/Table3[[#This Row],[Schedule]]*30,0)</f>
        <v>#DIV/0!</v>
      </c>
      <c r="AC23" s="40"/>
    </row>
    <row r="24" spans="1:29" ht="20.25" customHeight="1" x14ac:dyDescent="0.25">
      <c r="A24" s="34"/>
      <c r="B24" s="34"/>
      <c r="C24" s="19"/>
      <c r="D24" s="19">
        <v>19.05</v>
      </c>
      <c r="E24" s="27">
        <v>0</v>
      </c>
      <c r="F24" s="19">
        <v>2</v>
      </c>
      <c r="G24" s="19">
        <v>5.58</v>
      </c>
      <c r="H24" s="19"/>
      <c r="I24" s="19" t="s">
        <v>40</v>
      </c>
      <c r="J24" s="19" t="str">
        <f>_xlfn.CONCAT(Table3[[#This Row],[key]],"-",Table3[[#This Row],[Length]])</f>
        <v>19.05-0-2-ERW 1-PE-5.58</v>
      </c>
      <c r="K24" s="19" t="s">
        <v>29</v>
      </c>
      <c r="L24" s="19"/>
      <c r="M24" s="19"/>
      <c r="N24" s="19">
        <v>0</v>
      </c>
      <c r="O24" s="31"/>
      <c r="P24" s="32"/>
      <c r="Q24" s="32"/>
      <c r="R24" s="19">
        <f>_xlfn.IFNA(VLOOKUP(Table3[[#This Row],[length key]],Table2[[#All],[length key]:[Total schedule]],4,0),0)</f>
        <v>17000</v>
      </c>
      <c r="S24" s="19">
        <f>((D24-F24)*F24*0.0246615*G24*N24)</f>
        <v>0</v>
      </c>
      <c r="T24" s="19"/>
      <c r="U24" s="19"/>
      <c r="V24" s="27">
        <f>ROUND((S24+Table3[[#This Row],[In Transit]])/R24*30,0)</f>
        <v>0</v>
      </c>
      <c r="W24" s="31"/>
      <c r="X24" s="32"/>
      <c r="Y24" s="32"/>
      <c r="Z24" s="32"/>
      <c r="AA24" s="33">
        <f>IF((45-Table3[[#This Row],[Coverage post order]])&gt;0,Table3[[#This Row],[Schedule]]*1.5,0)</f>
        <v>25500</v>
      </c>
      <c r="AB24" s="32">
        <f>ROUND((Table3[[#This Row],[Stock]]+Table3[[#This Row],[056 Order]]+Table3[[#This Row],[0789 Order]]+Table3[[#This Row],[0788 Order]])/Table3[[#This Row],[Schedule]]*30,0)</f>
        <v>0</v>
      </c>
      <c r="AC24" s="40"/>
    </row>
    <row r="25" spans="1:29" ht="20.25" customHeight="1" x14ac:dyDescent="0.25">
      <c r="A25" s="34">
        <v>19</v>
      </c>
      <c r="B25" s="34"/>
      <c r="C25" s="19">
        <v>943209</v>
      </c>
      <c r="D25" s="19">
        <v>19.05</v>
      </c>
      <c r="E25" s="27">
        <v>0</v>
      </c>
      <c r="F25" s="19">
        <v>2.2999999999999998</v>
      </c>
      <c r="G25" s="19">
        <v>6</v>
      </c>
      <c r="H25" s="19">
        <v>6.6509999999999998</v>
      </c>
      <c r="I25" s="19" t="s">
        <v>41</v>
      </c>
      <c r="J25" s="19" t="str">
        <f>_xlfn.CONCAT(Table3[[#This Row],[key]],"-",Table3[[#This Row],[Length]])</f>
        <v>19.05-0-2.3-ERW 1-PE-6</v>
      </c>
      <c r="K25" s="19" t="s">
        <v>29</v>
      </c>
      <c r="L25" s="19" t="s">
        <v>30</v>
      </c>
      <c r="M25" s="19"/>
      <c r="N25" s="19">
        <v>0</v>
      </c>
      <c r="O25" s="31">
        <v>3499232</v>
      </c>
      <c r="P25" s="32"/>
      <c r="Q25" s="32"/>
      <c r="R25" s="19">
        <f>VLOOKUP(Table3[[#This Row],[length key]],Table2[[#All],[length key]:[Total schedule]],4,0)</f>
        <v>4000</v>
      </c>
      <c r="S25" s="19">
        <f t="shared" si="0"/>
        <v>0</v>
      </c>
      <c r="T25" s="19"/>
      <c r="U25" s="19"/>
      <c r="V25" s="27">
        <f>ROUND((S25+Table3[[#This Row],[In Transit]])/R25*30,0)</f>
        <v>0</v>
      </c>
      <c r="W25" s="31">
        <v>6000</v>
      </c>
      <c r="X25" s="32"/>
      <c r="Y25" s="32"/>
      <c r="Z25" s="32"/>
      <c r="AA25" s="36">
        <f>IF((45-Table3[[#This Row],[Coverage post order]])&gt;0,Table3[[#This Row],[Schedule]]*1.5,0)</f>
        <v>0</v>
      </c>
      <c r="AB25" s="34">
        <f>ROUND((Table3[[#This Row],[Stock]]+Table3[[#This Row],[056 Order]]+Table3[[#This Row],[0789 Order]]+Table3[[#This Row],[0788 Order]]+Table3[[#This Row],[In Transit]])/Table3[[#This Row],[Schedule]]*30,0)</f>
        <v>45</v>
      </c>
      <c r="AC25" s="40" t="s">
        <v>93</v>
      </c>
    </row>
    <row r="26" spans="1:29" ht="20.25" customHeight="1" x14ac:dyDescent="0.25">
      <c r="A26" s="34">
        <v>20</v>
      </c>
      <c r="B26" s="34"/>
      <c r="C26" s="19"/>
      <c r="D26" s="19">
        <v>19.05</v>
      </c>
      <c r="E26" s="27">
        <v>0</v>
      </c>
      <c r="F26" s="19">
        <v>2.2999999999999998</v>
      </c>
      <c r="G26" s="19">
        <v>6.32</v>
      </c>
      <c r="H26" s="19">
        <v>6.6509999999999998</v>
      </c>
      <c r="I26" s="19" t="s">
        <v>41</v>
      </c>
      <c r="J26" s="19" t="str">
        <f>_xlfn.CONCAT(Table3[[#This Row],[key]],"-",Table3[[#This Row],[Length]])</f>
        <v>19.05-0-2.3-ERW 1-PE-6.32</v>
      </c>
      <c r="K26" s="19" t="s">
        <v>29</v>
      </c>
      <c r="L26" s="19" t="s">
        <v>30</v>
      </c>
      <c r="M26" s="19"/>
      <c r="N26" s="19">
        <v>2870</v>
      </c>
      <c r="O26" s="31"/>
      <c r="P26" s="32"/>
      <c r="Q26" s="32"/>
      <c r="R26" s="27">
        <f>VLOOKUP(Table3[[#This Row],[length key]],Table2[[#All],[length key]:[Total schedule]],4,0)</f>
        <v>0</v>
      </c>
      <c r="S26" s="19">
        <f t="shared" si="0"/>
        <v>17233.008840390001</v>
      </c>
      <c r="T26" s="19"/>
      <c r="U26" s="19"/>
      <c r="V26" s="34" t="e">
        <f>ROUND((S26+Table3[[#This Row],[In Transit]])/R26*30,0)</f>
        <v>#DIV/0!</v>
      </c>
      <c r="W26" s="32"/>
      <c r="X26" s="32"/>
      <c r="Y26" s="32"/>
      <c r="Z26" s="32"/>
      <c r="AA26" s="33" t="e">
        <f>IF((45-Table3[[#This Row],[Coverage post order]])&gt;0,Table3[[#This Row],[Schedule]]*1.5,0)</f>
        <v>#DIV/0!</v>
      </c>
      <c r="AB26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26" s="34"/>
    </row>
    <row r="27" spans="1:29" ht="20.25" customHeight="1" x14ac:dyDescent="0.25">
      <c r="A27" s="34"/>
      <c r="B27" s="34"/>
      <c r="C27" s="19">
        <v>943209</v>
      </c>
      <c r="D27" s="19">
        <v>19.05</v>
      </c>
      <c r="E27" s="27">
        <v>0</v>
      </c>
      <c r="F27" s="19">
        <v>2.2999999999999998</v>
      </c>
      <c r="G27" s="19">
        <v>7</v>
      </c>
      <c r="H27" s="19"/>
      <c r="I27" s="19" t="s">
        <v>41</v>
      </c>
      <c r="J27" s="19" t="str">
        <f>_xlfn.CONCAT(Table3[[#This Row],[key]],"-",Table3[[#This Row],[Length]])</f>
        <v>19.05-0-2.3-ERW 1-PE-7</v>
      </c>
      <c r="K27" s="19"/>
      <c r="L27" s="19"/>
      <c r="M27" s="19"/>
      <c r="N27" s="19">
        <v>1306</v>
      </c>
      <c r="O27" s="31">
        <v>3500582</v>
      </c>
      <c r="P27" s="32"/>
      <c r="Q27" s="32"/>
      <c r="R27" s="19">
        <f>VLOOKUP(Table3[[#This Row],[length key]],Table2[[#All],[length key]:[Total schedule]],4,0)</f>
        <v>30000</v>
      </c>
      <c r="S27" s="19">
        <f t="shared" si="0"/>
        <v>8685.6705563249998</v>
      </c>
      <c r="T27" s="19">
        <v>0</v>
      </c>
      <c r="U27" s="19"/>
      <c r="V27" s="34">
        <f>ROUND((S27+Table3[[#This Row],[In Transit]])/R27*30,0)</f>
        <v>9</v>
      </c>
      <c r="W27" s="31">
        <v>45000</v>
      </c>
      <c r="X27" s="32"/>
      <c r="Y27" s="32"/>
      <c r="Z27" s="32"/>
      <c r="AA27" s="33">
        <f>IF((45-Table3[[#This Row],[Coverage post order]])&gt;0,Table3[[#This Row],[Schedule]]*1.5,0)</f>
        <v>0</v>
      </c>
      <c r="AB27" s="32">
        <f>ROUND((Table3[[#This Row],[Stock]]+Table3[[#This Row],[056 Order]]+Table3[[#This Row],[0789 Order]]+Table3[[#This Row],[0788 Order]]+Table3[[#This Row],[In Transit]])/Table3[[#This Row],[Schedule]]*30,0)</f>
        <v>54</v>
      </c>
      <c r="AC27" s="40" t="s">
        <v>93</v>
      </c>
    </row>
    <row r="28" spans="1:29" ht="20.25" customHeight="1" x14ac:dyDescent="0.25">
      <c r="A28" s="34"/>
      <c r="B28" s="34"/>
      <c r="C28" s="19"/>
      <c r="D28" s="19">
        <v>19</v>
      </c>
      <c r="E28" s="27">
        <v>0</v>
      </c>
      <c r="F28" s="19">
        <v>3.25</v>
      </c>
      <c r="G28" s="19">
        <v>6.2</v>
      </c>
      <c r="H28" s="19"/>
      <c r="I28" s="19" t="s">
        <v>111</v>
      </c>
      <c r="J28" s="19" t="str">
        <f>_xlfn.CONCAT(Table3[[#This Row],[key]],"-",Table3[[#This Row],[Length]])</f>
        <v>19-12.5-3.25-CEW-CEW-6.2</v>
      </c>
      <c r="K28" s="19"/>
      <c r="L28" s="19"/>
      <c r="M28" s="19"/>
      <c r="N28" s="19">
        <v>0</v>
      </c>
      <c r="O28" s="31"/>
      <c r="P28" s="32"/>
      <c r="Q28" s="32"/>
      <c r="R28" s="27">
        <f>VLOOKUP(Table3[[#This Row],[length key]],Table2[[#All],[length key]:[Total schedule]],4,0)</f>
        <v>0</v>
      </c>
      <c r="S28" s="19">
        <f t="shared" si="0"/>
        <v>0</v>
      </c>
      <c r="T28" s="19"/>
      <c r="U28" s="19"/>
      <c r="V28" s="34" t="e">
        <f>ROUND((S28+Table3[[#This Row],[In Transit]])/R28*30,0)</f>
        <v>#DIV/0!</v>
      </c>
      <c r="W28" s="32"/>
      <c r="X28" s="32"/>
      <c r="Y28" s="32"/>
      <c r="Z28" s="32"/>
      <c r="AA28" s="33" t="e">
        <f>IF((45-Table3[[#This Row],[Coverage post order]])&gt;0,Table3[[#This Row],[Schedule]]*1.5,0)</f>
        <v>#DIV/0!</v>
      </c>
      <c r="AB28" s="32" t="e">
        <f>ROUND((Table3[[#This Row],[Stock]]+Table3[[#This Row],[056 Order]]+Table3[[#This Row],[0789 Order]]+Table3[[#This Row],[0788 Order]])/Table3[[#This Row],[Schedule]]*30,0)</f>
        <v>#DIV/0!</v>
      </c>
      <c r="AC28" s="34"/>
    </row>
    <row r="29" spans="1:29" ht="20.25" customHeight="1" x14ac:dyDescent="0.25">
      <c r="A29" s="27">
        <v>21</v>
      </c>
      <c r="B29" s="27"/>
      <c r="C29" s="27">
        <v>943209</v>
      </c>
      <c r="D29" s="27">
        <v>21.4</v>
      </c>
      <c r="E29" s="27">
        <v>0</v>
      </c>
      <c r="F29" s="27">
        <v>1.6</v>
      </c>
      <c r="G29" s="27">
        <v>6</v>
      </c>
      <c r="H29" s="27">
        <v>4.6879999999999997</v>
      </c>
      <c r="I29" s="27" t="s">
        <v>42</v>
      </c>
      <c r="J29" s="27" t="str">
        <f>_xlfn.CONCAT(Table3[[#This Row],[key]],"-",Table3[[#This Row],[Length]])</f>
        <v>21.4-0-1.6-ERW 1-PE-6</v>
      </c>
      <c r="K29" s="27" t="s">
        <v>29</v>
      </c>
      <c r="L29" s="27" t="s">
        <v>30</v>
      </c>
      <c r="M29" s="27"/>
      <c r="N29" s="27">
        <v>0</v>
      </c>
      <c r="O29" s="28"/>
      <c r="P29" s="27">
        <v>3219710</v>
      </c>
      <c r="Q29" s="27"/>
      <c r="R29" s="27">
        <f>VLOOKUP(Table3[[#This Row],[length key]],Table2[[#All],[length key]:[Total schedule]],4,0)</f>
        <v>5000</v>
      </c>
      <c r="S29" s="27">
        <f t="shared" si="0"/>
        <v>0</v>
      </c>
      <c r="T29" s="27"/>
      <c r="U29" s="27"/>
      <c r="V29" s="27">
        <f>ROUND((S29+Table3[[#This Row],[In Transit]])/R29*30,0)</f>
        <v>0</v>
      </c>
      <c r="W29" s="27"/>
      <c r="X29" s="27">
        <v>7500</v>
      </c>
      <c r="Y29" s="27"/>
      <c r="Z29" s="27"/>
      <c r="AA29" s="29">
        <f>IF((45-Table3[[#This Row],[Coverage post order]])&gt;0,Table3[[#This Row],[Schedule]]*1.5,0)</f>
        <v>0</v>
      </c>
      <c r="AB29" s="27">
        <f>ROUND((Table3[[#This Row],[Stock]]+Table3[[#This Row],[056 Order]]+Table3[[#This Row],[0789 Order]]+Table3[[#This Row],[0788 Order]]+Table3[[#This Row],[In Transit]])/Table3[[#This Row],[Schedule]]*30,0)</f>
        <v>45</v>
      </c>
      <c r="AC29" s="56" t="s">
        <v>94</v>
      </c>
    </row>
    <row r="30" spans="1:29" ht="20.25" customHeight="1" x14ac:dyDescent="0.25">
      <c r="A30" s="27">
        <v>22</v>
      </c>
      <c r="B30" s="27"/>
      <c r="C30" s="27">
        <v>943209</v>
      </c>
      <c r="D30" s="27">
        <v>21.4</v>
      </c>
      <c r="E30" s="27">
        <v>0</v>
      </c>
      <c r="F30" s="27">
        <v>2</v>
      </c>
      <c r="G30" s="27">
        <v>5.66</v>
      </c>
      <c r="H30" s="27"/>
      <c r="I30" s="27" t="s">
        <v>112</v>
      </c>
      <c r="J30" s="27" t="str">
        <f>_xlfn.CONCAT(Table3[[#This Row],[key]],"-",Table3[[#This Row],[Length]])</f>
        <v>21.4-0-2-ERW 1-PE-5.66</v>
      </c>
      <c r="K30" s="27" t="s">
        <v>29</v>
      </c>
      <c r="L30" s="27" t="s">
        <v>30</v>
      </c>
      <c r="M30" s="27"/>
      <c r="N30" s="27">
        <v>0</v>
      </c>
      <c r="O30" s="28"/>
      <c r="P30" s="27">
        <v>2405717</v>
      </c>
      <c r="Q30" s="27"/>
      <c r="R30" s="27">
        <f>VLOOKUP(Table3[[#This Row],[length key]],Table2[[#All],[length key]:[Total schedule]],4,0)</f>
        <v>0</v>
      </c>
      <c r="S30" s="27">
        <f t="shared" si="0"/>
        <v>0</v>
      </c>
      <c r="T30" s="27"/>
      <c r="U30" s="27"/>
      <c r="V30" s="27" t="e">
        <f>ROUND((S30+Table3[[#This Row],[In Transit]])/R30*30,0)</f>
        <v>#DIV/0!</v>
      </c>
      <c r="W30" s="27"/>
      <c r="X30" s="27"/>
      <c r="Y30" s="27"/>
      <c r="Z30" s="27"/>
      <c r="AA30" s="29" t="e">
        <f>IF((45-Table3[[#This Row],[Coverage post order]])&gt;0,Table3[[#This Row],[Schedule]]*1.5,0)</f>
        <v>#DIV/0!</v>
      </c>
      <c r="AB30" s="27" t="e">
        <f>ROUND((Table3[[#This Row],[Stock]]+Table3[[#This Row],[056 Order]]+Table3[[#This Row],[0789 Order]]+Table3[[#This Row],[0788 Order]]+Table3[[#This Row],[In Transit]])/Table3[[#This Row],[Schedule]]*30,0)</f>
        <v>#DIV/0!</v>
      </c>
      <c r="AC30" s="30">
        <v>789</v>
      </c>
    </row>
    <row r="31" spans="1:29" ht="20.25" customHeight="1" x14ac:dyDescent="0.25">
      <c r="A31" s="34">
        <v>23</v>
      </c>
      <c r="B31" s="34"/>
      <c r="C31" s="19"/>
      <c r="D31" s="19">
        <v>22.2</v>
      </c>
      <c r="E31" s="27">
        <v>0</v>
      </c>
      <c r="F31" s="19">
        <v>1.2</v>
      </c>
      <c r="G31" s="19">
        <v>5.3</v>
      </c>
      <c r="H31" s="19"/>
      <c r="I31" s="19" t="s">
        <v>43</v>
      </c>
      <c r="J31" s="19" t="str">
        <f>_xlfn.CONCAT(Table3[[#This Row],[key]],"-",Table3[[#This Row],[Length]])</f>
        <v>22.23-0-1.2-ERW 1-PE-5.3</v>
      </c>
      <c r="K31" s="19"/>
      <c r="L31" s="19"/>
      <c r="M31" s="19"/>
      <c r="N31" s="19">
        <v>1263</v>
      </c>
      <c r="O31" s="31"/>
      <c r="P31" s="32"/>
      <c r="Q31" s="32"/>
      <c r="R31" s="19">
        <f>VLOOKUP(Table3[[#This Row],[length key]],Table2[[#All],[length key]:[Total schedule]],4,0)</f>
        <v>9500</v>
      </c>
      <c r="S31" s="19">
        <f t="shared" si="0"/>
        <v>4160.0566942199994</v>
      </c>
      <c r="T31" s="19">
        <v>0</v>
      </c>
      <c r="U31" s="19"/>
      <c r="V31" s="34">
        <f>ROUND((S31+Table3[[#This Row],[In Transit]])/R31*30,0)</f>
        <v>13</v>
      </c>
      <c r="W31" s="32"/>
      <c r="X31" s="32"/>
      <c r="Y31" s="32"/>
      <c r="Z31" s="32"/>
      <c r="AA31" s="33">
        <f>IF((45-Table3[[#This Row],[Coverage post order]])&gt;0,Table3[[#This Row],[Schedule]]*1.5,0)</f>
        <v>14250</v>
      </c>
      <c r="AB31" s="32">
        <f>ROUND((Table3[[#This Row],[Stock]]+Table3[[#This Row],[056 Order]]+Table3[[#This Row],[0789 Order]]+Table3[[#This Row],[0788 Order]]+Table3[[#This Row],[In Transit]])/Table3[[#This Row],[Schedule]]*30,0)</f>
        <v>13</v>
      </c>
      <c r="AC31" s="34" t="s">
        <v>110</v>
      </c>
    </row>
    <row r="32" spans="1:29" ht="20.25" customHeight="1" x14ac:dyDescent="0.25">
      <c r="A32" s="34">
        <v>24</v>
      </c>
      <c r="B32" s="34"/>
      <c r="C32" s="19">
        <v>943209</v>
      </c>
      <c r="D32" s="19">
        <v>22.2</v>
      </c>
      <c r="E32" s="27">
        <v>0</v>
      </c>
      <c r="F32" s="19">
        <v>1.2</v>
      </c>
      <c r="G32" s="19">
        <v>5.87</v>
      </c>
      <c r="H32" s="19">
        <v>3.6480000000000001</v>
      </c>
      <c r="I32" s="19" t="s">
        <v>43</v>
      </c>
      <c r="J32" s="19" t="str">
        <f>_xlfn.CONCAT(Table3[[#This Row],[key]],"-",Table3[[#This Row],[Length]])</f>
        <v>22.23-0-1.2-ERW 1-PE-5.87</v>
      </c>
      <c r="K32" s="19" t="s">
        <v>29</v>
      </c>
      <c r="L32" s="19" t="s">
        <v>30</v>
      </c>
      <c r="M32" s="19"/>
      <c r="N32" s="19">
        <v>7631</v>
      </c>
      <c r="O32" s="31">
        <v>3882110</v>
      </c>
      <c r="P32" s="32"/>
      <c r="Q32" s="32"/>
      <c r="R32" s="19">
        <f>VLOOKUP(Table3[[#This Row],[length key]],Table2[[#All],[length key]:[Total schedule]],4,0)</f>
        <v>10000</v>
      </c>
      <c r="S32" s="19">
        <f t="shared" si="0"/>
        <v>27838.099577106001</v>
      </c>
      <c r="T32" s="19">
        <v>0</v>
      </c>
      <c r="U32" s="19"/>
      <c r="V32" s="34">
        <f>ROUND((S32+Table3[[#This Row],[In Transit]])/R32*30,0)</f>
        <v>84</v>
      </c>
      <c r="W32" s="31">
        <v>17200</v>
      </c>
      <c r="X32" s="32"/>
      <c r="Y32" s="32"/>
      <c r="Z32" s="32"/>
      <c r="AA32" s="33">
        <f>IF((45-Table3[[#This Row],[Coverage post order]])&gt;0,Table3[[#This Row],[Schedule]]*1.5,0)</f>
        <v>0</v>
      </c>
      <c r="AB32" s="34">
        <f>ROUND((Table3[[#This Row],[Stock]]+Table3[[#This Row],[056 Order]]+Table3[[#This Row],[0789 Order]]+Table3[[#This Row],[0788 Order]]+Table3[[#This Row],[In Transit]])/Table3[[#This Row],[Schedule]]*30,0)</f>
        <v>135</v>
      </c>
      <c r="AC32" s="34"/>
    </row>
    <row r="33" spans="1:30" ht="20.25" customHeight="1" x14ac:dyDescent="0.25">
      <c r="A33" s="34">
        <v>25</v>
      </c>
      <c r="B33" s="34"/>
      <c r="C33" s="19"/>
      <c r="D33" s="19">
        <v>22.2</v>
      </c>
      <c r="E33" s="27">
        <v>0</v>
      </c>
      <c r="F33" s="19">
        <v>1.4</v>
      </c>
      <c r="G33" s="19">
        <v>6</v>
      </c>
      <c r="H33" s="19">
        <v>4.3090000000000002</v>
      </c>
      <c r="I33" s="27" t="str">
        <f>_xlfn.CONCAT("Megh-",D33,"-",E33,"-",F33,"-",G33)</f>
        <v>Megh-22.2-0-1.4-6</v>
      </c>
      <c r="J33" s="27" t="str">
        <f>_xlfn.CONCAT(Table3[[#This Row],[key]])</f>
        <v>Megh-22.2-0-1.4-6</v>
      </c>
      <c r="K33" s="19" t="s">
        <v>38</v>
      </c>
      <c r="L33" s="19" t="s">
        <v>30</v>
      </c>
      <c r="M33" s="19"/>
      <c r="N33" s="19">
        <v>804</v>
      </c>
      <c r="O33" s="31">
        <v>3829175</v>
      </c>
      <c r="P33" s="32"/>
      <c r="Q33" s="32"/>
      <c r="R33" s="19">
        <f>VLOOKUP(Table3[[#This Row],[length key]],Table2[[#All],[length key]:[Total schedule]],4,0)</f>
        <v>6000</v>
      </c>
      <c r="S33" s="19">
        <f t="shared" si="0"/>
        <v>3464.3212531199997</v>
      </c>
      <c r="T33" s="19">
        <v>3450</v>
      </c>
      <c r="U33" s="19"/>
      <c r="V33" s="34">
        <f>ROUND((S33+Table3[[#This Row],[In Transit]])/R33*30,0)</f>
        <v>35</v>
      </c>
      <c r="W33" s="31">
        <f>7500+9000</f>
        <v>16500</v>
      </c>
      <c r="X33" s="32"/>
      <c r="Y33" s="32"/>
      <c r="Z33" s="32"/>
      <c r="AA33" s="33">
        <f>IF((45-Table3[[#This Row],[Coverage post order]])&gt;0,Table3[[#This Row],[Schedule]]*1.5,0)</f>
        <v>0</v>
      </c>
      <c r="AB33" s="34">
        <f>ROUND((Table3[[#This Row],[Stock]]+Table3[[#This Row],[056 Order]]+Table3[[#This Row],[0789 Order]]+Table3[[#This Row],[0788 Order]]+Table3[[#This Row],[In Transit]])/Table3[[#This Row],[Schedule]]*30,0)</f>
        <v>117</v>
      </c>
      <c r="AC33" s="40" t="s">
        <v>93</v>
      </c>
    </row>
    <row r="34" spans="1:30" ht="20.25" customHeight="1" x14ac:dyDescent="0.25">
      <c r="A34" s="27">
        <v>26</v>
      </c>
      <c r="B34" s="27"/>
      <c r="C34" s="27">
        <v>943209</v>
      </c>
      <c r="D34" s="27">
        <v>22.2</v>
      </c>
      <c r="E34" s="27">
        <v>0</v>
      </c>
      <c r="F34" s="27">
        <v>1.6</v>
      </c>
      <c r="G34" s="27">
        <v>5.27</v>
      </c>
      <c r="H34" s="27">
        <v>4.609</v>
      </c>
      <c r="I34" s="27" t="s">
        <v>44</v>
      </c>
      <c r="J34" s="27" t="str">
        <f>_xlfn.CONCAT(Table3[[#This Row],[key]],"-",Table3[[#This Row],[Length]])</f>
        <v>22.23-0-1.6-ERW 1-PE-5.27</v>
      </c>
      <c r="K34" s="27" t="s">
        <v>29</v>
      </c>
      <c r="L34" s="27" t="s">
        <v>30</v>
      </c>
      <c r="M34" s="27"/>
      <c r="N34" s="27">
        <v>8923</v>
      </c>
      <c r="O34" s="28"/>
      <c r="P34" s="38">
        <v>3575894</v>
      </c>
      <c r="Q34" s="27"/>
      <c r="R34" s="27">
        <f>VLOOKUP(Table3[[#This Row],[length key]],Table2[[#All],[length key]:[Total schedule]],4,0)</f>
        <v>1000</v>
      </c>
      <c r="S34" s="27">
        <f t="shared" si="0"/>
        <v>38223.301809998396</v>
      </c>
      <c r="T34" s="27">
        <v>0</v>
      </c>
      <c r="U34" s="27"/>
      <c r="V34" s="27">
        <f>ROUND((S34+Table3[[#This Row],[In Transit]])/R34*30,0)</f>
        <v>1147</v>
      </c>
      <c r="W34" s="27"/>
      <c r="X34" s="35">
        <v>15000</v>
      </c>
      <c r="Y34" s="27"/>
      <c r="Z34" s="27"/>
      <c r="AA34" s="29">
        <f>IF((45-Table3[[#This Row],[Coverage post order]])&gt;0,Table3[[#This Row],[Schedule]]*1.5,0)</f>
        <v>0</v>
      </c>
      <c r="AB34" s="27">
        <f>ROUND((Table3[[#This Row],[Stock]]+Table3[[#This Row],[056 Order]]+Table3[[#This Row],[0789 Order]]+Table3[[#This Row],[0788 Order]]+Table3[[#This Row],[In Transit]])/Table3[[#This Row],[Schedule]]*30,0)</f>
        <v>1597</v>
      </c>
      <c r="AC34" s="56" t="s">
        <v>94</v>
      </c>
    </row>
    <row r="35" spans="1:30" ht="20.25" customHeight="1" x14ac:dyDescent="0.25">
      <c r="A35" s="34">
        <v>27</v>
      </c>
      <c r="B35" s="34"/>
      <c r="C35" s="19">
        <v>943209</v>
      </c>
      <c r="D35" s="19">
        <v>22.2</v>
      </c>
      <c r="E35" s="27">
        <v>0</v>
      </c>
      <c r="F35" s="19">
        <v>1.6</v>
      </c>
      <c r="G35" s="19">
        <v>5.2640000000000002</v>
      </c>
      <c r="H35" s="19">
        <v>4.2839999999999998</v>
      </c>
      <c r="I35" s="19" t="s">
        <v>44</v>
      </c>
      <c r="J35" s="19" t="str">
        <f>_xlfn.CONCAT(Table3[[#This Row],[key]],"-",Table3[[#This Row],[Length]])</f>
        <v>22.23-0-1.6-ERW 1-PE-5.264</v>
      </c>
      <c r="K35" s="19" t="s">
        <v>29</v>
      </c>
      <c r="L35" s="19" t="s">
        <v>30</v>
      </c>
      <c r="M35" s="19"/>
      <c r="N35" s="19">
        <v>8488</v>
      </c>
      <c r="O35" s="31">
        <v>3501116</v>
      </c>
      <c r="P35" s="32"/>
      <c r="Q35" s="32"/>
      <c r="R35" s="19">
        <f>VLOOKUP(Table3[[#This Row],[length key]],Table2[[#All],[length key]:[Total schedule]],4,0)</f>
        <v>55000</v>
      </c>
      <c r="S35" s="19">
        <f t="shared" si="0"/>
        <v>36318.503312609282</v>
      </c>
      <c r="T35" s="19">
        <v>1730</v>
      </c>
      <c r="U35" s="19"/>
      <c r="V35" s="27">
        <f>ROUND((S35+Table3[[#This Row],[In Transit]])/R35*30,0)</f>
        <v>21</v>
      </c>
      <c r="W35" s="31">
        <v>107600</v>
      </c>
      <c r="X35" s="31"/>
      <c r="Y35" s="32"/>
      <c r="Z35" s="32"/>
      <c r="AA35" s="36">
        <f>IF((45-Table3[[#This Row],[Coverage post order]])&gt;0,Table3[[#This Row],[Schedule]]*1.5,0)</f>
        <v>0</v>
      </c>
      <c r="AB35" s="34">
        <f>ROUND((Table3[[#This Row],[Stock]]+Table3[[#This Row],[056 Order]]+Table3[[#This Row],[0789 Order]]+Table3[[#This Row],[0788 Order]]+Table3[[#This Row],[In Transit]])/Table3[[#This Row],[Schedule]]*30,0)</f>
        <v>79</v>
      </c>
      <c r="AC35" s="40" t="s">
        <v>93</v>
      </c>
      <c r="AD35" t="s">
        <v>113</v>
      </c>
    </row>
    <row r="36" spans="1:30" ht="20.25" customHeight="1" x14ac:dyDescent="0.25">
      <c r="A36" s="34">
        <v>28</v>
      </c>
      <c r="B36" s="34"/>
      <c r="C36" s="19">
        <v>943209</v>
      </c>
      <c r="D36" s="19">
        <v>22.2</v>
      </c>
      <c r="E36" s="27">
        <v>0</v>
      </c>
      <c r="F36" s="19">
        <v>1.6</v>
      </c>
      <c r="G36" s="19">
        <v>5.6849999999999996</v>
      </c>
      <c r="H36" s="19">
        <v>4.8769999999999998</v>
      </c>
      <c r="I36" s="19" t="s">
        <v>44</v>
      </c>
      <c r="J36" s="19" t="str">
        <f>_xlfn.CONCAT(Table3[[#This Row],[key]],"-",Table3[[#This Row],[Length]])</f>
        <v>22.23-0-1.6-ERW 1-PE-5.685</v>
      </c>
      <c r="K36" s="19" t="s">
        <v>29</v>
      </c>
      <c r="L36" s="19" t="s">
        <v>30</v>
      </c>
      <c r="M36" s="19"/>
      <c r="N36" s="19">
        <v>17214</v>
      </c>
      <c r="O36" s="31">
        <v>4173571</v>
      </c>
      <c r="P36" s="32">
        <v>3570690</v>
      </c>
      <c r="Q36" s="32"/>
      <c r="R36" s="27">
        <f>VLOOKUP(Table3[[#This Row],[length key]],Table2[[#All],[length key]:[Total schedule]],4,0)</f>
        <v>0</v>
      </c>
      <c r="S36" s="19">
        <f t="shared" si="0"/>
        <v>79546.11231483359</v>
      </c>
      <c r="T36" s="19">
        <v>8573</v>
      </c>
      <c r="U36" s="19"/>
      <c r="V36" s="34" t="e">
        <f>ROUND((S36+Table3[[#This Row],[In Transit]])/R36*30,0)</f>
        <v>#DIV/0!</v>
      </c>
      <c r="W36" s="31">
        <v>24000</v>
      </c>
      <c r="X36" s="32"/>
      <c r="Y36" s="32"/>
      <c r="Z36" s="32"/>
      <c r="AA36" s="33" t="e">
        <f>IF((45-Table3[[#This Row],[Coverage post order]])&gt;0,Table3[[#This Row],[Schedule]]*1.5,0)</f>
        <v>#DIV/0!</v>
      </c>
      <c r="AB36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36" s="34"/>
    </row>
    <row r="37" spans="1:30" ht="20.25" customHeight="1" x14ac:dyDescent="0.25">
      <c r="A37" s="34">
        <v>30</v>
      </c>
      <c r="B37" s="34"/>
      <c r="C37" s="19">
        <v>943209</v>
      </c>
      <c r="D37" s="19">
        <v>22.2</v>
      </c>
      <c r="E37" s="27">
        <v>0</v>
      </c>
      <c r="F37" s="19">
        <v>1.6</v>
      </c>
      <c r="G37" s="19">
        <v>5.67</v>
      </c>
      <c r="H37" s="19">
        <v>4.8769999999999998</v>
      </c>
      <c r="I37" s="19" t="s">
        <v>44</v>
      </c>
      <c r="J37" s="19" t="str">
        <f>_xlfn.CONCAT(Table3[[#This Row],[key]],"-",Table3[[#This Row],[Length]])</f>
        <v>22.23-0-1.6-ERW 1-PE-5.67</v>
      </c>
      <c r="K37" s="19" t="s">
        <v>29</v>
      </c>
      <c r="L37" s="19" t="s">
        <v>30</v>
      </c>
      <c r="M37" s="19"/>
      <c r="N37" s="19">
        <v>5481</v>
      </c>
      <c r="O37" s="31">
        <v>3954021</v>
      </c>
      <c r="P37" s="32">
        <v>4055022</v>
      </c>
      <c r="Q37" s="32"/>
      <c r="R37" s="19">
        <f>VLOOKUP(Table3[[#This Row],[length key]],Table2[[#All],[length key]:[Total schedule]],4,0)</f>
        <v>50000</v>
      </c>
      <c r="S37" s="19">
        <f t="shared" si="0"/>
        <v>25260.9426217008</v>
      </c>
      <c r="T37" s="19">
        <v>0</v>
      </c>
      <c r="U37" s="19"/>
      <c r="V37" s="27">
        <f>ROUND((S37+Table3[[#This Row],[In Transit]])/R37*30,0)</f>
        <v>15</v>
      </c>
      <c r="W37" s="31">
        <v>12000</v>
      </c>
      <c r="X37" s="32">
        <v>75000</v>
      </c>
      <c r="Y37" s="32"/>
      <c r="Z37" s="32"/>
      <c r="AA37" s="33">
        <f>IF((45-Table3[[#This Row],[Coverage post order]])&gt;0,Table3[[#This Row],[Schedule]]*1.5,0)</f>
        <v>0</v>
      </c>
      <c r="AB37" s="34">
        <f>ROUND((Table3[[#This Row],[Stock]]+Table3[[#This Row],[056 Order]]+Table3[[#This Row],[0789 Order]]+Table3[[#This Row],[0788 Order]]+Table3[[#This Row],[In Transit]])/Table3[[#This Row],[Schedule]]*30,0)</f>
        <v>67</v>
      </c>
      <c r="AC37" s="40" t="s">
        <v>94</v>
      </c>
    </row>
    <row r="38" spans="1:30" ht="20.25" customHeight="1" x14ac:dyDescent="0.25">
      <c r="A38" s="34">
        <v>31</v>
      </c>
      <c r="B38" s="34"/>
      <c r="C38" s="19">
        <v>943209</v>
      </c>
      <c r="D38" s="19">
        <v>22.2</v>
      </c>
      <c r="E38" s="27">
        <v>0</v>
      </c>
      <c r="F38" s="19">
        <v>2</v>
      </c>
      <c r="G38" s="19">
        <v>5.0999999999999996</v>
      </c>
      <c r="H38" s="19">
        <v>5.0810000000000004</v>
      </c>
      <c r="I38" s="19" t="s">
        <v>45</v>
      </c>
      <c r="J38" s="19" t="str">
        <f>_xlfn.CONCAT(Table3[[#This Row],[key]],"-",Table3[[#This Row],[Length]])</f>
        <v>22.23-0-2-ERW 1-PE-5.1</v>
      </c>
      <c r="K38" s="19" t="s">
        <v>29</v>
      </c>
      <c r="L38" s="19" t="s">
        <v>30</v>
      </c>
      <c r="M38" s="19"/>
      <c r="N38" s="19">
        <v>0</v>
      </c>
      <c r="O38" s="31">
        <v>3500554</v>
      </c>
      <c r="P38" s="32"/>
      <c r="Q38" s="32"/>
      <c r="R38" s="27">
        <f>VLOOKUP(Table3[[#This Row],[length key]],Table2[[#All],[length key]:[Total schedule]],4,0)</f>
        <v>0</v>
      </c>
      <c r="S38" s="19">
        <f t="shared" ref="S38:S70" si="1">((D38-F38)*F38*0.0246615*G38*N38)</f>
        <v>0</v>
      </c>
      <c r="T38" s="19">
        <v>0</v>
      </c>
      <c r="U38" s="19"/>
      <c r="V38" s="27" t="e">
        <f>ROUND((S38+Table3[[#This Row],[In Transit]])/R38*30,0)</f>
        <v>#DIV/0!</v>
      </c>
      <c r="W38" s="32"/>
      <c r="X38" s="32"/>
      <c r="Y38" s="32"/>
      <c r="Z38" s="32"/>
      <c r="AA38" s="33" t="e">
        <f>IF((45-Table3[[#This Row],[Coverage post order]])&gt;0,Table3[[#This Row],[Schedule]]*1.5,0)</f>
        <v>#DIV/0!</v>
      </c>
      <c r="AB38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38" s="34"/>
    </row>
    <row r="39" spans="1:30" ht="20.25" customHeight="1" x14ac:dyDescent="0.25">
      <c r="A39" s="27">
        <v>32</v>
      </c>
      <c r="B39" s="27"/>
      <c r="C39" s="27">
        <v>943209</v>
      </c>
      <c r="D39" s="27">
        <v>22.2</v>
      </c>
      <c r="E39" s="27">
        <v>0</v>
      </c>
      <c r="F39" s="27">
        <v>2</v>
      </c>
      <c r="G39" s="27">
        <v>5.4</v>
      </c>
      <c r="H39" s="27">
        <v>5.38</v>
      </c>
      <c r="I39" s="27" t="s">
        <v>46</v>
      </c>
      <c r="J39" s="27" t="str">
        <f>_xlfn.CONCAT(Table3[[#This Row],[key]],"-",Table3[[#This Row],[Length]])</f>
        <v>22.23-0-2-ERW 1-FC-5.4</v>
      </c>
      <c r="K39" s="27" t="s">
        <v>29</v>
      </c>
      <c r="L39" s="27" t="s">
        <v>47</v>
      </c>
      <c r="M39" s="27" t="s">
        <v>114</v>
      </c>
      <c r="N39" s="27">
        <v>7097</v>
      </c>
      <c r="O39" s="28"/>
      <c r="P39" s="27">
        <v>2431251</v>
      </c>
      <c r="Q39" s="27"/>
      <c r="R39" s="27">
        <f>VLOOKUP(Table3[[#This Row],[length key]],Table2[[#All],[length key]:[Total schedule]],4,0)</f>
        <v>0</v>
      </c>
      <c r="S39" s="27">
        <f t="shared" si="1"/>
        <v>38182.944705480004</v>
      </c>
      <c r="T39" s="27"/>
      <c r="U39" s="27"/>
      <c r="V39" s="27" t="e">
        <f>ROUND((S39+Table3[[#This Row],[In Transit]])/R39*30,0)</f>
        <v>#DIV/0!</v>
      </c>
      <c r="W39" s="27"/>
      <c r="X39" s="35"/>
      <c r="Y39" s="27"/>
      <c r="Z39" s="27"/>
      <c r="AA39" s="29" t="e">
        <f>IF((45-Table3[[#This Row],[Coverage post order]])&gt;0,Table3[[#This Row],[Schedule]]*1.5,0)</f>
        <v>#DIV/0!</v>
      </c>
      <c r="AB39" s="27" t="e">
        <f>ROUND((Table3[[#This Row],[Stock]]+Table3[[#This Row],[056 Order]]+Table3[[#This Row],[0789 Order]]+Table3[[#This Row],[0788 Order]]+Table3[[#This Row],[In Transit]])/Table3[[#This Row],[Schedule]]*30,0)</f>
        <v>#DIV/0!</v>
      </c>
      <c r="AC39" s="30">
        <v>789</v>
      </c>
    </row>
    <row r="40" spans="1:30" ht="20.25" customHeight="1" x14ac:dyDescent="0.25">
      <c r="A40" s="34">
        <v>35</v>
      </c>
      <c r="B40" s="34"/>
      <c r="C40" s="19">
        <v>943209</v>
      </c>
      <c r="D40" s="19">
        <v>22.2</v>
      </c>
      <c r="E40" s="27">
        <v>0</v>
      </c>
      <c r="F40" s="19">
        <v>2</v>
      </c>
      <c r="G40" s="19">
        <v>5.9509999999999996</v>
      </c>
      <c r="H40" s="19">
        <v>5.9279999999999999</v>
      </c>
      <c r="I40" s="19" t="s">
        <v>45</v>
      </c>
      <c r="J40" s="19" t="str">
        <f>_xlfn.CONCAT(Table3[[#This Row],[key]],"-",Table3[[#This Row],[Length]])</f>
        <v>22.23-0-2-ERW 1-PE-5.951</v>
      </c>
      <c r="K40" s="19" t="s">
        <v>29</v>
      </c>
      <c r="L40" s="19" t="s">
        <v>30</v>
      </c>
      <c r="M40" s="19"/>
      <c r="N40" s="19">
        <v>2119</v>
      </c>
      <c r="O40" s="31">
        <v>3905466</v>
      </c>
      <c r="P40" s="32"/>
      <c r="Q40" s="32"/>
      <c r="R40" s="19">
        <f>VLOOKUP(Table3[[#This Row],[length key]],Table2[[#All],[length key]:[Total schedule]],4,0)</f>
        <v>159000</v>
      </c>
      <c r="S40" s="19">
        <f t="shared" si="1"/>
        <v>12563.821584857398</v>
      </c>
      <c r="T40" s="19">
        <v>0</v>
      </c>
      <c r="U40" s="19"/>
      <c r="V40" s="27">
        <f>ROUND((S40+Table3[[#This Row],[In Transit]])/R40*30,0)</f>
        <v>2</v>
      </c>
      <c r="W40" s="31">
        <v>373700</v>
      </c>
      <c r="X40" s="32"/>
      <c r="Y40" s="32"/>
      <c r="Z40" s="32"/>
      <c r="AA40" s="36">
        <f>IF((45-Table3[[#This Row],[Coverage post order]])&gt;0,Table3[[#This Row],[Schedule]]*1.5,0)</f>
        <v>0</v>
      </c>
      <c r="AB40" s="34">
        <f>ROUND((Table3[[#This Row],[Stock]]+Table3[[#This Row],[056 Order]]+Table3[[#This Row],[0789 Order]]+Table3[[#This Row],[0788 Order]]+Table3[[#This Row],[In Transit]])/Table3[[#This Row],[Schedule]]*30,0)</f>
        <v>73</v>
      </c>
      <c r="AC40" s="40" t="s">
        <v>93</v>
      </c>
    </row>
    <row r="41" spans="1:30" ht="20.25" customHeight="1" x14ac:dyDescent="0.25">
      <c r="A41" s="34">
        <v>36</v>
      </c>
      <c r="B41" s="34"/>
      <c r="C41" s="19">
        <v>943209</v>
      </c>
      <c r="D41" s="19">
        <v>22.2</v>
      </c>
      <c r="E41" s="27">
        <v>0</v>
      </c>
      <c r="F41" s="19">
        <v>2</v>
      </c>
      <c r="G41" s="19">
        <v>6</v>
      </c>
      <c r="H41" s="19">
        <v>5.9779999999999998</v>
      </c>
      <c r="I41" s="19" t="s">
        <v>48</v>
      </c>
      <c r="J41" s="19" t="str">
        <f>_xlfn.CONCAT(Table3[[#This Row],[key]],"-",Table3[[#This Row],[Length]])</f>
        <v>22.23-0-2-ERW 2-FC-6</v>
      </c>
      <c r="K41" s="19" t="s">
        <v>38</v>
      </c>
      <c r="L41" s="19" t="s">
        <v>47</v>
      </c>
      <c r="M41" s="19"/>
      <c r="N41" s="19">
        <v>6844</v>
      </c>
      <c r="O41" s="31">
        <v>3502494</v>
      </c>
      <c r="P41" s="31">
        <v>3410966</v>
      </c>
      <c r="Q41" s="32"/>
      <c r="R41" s="19">
        <f>VLOOKUP(Table3[[#This Row],[length key]],Table2[[#All],[length key]:[Total schedule]],4,0)</f>
        <v>60000</v>
      </c>
      <c r="S41" s="19">
        <f t="shared" si="1"/>
        <v>40913.073374399995</v>
      </c>
      <c r="T41" s="19">
        <v>4902</v>
      </c>
      <c r="U41" s="19"/>
      <c r="V41" s="27">
        <f>ROUND((S41+Table3[[#This Row],[In Transit]])/R41*30,0)</f>
        <v>23</v>
      </c>
      <c r="W41" s="31">
        <v>22000</v>
      </c>
      <c r="X41" s="32"/>
      <c r="Y41" s="32"/>
      <c r="Z41" s="32"/>
      <c r="AA41" s="36">
        <f>IF((45-Table3[[#This Row],[Coverage post order]])&gt;0,Table3[[#This Row],[Schedule]]*1.5,0)</f>
        <v>90000</v>
      </c>
      <c r="AB41" s="34">
        <f>ROUND((Table3[[#This Row],[Stock]]+Table3[[#This Row],[056 Order]]+Table3[[#This Row],[0789 Order]]+Table3[[#This Row],[0788 Order]]+Table3[[#This Row],[In Transit]])/Table3[[#This Row],[Schedule]]*30,0)</f>
        <v>34</v>
      </c>
      <c r="AC41" s="34">
        <v>56</v>
      </c>
      <c r="AD41" t="s">
        <v>113</v>
      </c>
    </row>
    <row r="42" spans="1:30" ht="20.25" customHeight="1" x14ac:dyDescent="0.25">
      <c r="A42" s="34">
        <v>39</v>
      </c>
      <c r="B42" s="34"/>
      <c r="C42" s="19">
        <v>943210</v>
      </c>
      <c r="D42" s="19">
        <v>25.4</v>
      </c>
      <c r="E42" s="27">
        <v>0</v>
      </c>
      <c r="F42" s="19">
        <v>1.4</v>
      </c>
      <c r="G42" s="19">
        <v>5.5309999999999997</v>
      </c>
      <c r="H42" s="19">
        <v>4.5830000000000002</v>
      </c>
      <c r="I42" s="19" t="str">
        <f>_xlfn.CONCAT("Megh-",D42,"-",E42,"-",F42,"-",G42)</f>
        <v>Megh-25.4-0-1.4-5.531</v>
      </c>
      <c r="J42" s="27" t="str">
        <f>_xlfn.CONCAT(Table3[[#This Row],[key]])</f>
        <v>Megh-25.4-0-1.4-5.531</v>
      </c>
      <c r="K42" s="19" t="s">
        <v>38</v>
      </c>
      <c r="L42" s="19" t="s">
        <v>47</v>
      </c>
      <c r="M42" s="19"/>
      <c r="N42" s="19">
        <v>3651</v>
      </c>
      <c r="O42" s="31">
        <v>3501900</v>
      </c>
      <c r="P42" s="32"/>
      <c r="Q42" s="32"/>
      <c r="R42" s="27">
        <f>VLOOKUP(Table3[[#This Row],[length key]],Table2[[#All],[length key]:[Total schedule]],4,0)</f>
        <v>0</v>
      </c>
      <c r="S42" s="19">
        <f t="shared" si="1"/>
        <v>16733.017189778395</v>
      </c>
      <c r="T42" s="19">
        <v>0</v>
      </c>
      <c r="U42" s="19"/>
      <c r="V42" s="34" t="e">
        <f>ROUND((S42+Table3[[#This Row],[In Transit]])/R42*30,0)</f>
        <v>#DIV/0!</v>
      </c>
      <c r="W42" s="32"/>
      <c r="X42" s="32"/>
      <c r="Y42" s="32"/>
      <c r="Z42" s="32"/>
      <c r="AA42" s="33" t="e">
        <f>IF((45-Table3[[#This Row],[Coverage post order]])&gt;0,Table3[[#This Row],[Schedule]]*1.5,0)</f>
        <v>#DIV/0!</v>
      </c>
      <c r="AB42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42" s="34" t="s">
        <v>115</v>
      </c>
    </row>
    <row r="43" spans="1:30" ht="20.25" customHeight="1" x14ac:dyDescent="0.25">
      <c r="A43" s="27">
        <v>40</v>
      </c>
      <c r="B43" s="27"/>
      <c r="C43" s="27">
        <v>943210</v>
      </c>
      <c r="D43" s="27">
        <v>25.4</v>
      </c>
      <c r="E43" s="27">
        <v>0</v>
      </c>
      <c r="F43" s="27">
        <v>1.4</v>
      </c>
      <c r="G43" s="27">
        <v>6.06</v>
      </c>
      <c r="H43" s="27"/>
      <c r="I43" s="27" t="str">
        <f>_xlfn.CONCAT("Megh-",D43,"-",E43,"-",F43,"-",G43)</f>
        <v>Megh-25.4-0-1.4-6.06</v>
      </c>
      <c r="J43" s="27" t="str">
        <f>_xlfn.CONCAT(Table3[[#This Row],[key]])</f>
        <v>Megh-25.4-0-1.4-6.06</v>
      </c>
      <c r="K43" s="27" t="s">
        <v>29</v>
      </c>
      <c r="L43" s="27" t="s">
        <v>47</v>
      </c>
      <c r="M43" s="27"/>
      <c r="N43" s="27">
        <v>3180</v>
      </c>
      <c r="O43" s="28">
        <v>3570429</v>
      </c>
      <c r="P43" s="27">
        <v>3557792</v>
      </c>
      <c r="Q43" s="27"/>
      <c r="R43" s="27">
        <f>VLOOKUP(Table3[[#This Row],[length key]],Table2[[#All],[length key]:[Total schedule]],4,0)</f>
        <v>23000</v>
      </c>
      <c r="S43" s="27">
        <f t="shared" si="1"/>
        <v>15968.293629119995</v>
      </c>
      <c r="T43" s="27">
        <v>0</v>
      </c>
      <c r="U43" s="27"/>
      <c r="V43" s="27">
        <f>ROUND((S43+Table3[[#This Row],[In Transit]])/R43*30,0)</f>
        <v>21</v>
      </c>
      <c r="W43" s="27"/>
      <c r="X43" s="35">
        <v>34500</v>
      </c>
      <c r="Y43" s="27"/>
      <c r="Z43" s="27"/>
      <c r="AA43" s="29">
        <f>IF((45-Table3[[#This Row],[Coverage post order]])&gt;0,Table3[[#This Row],[Schedule]]*1.5,0)</f>
        <v>0</v>
      </c>
      <c r="AB43" s="27">
        <f>ROUND((Table3[[#This Row],[Stock]]+Table3[[#This Row],[056 Order]]+Table3[[#This Row],[0789 Order]]+Table3[[#This Row],[0788 Order]]+Table3[[#This Row],[In Transit]])/Table3[[#This Row],[Schedule]]*30,0)</f>
        <v>66</v>
      </c>
      <c r="AC43" s="56" t="s">
        <v>94</v>
      </c>
    </row>
    <row r="44" spans="1:30" ht="20.25" customHeight="1" x14ac:dyDescent="0.25">
      <c r="A44" s="34">
        <v>41</v>
      </c>
      <c r="B44" s="34"/>
      <c r="C44" s="19">
        <v>943211</v>
      </c>
      <c r="D44" s="19">
        <v>25.4</v>
      </c>
      <c r="E44" s="27">
        <v>0</v>
      </c>
      <c r="F44" s="19">
        <v>1.6</v>
      </c>
      <c r="G44" s="19">
        <v>5.84</v>
      </c>
      <c r="H44" s="19"/>
      <c r="I44" s="19" t="s">
        <v>50</v>
      </c>
      <c r="J44" s="19" t="str">
        <f>_xlfn.CONCAT(Table3[[#This Row],[key]],"-",Table3[[#This Row],[Length]])</f>
        <v>25.4-0-1.6-ERW 1-FC-5.84</v>
      </c>
      <c r="K44" s="19" t="s">
        <v>29</v>
      </c>
      <c r="L44" s="19" t="s">
        <v>30</v>
      </c>
      <c r="M44" s="19"/>
      <c r="N44" s="19">
        <v>0</v>
      </c>
      <c r="O44" s="31"/>
      <c r="P44" s="32">
        <v>4149395</v>
      </c>
      <c r="Q44" s="32"/>
      <c r="R44" s="19">
        <f>VLOOKUP(Table3[[#This Row],[length key]],Table2[[#All],[length key]:[Total schedule]],4,0)</f>
        <v>31000</v>
      </c>
      <c r="S44" s="19">
        <f t="shared" si="1"/>
        <v>0</v>
      </c>
      <c r="T44" s="19"/>
      <c r="U44" s="19"/>
      <c r="V44" s="34">
        <f>ROUND((S44+Table3[[#This Row],[In Transit]])/R44*30,0)</f>
        <v>0</v>
      </c>
      <c r="W44" s="32"/>
      <c r="X44" s="39">
        <v>46500</v>
      </c>
      <c r="Y44" s="32"/>
      <c r="Z44" s="32"/>
      <c r="AA44" s="33">
        <f>IF((45-Table3[[#This Row],[Coverage post order]])&gt;0,Table3[[#This Row],[Schedule]]*1.5,0)</f>
        <v>0</v>
      </c>
      <c r="AB44" s="34">
        <f>ROUND((Table3[[#This Row],[Stock]]+Table3[[#This Row],[056 Order]]+Table3[[#This Row],[0789 Order]]+Table3[[#This Row],[0788 Order]]+Table3[[#This Row],[In Transit]])/Table3[[#This Row],[Schedule]]*30,0)</f>
        <v>45</v>
      </c>
      <c r="AC44" s="40" t="s">
        <v>94</v>
      </c>
    </row>
    <row r="45" spans="1:30" ht="20.25" customHeight="1" x14ac:dyDescent="0.25">
      <c r="A45" s="34">
        <v>42</v>
      </c>
      <c r="B45" s="34"/>
      <c r="C45" s="19"/>
      <c r="D45" s="19">
        <v>25.4</v>
      </c>
      <c r="E45" s="27">
        <v>0</v>
      </c>
      <c r="F45" s="19">
        <v>1.6</v>
      </c>
      <c r="G45" s="19">
        <v>5.27</v>
      </c>
      <c r="H45" s="19"/>
      <c r="I45" s="19" t="s">
        <v>50</v>
      </c>
      <c r="J45" s="19" t="str">
        <f>_xlfn.CONCAT(Table3[[#This Row],[key]],"-",Table3[[#This Row],[Length]])</f>
        <v>25.4-0-1.6-ERW 1-FC-5.27</v>
      </c>
      <c r="K45" s="19"/>
      <c r="L45" s="19"/>
      <c r="M45" s="19"/>
      <c r="N45" s="19">
        <v>506</v>
      </c>
      <c r="O45" s="31"/>
      <c r="P45" s="32"/>
      <c r="Q45" s="32"/>
      <c r="R45" s="27">
        <f>VLOOKUP(Table3[[#This Row],[length key]],Table2[[#All],[length key]:[Total schedule]],4,0)</f>
        <v>0</v>
      </c>
      <c r="S45" s="19">
        <f t="shared" si="1"/>
        <v>2504.2492948703994</v>
      </c>
      <c r="T45" s="19"/>
      <c r="U45" s="19"/>
      <c r="V45" s="34" t="e">
        <f>ROUND((S45+Table3[[#This Row],[In Transit]])/R45*30,0)</f>
        <v>#DIV/0!</v>
      </c>
      <c r="W45" s="32"/>
      <c r="X45" s="39"/>
      <c r="Y45" s="32"/>
      <c r="Z45" s="32"/>
      <c r="AA45" s="33" t="e">
        <f>IF((45-Table3[[#This Row],[Coverage post order]])&gt;0,Table3[[#This Row],[Schedule]]*1.5,0)</f>
        <v>#DIV/0!</v>
      </c>
      <c r="AB45" s="32" t="e">
        <f>ROUND((Table3[[#This Row],[Stock]]+Table3[[#This Row],[056 Order]]+Table3[[#This Row],[0789 Order]]+Table3[[#This Row],[0788 Order]]+Table3[[#This Row],[In Transit]])/Table3[[#This Row],[Schedule]]*30,0)</f>
        <v>#DIV/0!</v>
      </c>
      <c r="AC45" s="34"/>
    </row>
    <row r="46" spans="1:30" ht="20.25" customHeight="1" x14ac:dyDescent="0.25">
      <c r="A46" s="34">
        <v>43</v>
      </c>
      <c r="B46" s="34"/>
      <c r="C46" s="19">
        <v>943209</v>
      </c>
      <c r="D46" s="19">
        <v>25.4</v>
      </c>
      <c r="E46" s="27">
        <v>0</v>
      </c>
      <c r="F46" s="19">
        <v>1.6</v>
      </c>
      <c r="G46" s="19">
        <v>6</v>
      </c>
      <c r="H46" s="19">
        <v>5.6349999999999998</v>
      </c>
      <c r="I46" s="19" t="s">
        <v>50</v>
      </c>
      <c r="J46" s="19" t="str">
        <f>_xlfn.CONCAT(Table3[[#This Row],[key]],"-",Table3[[#This Row],[Length]])</f>
        <v>25.4-0-1.6-ERW 1-FC-6</v>
      </c>
      <c r="K46" s="19" t="s">
        <v>29</v>
      </c>
      <c r="L46" s="19" t="s">
        <v>30</v>
      </c>
      <c r="M46" s="19"/>
      <c r="N46" s="19">
        <v>2932</v>
      </c>
      <c r="O46" s="31">
        <v>3500097</v>
      </c>
      <c r="P46" s="32"/>
      <c r="Q46" s="32"/>
      <c r="R46" s="19">
        <f>VLOOKUP(Table3[[#This Row],[length key]],Table2[[#All],[length key]:[Total schedule]],4,0)</f>
        <v>10000</v>
      </c>
      <c r="S46" s="19">
        <f t="shared" si="1"/>
        <v>16520.821712639998</v>
      </c>
      <c r="T46" s="19">
        <v>0</v>
      </c>
      <c r="U46" s="19"/>
      <c r="V46" s="34">
        <f>ROUND((S46+Table3[[#This Row],[In Transit]])/R46*30,0)</f>
        <v>50</v>
      </c>
      <c r="W46" s="32"/>
      <c r="X46" s="32"/>
      <c r="Y46" s="32"/>
      <c r="Z46" s="32"/>
      <c r="AA46" s="33">
        <f>IF((45-Table3[[#This Row],[Coverage post order]])&gt;0,Table3[[#This Row],[Schedule]]*1.5,0)</f>
        <v>0</v>
      </c>
      <c r="AB46" s="34">
        <f>ROUND((Table3[[#This Row],[Stock]]+Table3[[#This Row],[056 Order]]+Table3[[#This Row],[0789 Order]]+Table3[[#This Row],[0788 Order]]+Table3[[#This Row],[In Transit]])/Table3[[#This Row],[Schedule]]*30,0)</f>
        <v>50</v>
      </c>
      <c r="AC46" s="34"/>
    </row>
    <row r="47" spans="1:30" ht="20.25" customHeight="1" x14ac:dyDescent="0.25">
      <c r="A47" s="34">
        <v>44</v>
      </c>
      <c r="B47" s="34"/>
      <c r="C47" s="19">
        <v>943209</v>
      </c>
      <c r="D47" s="19">
        <v>25.4</v>
      </c>
      <c r="E47" s="27">
        <v>0</v>
      </c>
      <c r="F47" s="19">
        <v>2</v>
      </c>
      <c r="G47" s="19">
        <v>5.84</v>
      </c>
      <c r="H47" s="19">
        <v>6.74</v>
      </c>
      <c r="I47" s="19" t="s">
        <v>116</v>
      </c>
      <c r="J47" s="19" t="str">
        <f>_xlfn.CONCAT(Table3[[#This Row],[key]],"-",Table3[[#This Row],[Length]])</f>
        <v>25.4-0-2-ERW 1-PE-5.84</v>
      </c>
      <c r="K47" s="19" t="s">
        <v>29</v>
      </c>
      <c r="L47" s="19" t="s">
        <v>30</v>
      </c>
      <c r="M47" s="19"/>
      <c r="N47" s="19">
        <v>3340</v>
      </c>
      <c r="O47" s="31">
        <v>3673890</v>
      </c>
      <c r="P47" s="32"/>
      <c r="Q47" s="32"/>
      <c r="R47" s="27">
        <f>VLOOKUP(Table3[[#This Row],[length key]],Table2[[#All],[length key]:[Total schedule]],4,0)</f>
        <v>32000</v>
      </c>
      <c r="S47" s="19">
        <f t="shared" si="1"/>
        <v>22512.548185919997</v>
      </c>
      <c r="T47" s="19">
        <v>0</v>
      </c>
      <c r="U47" s="19"/>
      <c r="V47" s="34">
        <f>ROUND((S47+Table3[[#This Row],[In Transit]])/R47*30,0)</f>
        <v>21</v>
      </c>
      <c r="W47" s="31">
        <v>48000</v>
      </c>
      <c r="X47" s="32"/>
      <c r="Y47" s="32"/>
      <c r="Z47" s="32"/>
      <c r="AA47" s="33">
        <f>IF((45-Table3[[#This Row],[Coverage post order]])&gt;0,Table3[[#This Row],[Schedule]]*1.5,0)</f>
        <v>0</v>
      </c>
      <c r="AB47" s="34">
        <f>ROUND((Table3[[#This Row],[Stock]]+Table3[[#This Row],[056 Order]]+Table3[[#This Row],[0789 Order]]+Table3[[#This Row],[0788 Order]]+Table3[[#This Row],[In Transit]])/Table3[[#This Row],[Schedule]]*30,0)</f>
        <v>66</v>
      </c>
      <c r="AC47" s="40" t="s">
        <v>93</v>
      </c>
    </row>
    <row r="48" spans="1:30" ht="20.25" customHeight="1" x14ac:dyDescent="0.25">
      <c r="A48" s="34">
        <v>45</v>
      </c>
      <c r="B48" s="34"/>
      <c r="C48" s="19">
        <v>943209</v>
      </c>
      <c r="D48" s="19">
        <v>25.4</v>
      </c>
      <c r="E48" s="27">
        <v>0</v>
      </c>
      <c r="F48" s="19">
        <v>2</v>
      </c>
      <c r="G48" s="19">
        <v>6</v>
      </c>
      <c r="H48" s="19"/>
      <c r="I48" s="19" t="s">
        <v>116</v>
      </c>
      <c r="J48" s="19" t="str">
        <f>_xlfn.CONCAT(Table3[[#This Row],[key]],"-",Table3[[#This Row],[Length]])</f>
        <v>25.4-0-2-ERW 1-PE-6</v>
      </c>
      <c r="K48" s="19" t="s">
        <v>29</v>
      </c>
      <c r="L48" s="19" t="s">
        <v>30</v>
      </c>
      <c r="M48" s="19"/>
      <c r="N48" s="19">
        <v>2604</v>
      </c>
      <c r="O48" s="31">
        <v>3500096</v>
      </c>
      <c r="P48" s="32"/>
      <c r="Q48" s="32"/>
      <c r="R48" s="27">
        <f>VLOOKUP(Table3[[#This Row],[length key]],Table2[[#All],[length key]:[Total schedule]],4,0)</f>
        <v>0</v>
      </c>
      <c r="S48" s="19">
        <f t="shared" si="1"/>
        <v>18032.5677168</v>
      </c>
      <c r="T48" s="19">
        <v>0</v>
      </c>
      <c r="U48" s="19"/>
      <c r="V48" s="34" t="e">
        <f>ROUND((S48+Table3[[#This Row],[In Transit]])/R48*30,0)</f>
        <v>#DIV/0!</v>
      </c>
      <c r="W48" s="32"/>
      <c r="X48" s="32"/>
      <c r="Y48" s="32"/>
      <c r="Z48" s="32"/>
      <c r="AA48" s="33" t="e">
        <f>IF((45-Table3[[#This Row],[Coverage post order]])&gt;0,Table3[[#This Row],[Schedule]]*1.5,0)</f>
        <v>#DIV/0!</v>
      </c>
      <c r="AB48" s="32" t="e">
        <f>ROUND((Table3[[#This Row],[Stock]]+Table3[[#This Row],[056 Order]]+Table3[[#This Row],[0789 Order]]+Table3[[#This Row],[0788 Order]]+Table3[[#This Row],[In Transit]])/Table3[[#This Row],[Schedule]]*30,0)</f>
        <v>#DIV/0!</v>
      </c>
      <c r="AC48" s="34"/>
    </row>
    <row r="49" spans="1:29" ht="20.25" customHeight="1" x14ac:dyDescent="0.25">
      <c r="A49" s="34">
        <v>47</v>
      </c>
      <c r="B49" s="34"/>
      <c r="C49" s="19">
        <v>943209</v>
      </c>
      <c r="D49" s="19">
        <v>25.4</v>
      </c>
      <c r="E49" s="27">
        <v>0</v>
      </c>
      <c r="F49" s="19">
        <v>2.5</v>
      </c>
      <c r="G49" s="19">
        <v>5.53</v>
      </c>
      <c r="H49" s="19">
        <v>7.8079999999999998</v>
      </c>
      <c r="I49" s="19" t="s">
        <v>52</v>
      </c>
      <c r="J49" s="19" t="str">
        <f>_xlfn.CONCAT(Table3[[#This Row],[key]],"-",Table3[[#This Row],[Length]])</f>
        <v>25.4-0-2.5-ERW 1-FC-5.53</v>
      </c>
      <c r="K49" s="19" t="s">
        <v>29</v>
      </c>
      <c r="L49" s="19" t="s">
        <v>47</v>
      </c>
      <c r="M49" s="19"/>
      <c r="N49" s="19">
        <v>3034</v>
      </c>
      <c r="O49" s="31">
        <v>3502256</v>
      </c>
      <c r="P49" s="32">
        <v>3502256</v>
      </c>
      <c r="Q49" s="32"/>
      <c r="R49" s="19">
        <f>VLOOKUP(Table3[[#This Row],[length key]],Table2[[#All],[length key]:[Total schedule]],4,0)</f>
        <v>56000</v>
      </c>
      <c r="S49" s="19">
        <f t="shared" si="1"/>
        <v>23688.397778167502</v>
      </c>
      <c r="T49" s="19">
        <v>31527</v>
      </c>
      <c r="U49" s="19"/>
      <c r="V49" s="27">
        <f>ROUND((S49+Table3[[#This Row],[In Transit]])/R49*30,0)</f>
        <v>30</v>
      </c>
      <c r="W49" s="31">
        <v>48900</v>
      </c>
      <c r="X49" s="32"/>
      <c r="Y49" s="32"/>
      <c r="Z49" s="32"/>
      <c r="AA49" s="36">
        <f>IF((45-Table3[[#This Row],[Coverage post order]])&gt;0,Table3[[#This Row],[Schedule]]*1.5,0)</f>
        <v>0</v>
      </c>
      <c r="AB49" s="34">
        <f>ROUND((Table3[[#This Row],[Stock]]+Table3[[#This Row],[056 Order]]+Table3[[#This Row],[0789 Order]]+Table3[[#This Row],[0788 Order]]+Table3[[#This Row],[In Transit]])/Table3[[#This Row],[Schedule]]*30,0)</f>
        <v>56</v>
      </c>
      <c r="AC49" s="40">
        <v>56</v>
      </c>
    </row>
    <row r="50" spans="1:29" ht="20.25" customHeight="1" x14ac:dyDescent="0.25">
      <c r="A50" s="34">
        <v>48</v>
      </c>
      <c r="B50" s="34"/>
      <c r="C50" s="19">
        <v>943209</v>
      </c>
      <c r="D50" s="19">
        <v>25.4</v>
      </c>
      <c r="E50" s="27">
        <v>0</v>
      </c>
      <c r="F50" s="19">
        <v>2.5</v>
      </c>
      <c r="G50" s="19">
        <v>5.95</v>
      </c>
      <c r="H50" s="41">
        <v>8.33</v>
      </c>
      <c r="I50" s="19" t="s">
        <v>53</v>
      </c>
      <c r="J50" s="19" t="str">
        <f>_xlfn.CONCAT(Table3[[#This Row],[key]],"-",Table3[[#This Row],[Length]])</f>
        <v>25.4-0-2.5-ERW 1-FC -5.95</v>
      </c>
      <c r="K50" s="19" t="s">
        <v>29</v>
      </c>
      <c r="L50" s="19" t="s">
        <v>47</v>
      </c>
      <c r="M50" s="19"/>
      <c r="N50" s="19">
        <v>0</v>
      </c>
      <c r="O50" s="31">
        <v>3682066</v>
      </c>
      <c r="P50" s="32"/>
      <c r="Q50" s="32"/>
      <c r="R50" s="27">
        <f>VLOOKUP(Table3[[#This Row],[length key]],Table2[[#All],[length key]:[Total schedule]],4,0)</f>
        <v>0</v>
      </c>
      <c r="S50" s="19">
        <f t="shared" si="1"/>
        <v>0</v>
      </c>
      <c r="T50" s="19">
        <v>11299</v>
      </c>
      <c r="U50" s="19"/>
      <c r="V50" s="34" t="e">
        <f>ROUND((S50+Table3[[#This Row],[In Transit]])/R50*30,0)</f>
        <v>#DIV/0!</v>
      </c>
      <c r="W50" s="31">
        <v>15000</v>
      </c>
      <c r="X50" s="32"/>
      <c r="Y50" s="32"/>
      <c r="Z50" s="32"/>
      <c r="AA50" s="33" t="e">
        <f>IF((45-Table3[[#This Row],[Coverage post order]])&gt;0,Table3[[#This Row],[Schedule]]*1.5,0)</f>
        <v>#DIV/0!</v>
      </c>
      <c r="AB50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50" s="40" t="s">
        <v>93</v>
      </c>
    </row>
    <row r="51" spans="1:29" ht="20.25" customHeight="1" x14ac:dyDescent="0.25">
      <c r="A51" s="34">
        <v>49</v>
      </c>
      <c r="B51" s="34"/>
      <c r="C51" s="19"/>
      <c r="D51" s="19">
        <v>25.4</v>
      </c>
      <c r="E51" s="27">
        <v>0</v>
      </c>
      <c r="F51" s="19">
        <v>2.6</v>
      </c>
      <c r="G51" s="19">
        <v>3.5</v>
      </c>
      <c r="H51" s="19">
        <v>5.117</v>
      </c>
      <c r="I51" s="19" t="s">
        <v>54</v>
      </c>
      <c r="J51" s="19" t="str">
        <f>_xlfn.CONCAT(Table3[[#This Row],[key]],"-",Table3[[#This Row],[Length]])</f>
        <v>25.4-0-2.5-CEW-CEW-3.5</v>
      </c>
      <c r="K51" s="19" t="s">
        <v>55</v>
      </c>
      <c r="L51" s="19" t="s">
        <v>47</v>
      </c>
      <c r="M51" s="19"/>
      <c r="N51" s="19">
        <v>680</v>
      </c>
      <c r="O51" s="42" t="s">
        <v>117</v>
      </c>
      <c r="P51" s="42"/>
      <c r="Q51" s="32"/>
      <c r="R51" s="27">
        <f>VLOOKUP(Table3[[#This Row],[length key]],Table2[[#All],[length key]:[Total schedule]],4,0)</f>
        <v>0</v>
      </c>
      <c r="S51" s="19">
        <f t="shared" si="1"/>
        <v>3479.4022535999998</v>
      </c>
      <c r="T51" s="19"/>
      <c r="U51" s="19"/>
      <c r="V51" s="34" t="e">
        <f>ROUND((S51+Table3[[#This Row],[In Transit]])/R51*30,0)</f>
        <v>#DIV/0!</v>
      </c>
      <c r="W51" s="32"/>
      <c r="X51" s="32"/>
      <c r="Y51" s="32"/>
      <c r="Z51" s="32"/>
      <c r="AA51" s="33" t="e">
        <f>IF((45-Table3[[#This Row],[Coverage post order]])&gt;0,Table3[[#This Row],[Schedule]]*1.5,0)</f>
        <v>#DIV/0!</v>
      </c>
      <c r="AB51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51" s="34"/>
    </row>
    <row r="52" spans="1:29" ht="20.25" customHeight="1" x14ac:dyDescent="0.25">
      <c r="A52" s="34">
        <v>50</v>
      </c>
      <c r="B52" s="34"/>
      <c r="C52" s="19"/>
      <c r="D52" s="19">
        <v>25.4</v>
      </c>
      <c r="E52" s="27">
        <v>0</v>
      </c>
      <c r="F52" s="19">
        <v>2.6</v>
      </c>
      <c r="G52" s="19">
        <v>6</v>
      </c>
      <c r="H52" s="19">
        <v>8.7720000000000002</v>
      </c>
      <c r="I52" s="19" t="s">
        <v>54</v>
      </c>
      <c r="J52" s="19" t="str">
        <f>_xlfn.CONCAT(Table3[[#This Row],[key]],"-",Table3[[#This Row],[Length]])</f>
        <v>25.4-0-2.5-CEW-CEW-6</v>
      </c>
      <c r="K52" s="19" t="s">
        <v>55</v>
      </c>
      <c r="L52" s="19" t="s">
        <v>47</v>
      </c>
      <c r="M52" s="19"/>
      <c r="N52" s="19">
        <v>0</v>
      </c>
      <c r="O52" s="31"/>
      <c r="P52" s="32"/>
      <c r="Q52" s="32"/>
      <c r="R52" s="27">
        <f>VLOOKUP(Table3[[#This Row],[length key]],Table2[[#All],[length key]:[Total schedule]],4,0)</f>
        <v>0</v>
      </c>
      <c r="S52" s="19">
        <f t="shared" si="1"/>
        <v>0</v>
      </c>
      <c r="T52" s="19"/>
      <c r="U52" s="19"/>
      <c r="V52" s="34" t="e">
        <f>ROUND((S52+Table3[[#This Row],[In Transit]])/R52*30,0)</f>
        <v>#DIV/0!</v>
      </c>
      <c r="W52" s="32"/>
      <c r="X52" s="32"/>
      <c r="Y52" s="32"/>
      <c r="Z52" s="32"/>
      <c r="AA52" s="33" t="e">
        <f>IF((45-Table3[[#This Row],[Coverage post order]])&gt;0,Table3[[#This Row],[Schedule]]*1.5,0)</f>
        <v>#DIV/0!</v>
      </c>
      <c r="AB52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52" s="34"/>
    </row>
    <row r="53" spans="1:29" ht="20.25" customHeight="1" x14ac:dyDescent="0.25">
      <c r="A53" s="34"/>
      <c r="B53" s="34"/>
      <c r="C53" s="19"/>
      <c r="D53" s="19">
        <v>25.4</v>
      </c>
      <c r="E53" s="19"/>
      <c r="F53" s="19">
        <v>3.5</v>
      </c>
      <c r="G53" s="19">
        <v>5.6</v>
      </c>
      <c r="H53" s="19"/>
      <c r="I53" s="19"/>
      <c r="J53" s="19"/>
      <c r="K53" s="19"/>
      <c r="L53" s="19"/>
      <c r="M53" s="19"/>
      <c r="N53" s="19">
        <v>317</v>
      </c>
      <c r="O53" s="31"/>
      <c r="P53" s="32"/>
      <c r="Q53" s="32"/>
      <c r="R53" s="27">
        <f>_xlfn.IFNA(VLOOKUP(Table3[[#This Row],[length key]],Table2[[#All],[length key]:[Total schedule]],4,0),0)</f>
        <v>0</v>
      </c>
      <c r="S53" s="19">
        <f>((D53-F53)*F53*0.0246615*G53*N53)</f>
        <v>3355.6676164199994</v>
      </c>
      <c r="T53" s="19"/>
      <c r="U53" s="19"/>
      <c r="V53" s="34" t="e">
        <f>ROUND((S53+Table3[[#This Row],[In Transit]])/R53*30,0)</f>
        <v>#DIV/0!</v>
      </c>
      <c r="W53" s="31"/>
      <c r="X53" s="32"/>
      <c r="Y53" s="32"/>
      <c r="Z53" s="32"/>
      <c r="AA53" s="33" t="e">
        <f>IF((45-Table3[[#This Row],[Coverage post order]])&gt;0,Table3[[#This Row],[Schedule]]*1.5,0)</f>
        <v>#DIV/0!</v>
      </c>
      <c r="AB53" s="32" t="e">
        <f>ROUND((Table3[[#This Row],[Stock]]+Table3[[#This Row],[056 Order]]+Table3[[#This Row],[0789 Order]]+Table3[[#This Row],[0788 Order]])/Table3[[#This Row],[Schedule]]*30,0)</f>
        <v>#DIV/0!</v>
      </c>
      <c r="AC53" s="34"/>
    </row>
    <row r="54" spans="1:29" ht="20.25" customHeight="1" x14ac:dyDescent="0.25">
      <c r="A54" s="34">
        <v>51</v>
      </c>
      <c r="B54" s="34"/>
      <c r="C54" s="19"/>
      <c r="D54" s="19">
        <v>25.4</v>
      </c>
      <c r="E54" s="27">
        <v>0</v>
      </c>
      <c r="F54" s="19">
        <v>4</v>
      </c>
      <c r="G54" s="19">
        <v>4.4000000000000004</v>
      </c>
      <c r="H54" s="19">
        <v>9.2889999999999997</v>
      </c>
      <c r="I54" s="27" t="str">
        <f>_xlfn.CONCAT("Megh-",D54,"-",E54,"-",F54,"-",G54)</f>
        <v>Megh-25.4-0-4-4.4</v>
      </c>
      <c r="J54" s="27" t="str">
        <f>_xlfn.CONCAT(Table3[[#This Row],[key]])</f>
        <v>Megh-25.4-0-4-4.4</v>
      </c>
      <c r="K54" s="19" t="s">
        <v>55</v>
      </c>
      <c r="L54" s="19" t="s">
        <v>47</v>
      </c>
      <c r="M54" s="19"/>
      <c r="N54" s="19">
        <v>0</v>
      </c>
      <c r="O54" s="42" t="s">
        <v>118</v>
      </c>
      <c r="P54" s="42"/>
      <c r="Q54" s="32"/>
      <c r="R54" s="27">
        <f>VLOOKUP(Table3[[#This Row],[length key]],Table2[[#All],[length key]:[Total schedule]],4,0)</f>
        <v>0</v>
      </c>
      <c r="S54" s="19">
        <f t="shared" si="1"/>
        <v>0</v>
      </c>
      <c r="T54" s="19"/>
      <c r="U54" s="19"/>
      <c r="V54" s="34" t="e">
        <f>ROUND((S54+Table3[[#This Row],[In Transit]])/R54*30,0)</f>
        <v>#DIV/0!</v>
      </c>
      <c r="W54" s="32"/>
      <c r="X54" s="32"/>
      <c r="Y54" s="32"/>
      <c r="Z54" s="32"/>
      <c r="AA54" s="33" t="e">
        <f>IF((45-Table3[[#This Row],[Coverage post order]])&gt;0,Table3[[#This Row],[Schedule]]*1.5,0)</f>
        <v>#DIV/0!</v>
      </c>
      <c r="AB54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54" s="34"/>
    </row>
    <row r="55" spans="1:29" ht="20.25" customHeight="1" x14ac:dyDescent="0.25">
      <c r="A55" s="27">
        <v>52</v>
      </c>
      <c r="B55" s="27"/>
      <c r="C55" s="27">
        <v>943209</v>
      </c>
      <c r="D55" s="27">
        <v>28.58</v>
      </c>
      <c r="E55" s="27">
        <v>0</v>
      </c>
      <c r="F55" s="27">
        <v>1.2</v>
      </c>
      <c r="G55" s="27">
        <v>6</v>
      </c>
      <c r="H55" s="27">
        <v>4.8620000000000001</v>
      </c>
      <c r="I55" s="27" t="s">
        <v>56</v>
      </c>
      <c r="J55" s="27" t="str">
        <f>_xlfn.CONCAT(Table3[[#This Row],[key]],"-",Table3[[#This Row],[Length]])</f>
        <v>28.58-0-1.2-ERW 1-PE-6</v>
      </c>
      <c r="K55" s="27" t="s">
        <v>29</v>
      </c>
      <c r="L55" s="27" t="s">
        <v>47</v>
      </c>
      <c r="M55" s="27"/>
      <c r="N55" s="27">
        <v>0</v>
      </c>
      <c r="O55" s="28"/>
      <c r="P55" s="27">
        <v>3702101</v>
      </c>
      <c r="Q55" s="27"/>
      <c r="R55" s="27">
        <f>VLOOKUP(Table3[[#This Row],[length key]],Table2[[#All],[length key]:[Total schedule]],4,0)</f>
        <v>0</v>
      </c>
      <c r="S55" s="27">
        <f t="shared" si="1"/>
        <v>0</v>
      </c>
      <c r="T55" s="27"/>
      <c r="U55" s="27"/>
      <c r="V55" s="27" t="e">
        <f>ROUND((S55+Table3[[#This Row],[In Transit]])/R55*30,0)</f>
        <v>#DIV/0!</v>
      </c>
      <c r="W55" s="27"/>
      <c r="X55" s="27"/>
      <c r="Y55" s="27"/>
      <c r="Z55" s="27"/>
      <c r="AA55" s="29" t="e">
        <f>IF((45-Table3[[#This Row],[Coverage post order]])&gt;0,Table3[[#This Row],[Schedule]]*1.5,0)</f>
        <v>#DIV/0!</v>
      </c>
      <c r="AB55" s="27" t="e">
        <f>ROUND((Table3[[#This Row],[Stock]]+Table3[[#This Row],[056 Order]]+Table3[[#This Row],[0789 Order]]+Table3[[#This Row],[0788 Order]]+Table3[[#This Row],[In Transit]])/Table3[[#This Row],[Schedule]]*30,0)</f>
        <v>#DIV/0!</v>
      </c>
      <c r="AC55" s="43" t="s">
        <v>119</v>
      </c>
    </row>
    <row r="56" spans="1:29" ht="20.25" customHeight="1" x14ac:dyDescent="0.25">
      <c r="A56" s="34">
        <v>53</v>
      </c>
      <c r="B56" s="34"/>
      <c r="C56" s="19"/>
      <c r="D56" s="19">
        <v>28.58</v>
      </c>
      <c r="E56" s="27">
        <v>0</v>
      </c>
      <c r="F56" s="19">
        <v>2.6</v>
      </c>
      <c r="G56" s="19">
        <v>4.5</v>
      </c>
      <c r="H56" s="19">
        <v>7.4960000000000004</v>
      </c>
      <c r="I56" s="19" t="s">
        <v>57</v>
      </c>
      <c r="J56" s="19" t="str">
        <f>_xlfn.CONCAT(Table3[[#This Row],[key]],"-",Table3[[#This Row],[Length]])</f>
        <v>28.6-0-2.65-CEW-CEW-4.5</v>
      </c>
      <c r="K56" s="19" t="s">
        <v>55</v>
      </c>
      <c r="L56" s="19" t="s">
        <v>47</v>
      </c>
      <c r="M56" s="19"/>
      <c r="N56" s="19">
        <v>0</v>
      </c>
      <c r="O56" s="31"/>
      <c r="P56" s="32"/>
      <c r="Q56" s="32"/>
      <c r="R56" s="19">
        <f>VLOOKUP(Table3[[#This Row],[length key]],Table2[[#All],[length key]:[Total schedule]],4,0)</f>
        <v>8000</v>
      </c>
      <c r="S56" s="19">
        <f t="shared" si="1"/>
        <v>0</v>
      </c>
      <c r="T56" s="19"/>
      <c r="U56" s="19"/>
      <c r="V56" s="34">
        <f>ROUND((S56+Table3[[#This Row],[In Transit]])/R56*30,0)</f>
        <v>0</v>
      </c>
      <c r="W56" s="32"/>
      <c r="X56" s="32"/>
      <c r="Y56" s="32"/>
      <c r="Z56" s="32"/>
      <c r="AA56" s="33">
        <f>IF((45-Table3[[#This Row],[Coverage post order]])&gt;0,Table3[[#This Row],[Schedule]]*1.5,0)</f>
        <v>12000</v>
      </c>
      <c r="AB56" s="34">
        <f>ROUND((Table3[[#This Row],[Stock]]+Table3[[#This Row],[056 Order]]+Table3[[#This Row],[0789 Order]]+Table3[[#This Row],[0788 Order]]+Table3[[#This Row],[In Transit]])/Table3[[#This Row],[Schedule]]*30,0)</f>
        <v>0</v>
      </c>
      <c r="AC56" s="40" t="s">
        <v>95</v>
      </c>
    </row>
    <row r="57" spans="1:29" ht="20.25" customHeight="1" x14ac:dyDescent="0.25">
      <c r="A57" s="34">
        <v>54</v>
      </c>
      <c r="B57" s="34"/>
      <c r="C57" s="19"/>
      <c r="D57" s="19">
        <v>28.58</v>
      </c>
      <c r="E57" s="27">
        <v>0</v>
      </c>
      <c r="F57" s="19">
        <v>2.6</v>
      </c>
      <c r="G57" s="19">
        <v>6.07</v>
      </c>
      <c r="H57" s="19">
        <v>10.112</v>
      </c>
      <c r="I57" s="19" t="s">
        <v>57</v>
      </c>
      <c r="J57" s="19" t="str">
        <f>_xlfn.CONCAT(Table3[[#This Row],[key]],"-",Table3[[#This Row],[Length]])</f>
        <v>28.6-0-2.65-CEW-CEW-6.07</v>
      </c>
      <c r="K57" s="19" t="s">
        <v>55</v>
      </c>
      <c r="L57" s="19" t="s">
        <v>47</v>
      </c>
      <c r="M57" s="19"/>
      <c r="N57" s="19">
        <v>0</v>
      </c>
      <c r="O57" s="31"/>
      <c r="P57" s="32"/>
      <c r="Q57" s="32"/>
      <c r="R57" s="27">
        <f>VLOOKUP(Table3[[#This Row],[length key]],Table2[[#All],[length key]:[Total schedule]],4,0)</f>
        <v>0</v>
      </c>
      <c r="S57" s="19">
        <f t="shared" si="1"/>
        <v>0</v>
      </c>
      <c r="T57" s="19"/>
      <c r="U57" s="19"/>
      <c r="V57" s="34" t="e">
        <f>ROUND((S57+Table3[[#This Row],[In Transit]])/R57*30,0)</f>
        <v>#DIV/0!</v>
      </c>
      <c r="W57" s="32"/>
      <c r="X57" s="32"/>
      <c r="Y57" s="32"/>
      <c r="Z57" s="32"/>
      <c r="AA57" s="33" t="e">
        <f>IF((45-Table3[[#This Row],[Coverage post order]])&gt;0,Table3[[#This Row],[Schedule]]*1.5,0)</f>
        <v>#DIV/0!</v>
      </c>
      <c r="AB57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57" s="37" t="s">
        <v>120</v>
      </c>
    </row>
    <row r="58" spans="1:29" ht="20.25" customHeight="1" x14ac:dyDescent="0.25">
      <c r="A58" s="34">
        <v>55</v>
      </c>
      <c r="B58" s="34"/>
      <c r="C58" s="19">
        <v>943210</v>
      </c>
      <c r="D58" s="19">
        <v>28.58</v>
      </c>
      <c r="E58" s="27">
        <v>0</v>
      </c>
      <c r="F58" s="19">
        <v>3.2</v>
      </c>
      <c r="G58" s="19">
        <v>6.06</v>
      </c>
      <c r="H58" s="19">
        <v>12.016999999999999</v>
      </c>
      <c r="I58" s="19" t="str">
        <f>_xlfn.CONCAT("Megh-",D58,"-",E58,"-",F58,"-",G58)</f>
        <v>Megh-28.58-0-3.2-6.06</v>
      </c>
      <c r="J58" s="27" t="str">
        <f>_xlfn.CONCAT(Table3[[#This Row],[key]])</f>
        <v>Megh-28.58-0-3.2-6.06</v>
      </c>
      <c r="K58" s="19" t="s">
        <v>29</v>
      </c>
      <c r="L58" s="19" t="s">
        <v>47</v>
      </c>
      <c r="M58" s="19"/>
      <c r="N58" s="19">
        <v>273</v>
      </c>
      <c r="O58" s="31"/>
      <c r="P58" s="32">
        <v>1940627</v>
      </c>
      <c r="Q58" s="32">
        <v>1931046</v>
      </c>
      <c r="R58" s="27">
        <f>VLOOKUP(Table3[[#This Row],[length key]],Table2[[#All],[length key]:[Total schedule]],4,0)</f>
        <v>0</v>
      </c>
      <c r="S58" s="19">
        <f t="shared" si="1"/>
        <v>3313.5715723219205</v>
      </c>
      <c r="T58" s="19"/>
      <c r="U58" s="19"/>
      <c r="V58" s="34" t="e">
        <f>ROUND((S58+Table3[[#This Row],[In Transit]])/R58*30,0)</f>
        <v>#DIV/0!</v>
      </c>
      <c r="W58" s="32"/>
      <c r="X58" s="39"/>
      <c r="Y58" s="32"/>
      <c r="Z58" s="32"/>
      <c r="AA58" s="36" t="e">
        <f>IF((45-Table3[[#This Row],[Coverage post order]])&gt;0,Table3[[#This Row],[Schedule]]*1.5,0)</f>
        <v>#DIV/0!</v>
      </c>
      <c r="AB58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58" s="34" t="s">
        <v>110</v>
      </c>
    </row>
    <row r="59" spans="1:29" ht="20.25" customHeight="1" x14ac:dyDescent="0.25">
      <c r="A59" s="34"/>
      <c r="B59" s="34"/>
      <c r="C59" s="19"/>
      <c r="D59" s="19">
        <v>29.4</v>
      </c>
      <c r="E59" s="27">
        <v>0</v>
      </c>
      <c r="F59" s="19">
        <v>4.5</v>
      </c>
      <c r="G59" s="19">
        <v>4.4400000000000004</v>
      </c>
      <c r="H59" s="19"/>
      <c r="I59" s="19" t="s">
        <v>88</v>
      </c>
      <c r="J59" s="19" t="str">
        <f>_xlfn.CONCAT(Table3[[#This Row],[key]],"-",Table3[[#This Row],[Length]])</f>
        <v>29.4-20.4-4.5-CEW-CEW-4.44</v>
      </c>
      <c r="K59" s="19"/>
      <c r="L59" s="19"/>
      <c r="M59" s="19"/>
      <c r="N59" s="19">
        <v>770</v>
      </c>
      <c r="O59" s="31"/>
      <c r="P59" s="32"/>
      <c r="Q59" s="32"/>
      <c r="R59" s="27">
        <f>_xlfn.IFNA(VLOOKUP(Table3[[#This Row],[length key]],Table2[[#All],[length key]:[Total schedule]],4,0),0)</f>
        <v>0</v>
      </c>
      <c r="S59" s="19">
        <f t="shared" si="1"/>
        <v>9447.2420912100006</v>
      </c>
      <c r="T59" s="19"/>
      <c r="U59" s="19"/>
      <c r="V59" s="34" t="e">
        <f>ROUND((S59+Table3[[#This Row],[In Transit]])/R59*30,0)</f>
        <v>#DIV/0!</v>
      </c>
      <c r="W59" s="32"/>
      <c r="X59" s="39"/>
      <c r="Y59" s="32"/>
      <c r="Z59" s="32"/>
      <c r="AA59" s="33" t="e">
        <f>IF((45-Table3[[#This Row],[Coverage post order]])&gt;0,Table3[[#This Row],[Schedule]]*1.5,0)</f>
        <v>#DIV/0!</v>
      </c>
      <c r="AB59" s="32" t="e">
        <f>ROUND((Table3[[#This Row],[Stock]]+Table3[[#This Row],[056 Order]]+Table3[[#This Row],[0789 Order]]+Table3[[#This Row],[0788 Order]])/Table3[[#This Row],[Schedule]]*30,0)</f>
        <v>#DIV/0!</v>
      </c>
      <c r="AC59" s="34" t="s">
        <v>110</v>
      </c>
    </row>
    <row r="60" spans="1:29" ht="20.25" customHeight="1" x14ac:dyDescent="0.25">
      <c r="A60" s="34">
        <v>56</v>
      </c>
      <c r="B60" s="34"/>
      <c r="C60" s="19"/>
      <c r="D60" s="19">
        <v>30</v>
      </c>
      <c r="E60" s="27">
        <v>0</v>
      </c>
      <c r="F60" s="19">
        <v>3</v>
      </c>
      <c r="G60" s="19">
        <v>3.5</v>
      </c>
      <c r="H60" s="19">
        <v>6.992</v>
      </c>
      <c r="I60" s="19" t="str">
        <f>_xlfn.CONCAT("Megh-",D60,"-",E60,"-",F60,"-",G60)</f>
        <v>Megh-30-0-3-3.5</v>
      </c>
      <c r="J60" s="27" t="str">
        <f>_xlfn.CONCAT(Table3[[#This Row],[key]])</f>
        <v>Megh-30-0-3-3.5</v>
      </c>
      <c r="K60" s="19" t="s">
        <v>55</v>
      </c>
      <c r="L60" s="19" t="s">
        <v>47</v>
      </c>
      <c r="M60" s="19"/>
      <c r="N60" s="19">
        <v>0</v>
      </c>
      <c r="O60" s="31"/>
      <c r="P60" s="32"/>
      <c r="Q60" s="32"/>
      <c r="R60" s="27">
        <f>_xlfn.IFNA(VLOOKUP(Table3[[#This Row],[length key]],Table2[[#All],[length key]:[Total schedule]],4,0),0)</f>
        <v>0</v>
      </c>
      <c r="S60" s="19">
        <f t="shared" si="1"/>
        <v>0</v>
      </c>
      <c r="T60" s="19"/>
      <c r="U60" s="19"/>
      <c r="V60" s="34" t="e">
        <f>ROUND((S60+Table3[[#This Row],[In Transit]])/R60*30,0)</f>
        <v>#DIV/0!</v>
      </c>
      <c r="W60" s="32"/>
      <c r="X60" s="32"/>
      <c r="Y60" s="32"/>
      <c r="Z60" s="32"/>
      <c r="AA60" s="33" t="e">
        <f>IF((45-Table3[[#This Row],[Coverage post order]])&gt;0,Table3[[#This Row],[Schedule]]*1.5,0)</f>
        <v>#DIV/0!</v>
      </c>
      <c r="AB60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60" s="34"/>
    </row>
    <row r="61" spans="1:29" ht="20.25" customHeight="1" x14ac:dyDescent="0.25">
      <c r="A61" s="34">
        <v>57</v>
      </c>
      <c r="B61" s="34"/>
      <c r="C61" s="19"/>
      <c r="D61" s="19">
        <v>31.75</v>
      </c>
      <c r="E61" s="27">
        <v>0</v>
      </c>
      <c r="F61" s="19">
        <v>1.2</v>
      </c>
      <c r="G61" s="19">
        <v>5.0999999999999996</v>
      </c>
      <c r="H61" s="19"/>
      <c r="I61" s="19" t="s">
        <v>58</v>
      </c>
      <c r="J61" s="19" t="str">
        <f>_xlfn.CONCAT(Table3[[#This Row],[key]],"-",Table3[[#This Row],[Length]])</f>
        <v>31.75-0-1.2-ERW 1-FC-5.1</v>
      </c>
      <c r="K61" s="19" t="s">
        <v>29</v>
      </c>
      <c r="L61" s="19" t="s">
        <v>47</v>
      </c>
      <c r="M61" s="19"/>
      <c r="N61" s="19">
        <v>0</v>
      </c>
      <c r="O61" s="31"/>
      <c r="P61" s="32"/>
      <c r="Q61" s="32"/>
      <c r="R61" s="19">
        <f>VLOOKUP(Table3[[#This Row],[length key]],Table2[[#All],[length key]:[Total schedule]],4,0)</f>
        <v>5000</v>
      </c>
      <c r="S61" s="19">
        <f t="shared" si="1"/>
        <v>0</v>
      </c>
      <c r="T61" s="19"/>
      <c r="U61" s="19"/>
      <c r="V61" s="34">
        <f>ROUND((S61+Table3[[#This Row],[In Transit]])/R61*30,0)</f>
        <v>0</v>
      </c>
      <c r="W61" s="32"/>
      <c r="X61" s="32"/>
      <c r="Y61" s="32"/>
      <c r="Z61" s="32"/>
      <c r="AA61" s="33">
        <f>IF((45-Table3[[#This Row],[Coverage post order]])&gt;0,Table3[[#This Row],[Schedule]]*1.5,0)</f>
        <v>7500</v>
      </c>
      <c r="AB61" s="32">
        <f>ROUND((Table3[[#This Row],[Stock]]+Table3[[#This Row],[056 Order]]+Table3[[#This Row],[0789 Order]]+Table3[[#This Row],[0788 Order]]+Table3[[#This Row],[In Transit]])/Table3[[#This Row],[Schedule]]*30,0)</f>
        <v>0</v>
      </c>
      <c r="AC61" s="56" t="s">
        <v>108</v>
      </c>
    </row>
    <row r="62" spans="1:29" ht="20.25" customHeight="1" x14ac:dyDescent="0.25">
      <c r="A62" s="34">
        <v>58</v>
      </c>
      <c r="B62" s="34"/>
      <c r="C62" s="19"/>
      <c r="D62" s="19">
        <v>31.75</v>
      </c>
      <c r="E62" s="27">
        <v>0</v>
      </c>
      <c r="F62" s="19">
        <v>1.2</v>
      </c>
      <c r="G62" s="19">
        <v>6</v>
      </c>
      <c r="H62" s="19" t="s">
        <v>59</v>
      </c>
      <c r="I62" s="19" t="s">
        <v>58</v>
      </c>
      <c r="J62" s="19" t="str">
        <f>_xlfn.CONCAT(Table3[[#This Row],[key]],"-",Table3[[#This Row],[Length]])</f>
        <v>31.75-0-1.2-ERW 1-FC-6</v>
      </c>
      <c r="K62" s="19" t="s">
        <v>29</v>
      </c>
      <c r="L62" s="19" t="s">
        <v>47</v>
      </c>
      <c r="M62" s="19"/>
      <c r="N62" s="19">
        <v>3904</v>
      </c>
      <c r="O62" s="31">
        <v>3884381</v>
      </c>
      <c r="P62" s="32"/>
      <c r="Q62" s="32"/>
      <c r="R62" s="27">
        <f>VLOOKUP(Table3[[#This Row],[length key]],Table2[[#All],[length key]:[Total schedule]],4,0)</f>
        <v>0</v>
      </c>
      <c r="S62" s="19">
        <f t="shared" si="1"/>
        <v>21177.417980159997</v>
      </c>
      <c r="T62" s="19"/>
      <c r="U62" s="19"/>
      <c r="V62" s="34" t="e">
        <f>ROUND((S62+Table3[[#This Row],[In Transit]])/R62*30,0)</f>
        <v>#DIV/0!</v>
      </c>
      <c r="W62" s="32"/>
      <c r="X62" s="32"/>
      <c r="Y62" s="32"/>
      <c r="Z62" s="32"/>
      <c r="AA62" s="33" t="e">
        <f>IF((45-Table3[[#This Row],[Coverage post order]])&gt;0,Table3[[#This Row],[Schedule]]*1.5,0)</f>
        <v>#DIV/0!</v>
      </c>
      <c r="AB62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62" s="34"/>
    </row>
    <row r="63" spans="1:29" ht="20.25" customHeight="1" x14ac:dyDescent="0.25">
      <c r="A63" s="34">
        <v>59</v>
      </c>
      <c r="B63" s="34"/>
      <c r="C63" s="19">
        <v>943211</v>
      </c>
      <c r="D63" s="19">
        <v>31.75</v>
      </c>
      <c r="E63" s="27">
        <v>0</v>
      </c>
      <c r="F63" s="19">
        <v>2</v>
      </c>
      <c r="G63" s="19">
        <v>6</v>
      </c>
      <c r="H63" s="19">
        <v>8.657</v>
      </c>
      <c r="I63" s="27" t="s">
        <v>121</v>
      </c>
      <c r="J63" s="27" t="str">
        <f>_xlfn.CONCAT(Table3[[#This Row],[key]],"-",Table3[[#This Row],[Length]])</f>
        <v>31.75-0-2-ERW 1-FC-6</v>
      </c>
      <c r="K63" s="19" t="s">
        <v>29</v>
      </c>
      <c r="L63" s="19" t="s">
        <v>47</v>
      </c>
      <c r="M63" s="19"/>
      <c r="N63" s="19">
        <v>0</v>
      </c>
      <c r="O63" s="31"/>
      <c r="P63" s="32">
        <v>1931387</v>
      </c>
      <c r="Q63" s="32"/>
      <c r="R63" s="19">
        <f>VLOOKUP(Table3[[#This Row],[length key]],Table2[[#All],[length key]:[Total schedule]],4,0)</f>
        <v>10000</v>
      </c>
      <c r="S63" s="19">
        <f t="shared" si="1"/>
        <v>0</v>
      </c>
      <c r="T63" s="19"/>
      <c r="U63" s="19"/>
      <c r="V63" s="34">
        <f>ROUND((S63+Table3[[#This Row],[In Transit]])/R63*30,0)</f>
        <v>0</v>
      </c>
      <c r="W63" s="32"/>
      <c r="X63" s="32">
        <v>15000</v>
      </c>
      <c r="Y63" s="32"/>
      <c r="Z63" s="32"/>
      <c r="AA63" s="33">
        <f>IF((45-Table3[[#This Row],[Coverage post order]])&gt;0,Table3[[#This Row],[Schedule]]*1.5,0)</f>
        <v>0</v>
      </c>
      <c r="AB63" s="34">
        <f>ROUND((Table3[[#This Row],[Stock]]+Table3[[#This Row],[056 Order]]+Table3[[#This Row],[0789 Order]]+Table3[[#This Row],[0788 Order]]+Table3[[#This Row],[In Transit]])/Table3[[#This Row],[Schedule]]*30,0)</f>
        <v>45</v>
      </c>
      <c r="AC63" s="56" t="s">
        <v>94</v>
      </c>
    </row>
    <row r="64" spans="1:29" ht="20.25" customHeight="1" x14ac:dyDescent="0.25">
      <c r="A64" s="27">
        <v>60</v>
      </c>
      <c r="B64" s="27"/>
      <c r="C64" s="27">
        <v>943209</v>
      </c>
      <c r="D64" s="27">
        <v>31.75</v>
      </c>
      <c r="E64" s="27">
        <v>0</v>
      </c>
      <c r="F64" s="27">
        <v>2.2999999999999998</v>
      </c>
      <c r="G64" s="27">
        <v>5.92</v>
      </c>
      <c r="H64" s="27">
        <v>10.023</v>
      </c>
      <c r="I64" s="27" t="s">
        <v>60</v>
      </c>
      <c r="J64" s="27" t="str">
        <f>_xlfn.CONCAT(Table3[[#This Row],[key]],"-",Table3[[#This Row],[Length]])</f>
        <v>31.75-0-2.3-ERW 1-FC-5.92</v>
      </c>
      <c r="K64" s="27" t="s">
        <v>29</v>
      </c>
      <c r="L64" s="27" t="s">
        <v>47</v>
      </c>
      <c r="M64" s="27"/>
      <c r="N64" s="27">
        <v>1674</v>
      </c>
      <c r="O64" s="28"/>
      <c r="P64" s="27">
        <v>1940684</v>
      </c>
      <c r="Q64" s="27"/>
      <c r="R64" s="27">
        <f>VLOOKUP(Table3[[#This Row],[length key]],Table2[[#All],[length key]:[Total schedule]],4,0)</f>
        <v>15000</v>
      </c>
      <c r="S64" s="27">
        <f t="shared" si="1"/>
        <v>16554.260457511202</v>
      </c>
      <c r="T64" s="27"/>
      <c r="U64" s="27"/>
      <c r="V64" s="27">
        <f>ROUND((S64+Table3[[#This Row],[In Transit]])/R64*30,0)</f>
        <v>33</v>
      </c>
      <c r="W64" s="27"/>
      <c r="X64" s="35">
        <v>22500</v>
      </c>
      <c r="Y64" s="27"/>
      <c r="Z64" s="27"/>
      <c r="AA64" s="29">
        <f>IF((45-Table3[[#This Row],[Coverage post order]])&gt;0,Table3[[#This Row],[Schedule]]*1.5,0)</f>
        <v>0</v>
      </c>
      <c r="AB64" s="27">
        <f>ROUND((Table3[[#This Row],[Stock]]+Table3[[#This Row],[056 Order]]+Table3[[#This Row],[0789 Order]]+Table3[[#This Row],[0788 Order]]+Table3[[#This Row],[In Transit]])/Table3[[#This Row],[Schedule]]*30,0)</f>
        <v>78</v>
      </c>
      <c r="AC64" s="56" t="s">
        <v>94</v>
      </c>
    </row>
    <row r="65" spans="1:29" ht="20.25" customHeight="1" x14ac:dyDescent="0.25">
      <c r="A65" s="34">
        <v>61</v>
      </c>
      <c r="B65" s="34"/>
      <c r="C65" s="19"/>
      <c r="D65" s="19">
        <v>31.75</v>
      </c>
      <c r="E65" s="27">
        <v>0</v>
      </c>
      <c r="F65" s="19">
        <v>2.2999999999999998</v>
      </c>
      <c r="G65" s="19">
        <v>6</v>
      </c>
      <c r="H65" s="19"/>
      <c r="I65" s="19" t="s">
        <v>60</v>
      </c>
      <c r="J65" s="19" t="str">
        <f>_xlfn.CONCAT(Table3[[#This Row],[key]],"-",Table3[[#This Row],[Length]])</f>
        <v>31.75-0-2.3-ERW 1-FC-6</v>
      </c>
      <c r="K65" s="19"/>
      <c r="L65" s="19"/>
      <c r="M65" s="19"/>
      <c r="N65" s="19">
        <v>2029</v>
      </c>
      <c r="O65" s="31"/>
      <c r="P65" s="32"/>
      <c r="Q65" s="32"/>
      <c r="R65" s="27">
        <f>VLOOKUP(Table3[[#This Row],[length key]],Table2[[#All],[length key]:[Total schedule]],4,0)</f>
        <v>0</v>
      </c>
      <c r="S65" s="19">
        <f t="shared" si="1"/>
        <v>20336.018156235001</v>
      </c>
      <c r="T65" s="19"/>
      <c r="U65" s="19"/>
      <c r="V65" s="27" t="e">
        <f>ROUND((S65+Table3[[#This Row],[In Transit]])/R65*30,0)</f>
        <v>#DIV/0!</v>
      </c>
      <c r="W65" s="32"/>
      <c r="X65" s="32"/>
      <c r="Y65" s="32"/>
      <c r="Z65" s="32"/>
      <c r="AA65" s="33" t="e">
        <f>IF((45-Table3[[#This Row],[Coverage post order]])&gt;0,Table3[[#This Row],[Schedule]]*1.5,0)</f>
        <v>#DIV/0!</v>
      </c>
      <c r="AB65" s="32" t="e">
        <f>ROUND((Table3[[#This Row],[Stock]]+Table3[[#This Row],[056 Order]]+Table3[[#This Row],[0789 Order]]+Table3[[#This Row],[0788 Order]]+Table3[[#This Row],[In Transit]])/Table3[[#This Row],[Schedule]]*30,0)</f>
        <v>#DIV/0!</v>
      </c>
      <c r="AC65" s="34"/>
    </row>
    <row r="66" spans="1:29" ht="20.25" customHeight="1" x14ac:dyDescent="0.25">
      <c r="A66" s="34">
        <v>63</v>
      </c>
      <c r="B66" s="34"/>
      <c r="C66" s="19"/>
      <c r="D66" s="19">
        <v>31.75</v>
      </c>
      <c r="E66" s="27">
        <v>0</v>
      </c>
      <c r="F66" s="19">
        <v>3.65</v>
      </c>
      <c r="G66" s="19">
        <v>6</v>
      </c>
      <c r="H66" s="19">
        <v>15.176</v>
      </c>
      <c r="I66" s="19" t="str">
        <f>_xlfn.CONCAT("Megh-",D66,"-",E66,"-",F66,"-",G66)</f>
        <v>Megh-31.75-0-3.65-6</v>
      </c>
      <c r="J66" s="27" t="str">
        <f>_xlfn.CONCAT(Table3[[#This Row],[key]])</f>
        <v>Megh-31.75-0-3.65-6</v>
      </c>
      <c r="K66" s="19" t="s">
        <v>55</v>
      </c>
      <c r="L66" s="19" t="s">
        <v>47</v>
      </c>
      <c r="M66" s="19"/>
      <c r="N66" s="19">
        <v>0</v>
      </c>
      <c r="O66" s="31"/>
      <c r="P66" s="32"/>
      <c r="Q66" s="32"/>
      <c r="R66" s="27">
        <f>VLOOKUP(Table3[[#This Row],[length key]],Table2[[#All],[length key]:[Total schedule]],4,0)</f>
        <v>0</v>
      </c>
      <c r="S66" s="19">
        <f t="shared" si="1"/>
        <v>0</v>
      </c>
      <c r="T66" s="19"/>
      <c r="U66" s="19"/>
      <c r="V66" s="34" t="e">
        <f>ROUND((S66+Table3[[#This Row],[In Transit]])/R66*30,0)</f>
        <v>#DIV/0!</v>
      </c>
      <c r="W66" s="32"/>
      <c r="X66" s="32"/>
      <c r="Y66" s="32"/>
      <c r="Z66" s="32"/>
      <c r="AA66" s="33" t="e">
        <f>IF((45-Table3[[#This Row],[Coverage post order]])&gt;0,Table3[[#This Row],[Schedule]]*1.5,0)</f>
        <v>#DIV/0!</v>
      </c>
      <c r="AB66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66" s="34"/>
    </row>
    <row r="67" spans="1:29" ht="20.25" customHeight="1" x14ac:dyDescent="0.25">
      <c r="A67" s="34">
        <v>64</v>
      </c>
      <c r="B67" s="34"/>
      <c r="C67" s="19"/>
      <c r="D67" s="19">
        <v>31.9</v>
      </c>
      <c r="E67" s="27">
        <v>0</v>
      </c>
      <c r="F67" s="19">
        <v>4.55</v>
      </c>
      <c r="G67" s="19">
        <v>6</v>
      </c>
      <c r="H67" s="19">
        <v>13.964</v>
      </c>
      <c r="I67" s="19" t="str">
        <f>_xlfn.CONCAT("Megh-",D67,"-",E67,"-",F67,"-",G67)</f>
        <v>Megh-31.9-0-4.55-6</v>
      </c>
      <c r="J67" s="27" t="str">
        <f>_xlfn.CONCAT(Table3[[#This Row],[key]])</f>
        <v>Megh-31.9-0-4.55-6</v>
      </c>
      <c r="K67" s="19" t="s">
        <v>55</v>
      </c>
      <c r="L67" s="19" t="s">
        <v>47</v>
      </c>
      <c r="M67" s="19"/>
      <c r="N67" s="19">
        <v>715</v>
      </c>
      <c r="O67" s="31"/>
      <c r="P67" s="32"/>
      <c r="Q67" s="32"/>
      <c r="R67" s="27">
        <f>VLOOKUP(Table3[[#This Row],[length key]],Table2[[#All],[length key]:[Total schedule]],4,0)</f>
        <v>0</v>
      </c>
      <c r="S67" s="19">
        <f t="shared" si="1"/>
        <v>13165.747081987498</v>
      </c>
      <c r="T67" s="19"/>
      <c r="U67" s="19"/>
      <c r="V67" s="34" t="e">
        <f>ROUND((S67+Table3[[#This Row],[In Transit]])/R67*30,0)</f>
        <v>#DIV/0!</v>
      </c>
      <c r="W67" s="32"/>
      <c r="X67" s="32"/>
      <c r="Y67" s="32"/>
      <c r="Z67" s="32"/>
      <c r="AA67" s="33" t="e">
        <f>IF((45-Table3[[#This Row],[Coverage post order]])&gt;0,Table3[[#This Row],[Schedule]]*1.5,0)</f>
        <v>#DIV/0!</v>
      </c>
      <c r="AB67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67" s="34"/>
    </row>
    <row r="68" spans="1:29" ht="20.25" customHeight="1" x14ac:dyDescent="0.25">
      <c r="A68" s="34">
        <v>65</v>
      </c>
      <c r="B68" s="34"/>
      <c r="C68" s="19">
        <v>943210</v>
      </c>
      <c r="D68" s="19">
        <v>34</v>
      </c>
      <c r="E68" s="27">
        <v>0</v>
      </c>
      <c r="F68" s="19">
        <v>1.4</v>
      </c>
      <c r="G68" s="19">
        <v>6.52</v>
      </c>
      <c r="H68" s="19">
        <v>7.3390000000000004</v>
      </c>
      <c r="I68" s="19" t="str">
        <f>_xlfn.CONCAT("Megh-",D68,"-",E68,"-",F68,"-",G68)</f>
        <v>Megh-34-0-1.4-6.52</v>
      </c>
      <c r="J68" s="27" t="str">
        <f>_xlfn.CONCAT(Table3[[#This Row],[key]])</f>
        <v>Megh-34-0-1.4-6.52</v>
      </c>
      <c r="K68" s="19" t="s">
        <v>29</v>
      </c>
      <c r="L68" s="19" t="s">
        <v>47</v>
      </c>
      <c r="M68" s="19"/>
      <c r="N68" s="19">
        <v>0</v>
      </c>
      <c r="O68" s="31"/>
      <c r="P68" s="32"/>
      <c r="Q68" s="32">
        <v>3702855</v>
      </c>
      <c r="R68" s="27">
        <f>VLOOKUP(Table3[[#This Row],[length key]],Table2[[#All],[length key]:[Total schedule]],4,0)</f>
        <v>0</v>
      </c>
      <c r="S68" s="19">
        <f t="shared" si="1"/>
        <v>0</v>
      </c>
      <c r="T68" s="19"/>
      <c r="U68" s="19"/>
      <c r="V68" s="27" t="e">
        <f>ROUND((S68+Table3[[#This Row],[In Transit]])/R68*30,0)</f>
        <v>#DIV/0!</v>
      </c>
      <c r="W68" s="32"/>
      <c r="X68" s="32"/>
      <c r="Y68" s="31">
        <v>5000</v>
      </c>
      <c r="Z68" s="32"/>
      <c r="AA68" s="36" t="e">
        <f>IF((45-Table3[[#This Row],[Coverage post order]])&gt;0,Table3[[#This Row],[Schedule]]*1.5,0)</f>
        <v>#DIV/0!</v>
      </c>
      <c r="AB68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68" s="34">
        <v>788</v>
      </c>
    </row>
    <row r="69" spans="1:29" ht="20.25" customHeight="1" x14ac:dyDescent="0.25">
      <c r="A69" s="34">
        <v>66</v>
      </c>
      <c r="B69" s="34"/>
      <c r="C69" s="19">
        <v>943211</v>
      </c>
      <c r="D69" s="19">
        <v>34.93</v>
      </c>
      <c r="E69" s="27">
        <v>0</v>
      </c>
      <c r="F69" s="19">
        <v>1.2</v>
      </c>
      <c r="G69" s="19">
        <v>5.0999999999999996</v>
      </c>
      <c r="H69" s="19">
        <v>5.0910000000000002</v>
      </c>
      <c r="I69" s="19" t="s">
        <v>61</v>
      </c>
      <c r="J69" s="19" t="s">
        <v>146</v>
      </c>
      <c r="K69" s="19" t="s">
        <v>29</v>
      </c>
      <c r="L69" s="19" t="s">
        <v>47</v>
      </c>
      <c r="M69" s="19"/>
      <c r="N69" s="19">
        <v>392</v>
      </c>
      <c r="O69" s="31">
        <v>4172674</v>
      </c>
      <c r="P69" s="32"/>
      <c r="Q69" s="32"/>
      <c r="R69" s="19">
        <f>_xlfn.IFNA(VLOOKUP(Table3[[#This Row],[length key]],Table2[[#All],[length key]:[Total schedule]],4,0),0)</f>
        <v>17000</v>
      </c>
      <c r="S69" s="19">
        <f t="shared" si="1"/>
        <v>1995.5991889007992</v>
      </c>
      <c r="T69" s="19">
        <v>0</v>
      </c>
      <c r="U69" s="19"/>
      <c r="V69" s="34">
        <f>ROUND((S69+Table3[[#This Row],[In Transit]])/R69*30,0)</f>
        <v>4</v>
      </c>
      <c r="W69" s="31">
        <v>30000</v>
      </c>
      <c r="X69" s="32"/>
      <c r="Y69" s="32"/>
      <c r="Z69" s="32"/>
      <c r="AA69" s="33">
        <f>IF((45-Table3[[#This Row],[Coverage post order]])&gt;0,Table3[[#This Row],[Schedule]]*1.5,0)</f>
        <v>0</v>
      </c>
      <c r="AB69" s="34">
        <f>ROUND((Table3[[#This Row],[Stock]]+Table3[[#This Row],[056 Order]]+Table3[[#This Row],[0789 Order]]+Table3[[#This Row],[0788 Order]]+Table3[[#This Row],[In Transit]])/Table3[[#This Row],[Schedule]]*30,0)</f>
        <v>56</v>
      </c>
      <c r="AC69" s="34">
        <v>56</v>
      </c>
    </row>
    <row r="70" spans="1:29" ht="20.25" customHeight="1" x14ac:dyDescent="0.25">
      <c r="A70" s="34">
        <v>67</v>
      </c>
      <c r="B70" s="34"/>
      <c r="C70" s="19">
        <v>943211</v>
      </c>
      <c r="D70" s="19">
        <v>34.93</v>
      </c>
      <c r="E70" s="27">
        <v>0</v>
      </c>
      <c r="F70" s="19">
        <v>1.2</v>
      </c>
      <c r="G70" s="19">
        <v>5.9</v>
      </c>
      <c r="H70" s="19"/>
      <c r="I70" s="19" t="s">
        <v>61</v>
      </c>
      <c r="J70" s="19" t="s">
        <v>145</v>
      </c>
      <c r="K70" s="19" t="s">
        <v>29</v>
      </c>
      <c r="L70" s="19" t="s">
        <v>47</v>
      </c>
      <c r="M70" s="19"/>
      <c r="N70" s="19">
        <v>394</v>
      </c>
      <c r="O70" s="31">
        <v>3499396</v>
      </c>
      <c r="P70" s="32"/>
      <c r="Q70" s="32"/>
      <c r="R70" s="19">
        <f>_xlfn.IFNA(VLOOKUP(Table3[[#This Row],[length key]],Table2[[#All],[length key]:[Total schedule]],4,0),0)</f>
        <v>20000</v>
      </c>
      <c r="S70" s="19">
        <f t="shared" si="1"/>
        <v>2320.4131025003994</v>
      </c>
      <c r="T70" s="19">
        <v>0</v>
      </c>
      <c r="U70" s="19"/>
      <c r="V70" s="34">
        <f>ROUND((S70+Table3[[#This Row],[In Transit]])/R70*30,0)</f>
        <v>3</v>
      </c>
      <c r="W70" s="31">
        <v>45500</v>
      </c>
      <c r="X70" s="32"/>
      <c r="Y70" s="32"/>
      <c r="Z70" s="32"/>
      <c r="AA70" s="33">
        <f>IF((45-Table3[[#This Row],[Coverage post order]])&gt;0,Table3[[#This Row],[Schedule]]*1.5,0)</f>
        <v>0</v>
      </c>
      <c r="AB70" s="34">
        <f>ROUND((Table3[[#This Row],[Stock]]+Table3[[#This Row],[056 Order]]+Table3[[#This Row],[0789 Order]]+Table3[[#This Row],[0788 Order]]+Table3[[#This Row],[In Transit]])/Table3[[#This Row],[Schedule]]*30,0)</f>
        <v>72</v>
      </c>
      <c r="AC70" s="40" t="s">
        <v>93</v>
      </c>
    </row>
    <row r="71" spans="1:29" ht="20.25" customHeight="1" x14ac:dyDescent="0.25">
      <c r="A71" s="34">
        <v>68</v>
      </c>
      <c r="B71" s="34"/>
      <c r="C71" s="19"/>
      <c r="D71" s="19">
        <v>34.93</v>
      </c>
      <c r="E71" s="27">
        <v>0</v>
      </c>
      <c r="F71" s="19">
        <v>1.2</v>
      </c>
      <c r="G71" s="19">
        <v>5.53</v>
      </c>
      <c r="H71" s="19">
        <v>5.9889999999999999</v>
      </c>
      <c r="I71" s="19" t="s">
        <v>146</v>
      </c>
      <c r="J71" s="19" t="s">
        <v>173</v>
      </c>
      <c r="K71" s="19" t="s">
        <v>29</v>
      </c>
      <c r="L71" s="19" t="s">
        <v>47</v>
      </c>
      <c r="M71" s="19"/>
      <c r="N71" s="19">
        <v>0</v>
      </c>
      <c r="O71" s="31">
        <v>3501257</v>
      </c>
      <c r="P71" s="32">
        <v>1940701</v>
      </c>
      <c r="Q71" s="32"/>
      <c r="R71" s="27">
        <f>_xlfn.IFNA(VLOOKUP(Table3[[#This Row],[length key]],Table2[[#All],[length key]:[Total schedule]],4,0),0)</f>
        <v>0</v>
      </c>
      <c r="S71" s="19">
        <f t="shared" ref="S71:S102" si="2">((D71-F71)*F71*0.0246615*G71*N71)</f>
        <v>0</v>
      </c>
      <c r="T71" s="19">
        <v>0</v>
      </c>
      <c r="U71" s="19"/>
      <c r="V71" s="34" t="e">
        <f>ROUND((S71+Table3[[#This Row],[In Transit]])/R71*30,0)</f>
        <v>#DIV/0!</v>
      </c>
      <c r="W71" s="32"/>
      <c r="X71" s="32"/>
      <c r="Y71" s="32"/>
      <c r="Z71" s="32"/>
      <c r="AA71" s="33" t="e">
        <f>IF((45-Table3[[#This Row],[Coverage post order]])&gt;0,Table3[[#This Row],[Schedule]]*1.5,0)</f>
        <v>#DIV/0!</v>
      </c>
      <c r="AB71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71" s="34" t="s">
        <v>122</v>
      </c>
    </row>
    <row r="72" spans="1:29" ht="20.25" customHeight="1" x14ac:dyDescent="0.25">
      <c r="A72" s="34">
        <v>69</v>
      </c>
      <c r="B72" s="34"/>
      <c r="C72" s="19"/>
      <c r="D72" s="19">
        <v>34.93</v>
      </c>
      <c r="E72" s="27">
        <v>0</v>
      </c>
      <c r="F72" s="19">
        <v>1.2</v>
      </c>
      <c r="G72" s="19">
        <v>620</v>
      </c>
      <c r="H72" s="19">
        <v>620</v>
      </c>
      <c r="I72" s="19" t="s">
        <v>146</v>
      </c>
      <c r="J72" s="19" t="s">
        <v>174</v>
      </c>
      <c r="K72" s="19" t="s">
        <v>29</v>
      </c>
      <c r="L72" s="19"/>
      <c r="M72" s="19"/>
      <c r="N72" s="19"/>
      <c r="O72" s="31"/>
      <c r="P72" s="32"/>
      <c r="Q72" s="32"/>
      <c r="R72" s="27">
        <f>_xlfn.IFNA(VLOOKUP(Table3[[#This Row],[length key]],Table2[[#All],[length key]:[Total schedule]],4,0),0)</f>
        <v>0</v>
      </c>
      <c r="S72" s="19">
        <f t="shared" si="2"/>
        <v>0</v>
      </c>
      <c r="T72" s="19"/>
      <c r="U72" s="19"/>
      <c r="V72" s="34" t="e">
        <f>ROUND((S72+Table3[[#This Row],[In Transit]])/R72*30,0)</f>
        <v>#DIV/0!</v>
      </c>
      <c r="W72" s="32"/>
      <c r="X72" s="32"/>
      <c r="Y72" s="32"/>
      <c r="Z72" s="32"/>
      <c r="AA72" s="33" t="e">
        <f>IF((45-Table3[[#This Row],[Coverage post order]])&gt;0,Table3[[#This Row],[Schedule]]*1.5,0)</f>
        <v>#DIV/0!</v>
      </c>
      <c r="AB72" s="32" t="e">
        <f>ROUND((Table3[[#This Row],[Stock]]+Table3[[#This Row],[056 Order]]+Table3[[#This Row],[0789 Order]]+Table3[[#This Row],[0788 Order]]+Table3[[#This Row],[In Transit]])/Table3[[#This Row],[Schedule]]*30,0)</f>
        <v>#DIV/0!</v>
      </c>
      <c r="AC72" s="34" t="s">
        <v>123</v>
      </c>
    </row>
    <row r="73" spans="1:29" ht="20.25" customHeight="1" x14ac:dyDescent="0.25">
      <c r="A73" s="34">
        <v>70</v>
      </c>
      <c r="B73" s="34"/>
      <c r="C73" s="19"/>
      <c r="D73" s="19">
        <v>34.93</v>
      </c>
      <c r="E73" s="27">
        <v>0</v>
      </c>
      <c r="F73" s="19">
        <v>1.2</v>
      </c>
      <c r="G73" s="19">
        <v>650</v>
      </c>
      <c r="H73" s="19">
        <v>650</v>
      </c>
      <c r="I73" s="19" t="s">
        <v>61</v>
      </c>
      <c r="J73" s="19" t="s">
        <v>148</v>
      </c>
      <c r="K73" s="19" t="s">
        <v>29</v>
      </c>
      <c r="L73" s="19"/>
      <c r="M73" s="19"/>
      <c r="N73" s="19"/>
      <c r="O73" s="31"/>
      <c r="P73" s="32"/>
      <c r="Q73" s="32"/>
      <c r="R73" s="19">
        <f>_xlfn.IFNA(VLOOKUP(Table3[[#This Row],[length key]],Table2[[#All],[length key]:[Total schedule]],4,0),0)</f>
        <v>19000</v>
      </c>
      <c r="S73" s="19">
        <f t="shared" si="2"/>
        <v>0</v>
      </c>
      <c r="T73" s="19"/>
      <c r="U73" s="19"/>
      <c r="V73" s="34">
        <f>ROUND((S73+Table3[[#This Row],[In Transit]])/R73*30,0)</f>
        <v>0</v>
      </c>
      <c r="W73" s="32"/>
      <c r="X73" s="32"/>
      <c r="Y73" s="32"/>
      <c r="Z73" s="32"/>
      <c r="AA73" s="33">
        <f>IF((45-Table3[[#This Row],[Coverage post order]])&gt;0,Table3[[#This Row],[Schedule]]*1.5,0)</f>
        <v>28500</v>
      </c>
      <c r="AB73" s="32">
        <f>ROUND((Table3[[#This Row],[Stock]]+Table3[[#This Row],[056 Order]]+Table3[[#This Row],[0789 Order]]+Table3[[#This Row],[0788 Order]]+Table3[[#This Row],[In Transit]])/Table3[[#This Row],[Schedule]]*30,0)</f>
        <v>0</v>
      </c>
      <c r="AC73" s="34" t="s">
        <v>110</v>
      </c>
    </row>
    <row r="74" spans="1:29" ht="20.25" customHeight="1" x14ac:dyDescent="0.25">
      <c r="A74" s="34">
        <v>71</v>
      </c>
      <c r="B74" s="34"/>
      <c r="C74" s="19"/>
      <c r="D74" s="19">
        <v>34.93</v>
      </c>
      <c r="E74" s="27">
        <v>0</v>
      </c>
      <c r="F74" s="19">
        <v>1.2</v>
      </c>
      <c r="G74" s="19">
        <v>780</v>
      </c>
      <c r="H74" s="19">
        <v>780</v>
      </c>
      <c r="I74" s="19" t="s">
        <v>61</v>
      </c>
      <c r="J74" s="19" t="s">
        <v>149</v>
      </c>
      <c r="K74" s="19" t="s">
        <v>29</v>
      </c>
      <c r="L74" s="19"/>
      <c r="M74" s="19"/>
      <c r="N74" s="19"/>
      <c r="O74" s="31"/>
      <c r="P74" s="32"/>
      <c r="Q74" s="32"/>
      <c r="R74" s="19">
        <f>_xlfn.IFNA(VLOOKUP(Table3[[#This Row],[length key]],Table2[[#All],[length key]:[Total schedule]],4,0),0)</f>
        <v>10000</v>
      </c>
      <c r="S74" s="19">
        <f t="shared" si="2"/>
        <v>0</v>
      </c>
      <c r="T74" s="19"/>
      <c r="U74" s="19"/>
      <c r="V74" s="34">
        <f>ROUND((S74+Table3[[#This Row],[In Transit]])/R74*30,0)</f>
        <v>0</v>
      </c>
      <c r="W74" s="32"/>
      <c r="X74" s="32"/>
      <c r="Y74" s="32"/>
      <c r="Z74" s="32"/>
      <c r="AA74" s="33">
        <f>IF((45-Table3[[#This Row],[Coverage post order]])&gt;0,Table3[[#This Row],[Schedule]]*1.5,0)</f>
        <v>15000</v>
      </c>
      <c r="AB74" s="32">
        <f>ROUND((Table3[[#This Row],[Stock]]+Table3[[#This Row],[056 Order]]+Table3[[#This Row],[0789 Order]]+Table3[[#This Row],[0788 Order]]+Table3[[#This Row],[In Transit]])/Table3[[#This Row],[Schedule]]*30,0)</f>
        <v>0</v>
      </c>
      <c r="AC74" s="34" t="s">
        <v>110</v>
      </c>
    </row>
    <row r="75" spans="1:29" ht="20.25" customHeight="1" x14ac:dyDescent="0.25">
      <c r="A75" s="34">
        <v>72</v>
      </c>
      <c r="B75" s="34"/>
      <c r="C75" s="19"/>
      <c r="D75" s="19">
        <v>38.1</v>
      </c>
      <c r="E75" s="27">
        <v>0</v>
      </c>
      <c r="F75" s="19">
        <v>1.6</v>
      </c>
      <c r="G75" s="19">
        <v>5.88</v>
      </c>
      <c r="H75" s="19">
        <v>7.2009999999999996</v>
      </c>
      <c r="I75" s="19" t="s">
        <v>62</v>
      </c>
      <c r="J75" s="19" t="str">
        <f>_xlfn.CONCAT(Table3[[#This Row],[key]],"-",Table3[[#This Row],[Length]])</f>
        <v>38.1-0-1.6-ERW 1-FC-5.88</v>
      </c>
      <c r="K75" s="19" t="s">
        <v>29</v>
      </c>
      <c r="L75" s="19" t="s">
        <v>47</v>
      </c>
      <c r="M75" s="19"/>
      <c r="N75" s="19">
        <v>746</v>
      </c>
      <c r="O75" s="31"/>
      <c r="P75" s="32"/>
      <c r="Q75" s="32"/>
      <c r="R75" s="27">
        <f>VLOOKUP(Table3[[#This Row],[length key]],Table2[[#All],[length key]:[Total schedule]],4,0)</f>
        <v>0</v>
      </c>
      <c r="S75" s="19">
        <f t="shared" si="2"/>
        <v>6317.5471087680007</v>
      </c>
      <c r="T75" s="19"/>
      <c r="U75" s="19"/>
      <c r="V75" s="34" t="e">
        <f>ROUND((S75+Table3[[#This Row],[In Transit]])/R75*30,0)</f>
        <v>#DIV/0!</v>
      </c>
      <c r="W75" s="32"/>
      <c r="X75" s="32"/>
      <c r="Y75" s="32"/>
      <c r="Z75" s="32"/>
      <c r="AA75" s="33" t="e">
        <f>IF((45-Table3[[#This Row],[Coverage post order]])&gt;0,Table3[[#This Row],[Schedule]]*1.5,0)</f>
        <v>#DIV/0!</v>
      </c>
      <c r="AB75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75" s="34"/>
    </row>
    <row r="76" spans="1:29" ht="20.25" customHeight="1" x14ac:dyDescent="0.25">
      <c r="A76" s="34">
        <v>73</v>
      </c>
      <c r="B76" s="34"/>
      <c r="C76" s="19">
        <v>943209</v>
      </c>
      <c r="D76" s="19">
        <v>38.1</v>
      </c>
      <c r="E76" s="27">
        <v>0</v>
      </c>
      <c r="F76" s="19">
        <v>1.6</v>
      </c>
      <c r="G76" s="19">
        <v>6.19</v>
      </c>
      <c r="H76" s="19">
        <v>8.9149999999999991</v>
      </c>
      <c r="I76" s="19" t="s">
        <v>63</v>
      </c>
      <c r="J76" s="19" t="str">
        <f>_xlfn.CONCAT(Table3[[#This Row],[key]],"-",Table3[[#This Row],[Length]])</f>
        <v>38.1-0-1.6-ERW 2 MAHS-FC-6.19</v>
      </c>
      <c r="K76" s="19" t="s">
        <v>38</v>
      </c>
      <c r="L76" s="19" t="s">
        <v>47</v>
      </c>
      <c r="M76" s="19"/>
      <c r="N76" s="19">
        <v>537</v>
      </c>
      <c r="O76" s="31">
        <v>3502254</v>
      </c>
      <c r="P76" s="32"/>
      <c r="Q76" s="32"/>
      <c r="R76" s="19">
        <f>VLOOKUP(Table3[[#This Row],[length key]],Table2[[#All],[length key]:[Total schedule]],4,0)</f>
        <v>64000</v>
      </c>
      <c r="S76" s="19">
        <f t="shared" si="2"/>
        <v>4787.3730453480011</v>
      </c>
      <c r="T76" s="19">
        <v>0</v>
      </c>
      <c r="U76" s="19"/>
      <c r="V76" s="27">
        <f>ROUND((S76+Table3[[#This Row],[In Transit]])/R76*30,0)</f>
        <v>2</v>
      </c>
      <c r="W76" s="31">
        <f>11500+96000</f>
        <v>107500</v>
      </c>
      <c r="X76" s="32"/>
      <c r="Y76" s="32"/>
      <c r="Z76" s="32"/>
      <c r="AA76" s="33">
        <f>IF((45-Table3[[#This Row],[Coverage post order]])&gt;0,Table3[[#This Row],[Schedule]]*1.5,0)</f>
        <v>0</v>
      </c>
      <c r="AB76" s="34">
        <f>ROUND((Table3[[#This Row],[Stock]]+Table3[[#This Row],[056 Order]]+Table3[[#This Row],[0789 Order]]+Table3[[#This Row],[0788 Order]]+Table3[[#This Row],[In Transit]])/Table3[[#This Row],[Schedule]]*30,0)</f>
        <v>53</v>
      </c>
      <c r="AC76" s="40" t="s">
        <v>93</v>
      </c>
    </row>
    <row r="77" spans="1:29" ht="20.25" customHeight="1" x14ac:dyDescent="0.25">
      <c r="A77" s="34">
        <v>75</v>
      </c>
      <c r="B77" s="34"/>
      <c r="C77" s="19">
        <v>943209</v>
      </c>
      <c r="D77" s="19">
        <v>38.1</v>
      </c>
      <c r="E77" s="27">
        <v>0</v>
      </c>
      <c r="F77" s="19">
        <v>2</v>
      </c>
      <c r="G77" s="19">
        <v>5.65</v>
      </c>
      <c r="H77" s="19">
        <v>10.06</v>
      </c>
      <c r="I77" s="19" t="s">
        <v>65</v>
      </c>
      <c r="J77" s="19" t="str">
        <f>_xlfn.CONCAT(Table3[[#This Row],[key]],"-",Table3[[#This Row],[Length]])</f>
        <v>38.1-0-2-ERW 1-FC-5.65</v>
      </c>
      <c r="K77" s="19" t="s">
        <v>29</v>
      </c>
      <c r="L77" s="19" t="s">
        <v>47</v>
      </c>
      <c r="M77" s="19"/>
      <c r="N77" s="19">
        <v>3314</v>
      </c>
      <c r="O77" s="31">
        <v>3500959</v>
      </c>
      <c r="P77" s="32"/>
      <c r="Q77" s="32"/>
      <c r="R77" s="19">
        <f>VLOOKUP(Table3[[#This Row],[length key]],Table2[[#All],[length key]:[Total schedule]],4,0)</f>
        <v>10000</v>
      </c>
      <c r="S77" s="19">
        <f t="shared" si="2"/>
        <v>33339.389113230005</v>
      </c>
      <c r="T77" s="19">
        <v>0</v>
      </c>
      <c r="U77" s="19"/>
      <c r="V77" s="27">
        <f>ROUND((S77+Table3[[#This Row],[In Transit]])/R77*30,0)</f>
        <v>100</v>
      </c>
      <c r="W77" s="32"/>
      <c r="X77" s="32"/>
      <c r="Y77" s="32"/>
      <c r="Z77" s="32"/>
      <c r="AA77" s="33">
        <f>IF((45-Table3[[#This Row],[Coverage post order]])&gt;0,Table3[[#This Row],[Schedule]]*1.5,0)</f>
        <v>0</v>
      </c>
      <c r="AB77" s="34">
        <f>ROUND((Table3[[#This Row],[Stock]]+Table3[[#This Row],[056 Order]]+Table3[[#This Row],[0789 Order]]+Table3[[#This Row],[0788 Order]]+Table3[[#This Row],[In Transit]])/Table3[[#This Row],[Schedule]]*30,0)</f>
        <v>100</v>
      </c>
      <c r="AC77" s="34"/>
    </row>
    <row r="78" spans="1:29" ht="20.25" customHeight="1" x14ac:dyDescent="0.25">
      <c r="A78" s="34">
        <v>80</v>
      </c>
      <c r="B78" s="34"/>
      <c r="C78" s="19">
        <v>943209</v>
      </c>
      <c r="D78" s="19">
        <v>38.1</v>
      </c>
      <c r="E78" s="27">
        <v>0</v>
      </c>
      <c r="F78" s="19">
        <v>2.5</v>
      </c>
      <c r="G78" s="19">
        <v>6.19</v>
      </c>
      <c r="H78" s="19">
        <v>13.586</v>
      </c>
      <c r="I78" s="19" t="s">
        <v>66</v>
      </c>
      <c r="J78" s="19" t="str">
        <f>_xlfn.CONCAT(Table3[[#This Row],[key]],"-",Table3[[#This Row],[Length]])</f>
        <v>38.1-0-2.5-ERW 2 MAHS-FC-6.19</v>
      </c>
      <c r="K78" s="19" t="s">
        <v>38</v>
      </c>
      <c r="L78" s="19" t="s">
        <v>47</v>
      </c>
      <c r="M78" s="19"/>
      <c r="N78" s="50">
        <v>5526</v>
      </c>
      <c r="O78" s="31">
        <v>3502007</v>
      </c>
      <c r="P78" s="32"/>
      <c r="Q78" s="32"/>
      <c r="R78" s="19">
        <f>VLOOKUP(Table3[[#This Row],[length key]],Table2[[#All],[length key]:[Total schedule]],4,0)</f>
        <v>97000</v>
      </c>
      <c r="S78" s="19">
        <f t="shared" si="2"/>
        <v>75077.71124859</v>
      </c>
      <c r="T78" s="19">
        <v>0</v>
      </c>
      <c r="U78" s="19"/>
      <c r="V78" s="34">
        <f>ROUND((S78+Table3[[#This Row],[In Transit]])/R78*30,0)</f>
        <v>23</v>
      </c>
      <c r="W78" s="31">
        <v>169000</v>
      </c>
      <c r="X78" s="32"/>
      <c r="Y78" s="32"/>
      <c r="Z78" s="32"/>
      <c r="AA78" s="33">
        <f>IF((45-Table3[[#This Row],[Coverage post order]])&gt;0,Table3[[#This Row],[Schedule]]*1.5,0)</f>
        <v>0</v>
      </c>
      <c r="AB78" s="34">
        <f>ROUND((Table3[[#This Row],[Stock]]+Table3[[#This Row],[056 Order]]+Table3[[#This Row],[0789 Order]]+Table3[[#This Row],[0788 Order]]+Table3[[#This Row],[In Transit]])/Table3[[#This Row],[Schedule]]*30,0)</f>
        <v>75</v>
      </c>
      <c r="AC78" s="40" t="s">
        <v>93</v>
      </c>
    </row>
    <row r="79" spans="1:29" ht="20.25" customHeight="1" x14ac:dyDescent="0.25">
      <c r="A79" s="34">
        <v>81</v>
      </c>
      <c r="B79" s="34"/>
      <c r="C79" s="19">
        <v>943211</v>
      </c>
      <c r="D79" s="19">
        <v>38.1</v>
      </c>
      <c r="E79" s="27">
        <v>0</v>
      </c>
      <c r="F79" s="19">
        <v>3.2</v>
      </c>
      <c r="G79" s="19">
        <v>6.16</v>
      </c>
      <c r="H79" s="19"/>
      <c r="I79" s="19" t="str">
        <f>_xlfn.CONCAT("Megh-",D79,"-",E79,"-",F79,"-",G79)</f>
        <v>Megh-38.1-0-3.2-6.16</v>
      </c>
      <c r="J79" s="27" t="str">
        <f>_xlfn.CONCAT(Table3[[#This Row],[key]])</f>
        <v>Megh-38.1-0-3.2-6.16</v>
      </c>
      <c r="K79" s="19" t="s">
        <v>38</v>
      </c>
      <c r="L79" s="19" t="s">
        <v>47</v>
      </c>
      <c r="M79" s="19"/>
      <c r="N79" s="19">
        <v>854</v>
      </c>
      <c r="O79" s="31">
        <v>4156196</v>
      </c>
      <c r="P79" s="32"/>
      <c r="Q79" s="32">
        <v>4156196</v>
      </c>
      <c r="R79" s="27">
        <f>VLOOKUP(Table3[[#This Row],[length key]],Table2[[#All],[length key]:[Total schedule]],4,0)</f>
        <v>0</v>
      </c>
      <c r="S79" s="19">
        <f t="shared" si="2"/>
        <v>14488.835328844802</v>
      </c>
      <c r="T79" s="19">
        <v>0</v>
      </c>
      <c r="U79" s="19"/>
      <c r="V79" s="34" t="e">
        <f>ROUND((S79+Table3[[#This Row],[In Transit]])/R79*30,0)</f>
        <v>#DIV/0!</v>
      </c>
      <c r="W79" s="32"/>
      <c r="X79" s="32"/>
      <c r="Y79" s="32"/>
      <c r="Z79" s="32"/>
      <c r="AA79" s="36" t="e">
        <f>IF((45-Table3[[#This Row],[Coverage post order]])&gt;0,Table3[[#This Row],[Schedule]]*1.5,0)</f>
        <v>#DIV/0!</v>
      </c>
      <c r="AB79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79" s="34" t="s">
        <v>124</v>
      </c>
    </row>
    <row r="80" spans="1:29" ht="20.25" customHeight="1" x14ac:dyDescent="0.25">
      <c r="A80" s="34">
        <v>82</v>
      </c>
      <c r="B80" s="34" t="s">
        <v>68</v>
      </c>
      <c r="C80" s="19">
        <v>943209</v>
      </c>
      <c r="D80" s="19">
        <v>40</v>
      </c>
      <c r="E80" s="19">
        <v>25</v>
      </c>
      <c r="F80" s="19">
        <v>1.6</v>
      </c>
      <c r="G80" s="19">
        <v>5.74</v>
      </c>
      <c r="H80" s="19">
        <v>9.1999999999999993</v>
      </c>
      <c r="I80" s="19" t="s">
        <v>69</v>
      </c>
      <c r="J80" s="19" t="str">
        <f>_xlfn.CONCAT(Table3[[#This Row],[key]],"-",Table3[[#This Row],[Length]])</f>
        <v>40-25-1.6-ERW 1-FC-5.74</v>
      </c>
      <c r="K80" s="19" t="s">
        <v>29</v>
      </c>
      <c r="L80" s="19" t="s">
        <v>47</v>
      </c>
      <c r="M80" s="19"/>
      <c r="N80" s="19">
        <v>0</v>
      </c>
      <c r="O80" s="31"/>
      <c r="P80" s="32">
        <v>1940826</v>
      </c>
      <c r="Q80" s="32"/>
      <c r="R80" s="27">
        <f>VLOOKUP(Table3[[#This Row],[length key]],Table2[[#All],[length key]:[Total schedule]],4,0)</f>
        <v>0</v>
      </c>
      <c r="S80" s="19">
        <f t="shared" si="2"/>
        <v>0</v>
      </c>
      <c r="T80" s="19"/>
      <c r="U80" s="19"/>
      <c r="V80" s="34" t="e">
        <f>ROUND((S80+Table3[[#This Row],[In Transit]])/R80*30,0)</f>
        <v>#DIV/0!</v>
      </c>
      <c r="W80" s="32"/>
      <c r="X80" s="32"/>
      <c r="Y80" s="32"/>
      <c r="Z80" s="32"/>
      <c r="AA80" s="33" t="e">
        <f>IF((45-Table3[[#This Row],[Coverage post order]])&gt;0,Table3[[#This Row],[Schedule]]*1.5,0)</f>
        <v>#DIV/0!</v>
      </c>
      <c r="AB80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80" s="34" t="s">
        <v>125</v>
      </c>
    </row>
    <row r="81" spans="1:30" ht="20.25" customHeight="1" x14ac:dyDescent="0.25">
      <c r="A81" s="27">
        <v>83</v>
      </c>
      <c r="B81" s="27" t="s">
        <v>68</v>
      </c>
      <c r="C81" s="27">
        <v>943209</v>
      </c>
      <c r="D81" s="19">
        <v>40</v>
      </c>
      <c r="E81" s="19">
        <v>25</v>
      </c>
      <c r="F81" s="27">
        <v>1.6</v>
      </c>
      <c r="G81" s="27">
        <v>5.99</v>
      </c>
      <c r="H81" s="27">
        <v>9.5</v>
      </c>
      <c r="I81" s="27" t="s">
        <v>69</v>
      </c>
      <c r="J81" s="27" t="str">
        <f>_xlfn.CONCAT(Table3[[#This Row],[key]],"-",Table3[[#This Row],[Length]])</f>
        <v>40-25-1.6-ERW 1-FC-5.99</v>
      </c>
      <c r="K81" s="27" t="s">
        <v>29</v>
      </c>
      <c r="L81" s="27" t="s">
        <v>47</v>
      </c>
      <c r="M81" s="27"/>
      <c r="N81" s="27">
        <v>1214</v>
      </c>
      <c r="O81" s="28"/>
      <c r="P81" s="27">
        <v>3597718</v>
      </c>
      <c r="Q81" s="27"/>
      <c r="R81" s="27">
        <f>VLOOKUP(Table3[[#This Row],[length key]],Table2[[#All],[length key]:[Total schedule]],4,0)</f>
        <v>13000</v>
      </c>
      <c r="S81" s="27">
        <f t="shared" si="2"/>
        <v>11018.340887961598</v>
      </c>
      <c r="T81" s="27"/>
      <c r="U81" s="27"/>
      <c r="V81" s="27">
        <f>ROUND((S81+Table3[[#This Row],[In Transit]])/R81*30,0)</f>
        <v>25</v>
      </c>
      <c r="W81" s="27"/>
      <c r="X81" s="27">
        <v>19500</v>
      </c>
      <c r="Y81" s="27"/>
      <c r="Z81" s="27"/>
      <c r="AA81" s="29">
        <f>IF((45-Table3[[#This Row],[Coverage post order]])&gt;0,Table3[[#This Row],[Schedule]]*1.5,0)</f>
        <v>0</v>
      </c>
      <c r="AB81" s="27">
        <f>ROUND((Table3[[#This Row],[Stock]]+Table3[[#This Row],[056 Order]]+Table3[[#This Row],[0789 Order]]+Table3[[#This Row],[0788 Order]]+Table3[[#This Row],[In Transit]])/Table3[[#This Row],[Schedule]]*30,0)</f>
        <v>70</v>
      </c>
      <c r="AC81" s="56" t="s">
        <v>94</v>
      </c>
    </row>
    <row r="82" spans="1:30" ht="20.25" customHeight="1" x14ac:dyDescent="0.25">
      <c r="A82" s="34"/>
      <c r="B82" s="34" t="s">
        <v>68</v>
      </c>
      <c r="C82" s="19"/>
      <c r="D82" s="19">
        <v>40</v>
      </c>
      <c r="E82" s="19">
        <v>25</v>
      </c>
      <c r="F82" s="19">
        <v>1.6</v>
      </c>
      <c r="G82" s="19">
        <v>6.02</v>
      </c>
      <c r="H82" s="19"/>
      <c r="I82" s="19" t="s">
        <v>69</v>
      </c>
      <c r="J82" s="27" t="s">
        <v>176</v>
      </c>
      <c r="K82" s="19"/>
      <c r="L82" s="19"/>
      <c r="M82" s="19"/>
      <c r="N82" s="19">
        <v>0</v>
      </c>
      <c r="O82" s="31"/>
      <c r="P82" s="32"/>
      <c r="Q82" s="32"/>
      <c r="R82" s="27">
        <f>VLOOKUP(Table3[[#This Row],[length key]],Table2[[#All],[length key]:[Total schedule]],4,0)</f>
        <v>0</v>
      </c>
      <c r="S82" s="19">
        <f t="shared" si="2"/>
        <v>0</v>
      </c>
      <c r="T82" s="19"/>
      <c r="U82" s="19"/>
      <c r="V82" s="34" t="e">
        <f>ROUND((S82+Table3[[#This Row],[In Transit]])/R82*30,0)</f>
        <v>#DIV/0!</v>
      </c>
      <c r="W82" s="32"/>
      <c r="X82" s="32"/>
      <c r="Y82" s="32"/>
      <c r="Z82" s="32"/>
      <c r="AA82" s="33" t="e">
        <f>IF((45-Table3[[#This Row],[Coverage post order]])&gt;0,Table3[[#This Row],[Schedule]]*1.5,0)</f>
        <v>#DIV/0!</v>
      </c>
      <c r="AB82" s="32" t="e">
        <f>ROUND((Table3[[#This Row],[Stock]]+Table3[[#This Row],[056 Order]]+Table3[[#This Row],[0789 Order]]+Table3[[#This Row],[0788 Order]])/Table3[[#This Row],[Schedule]]*30,0)</f>
        <v>#DIV/0!</v>
      </c>
      <c r="AC82" s="34"/>
    </row>
    <row r="83" spans="1:30" ht="20.25" customHeight="1" x14ac:dyDescent="0.25">
      <c r="A83" s="34">
        <v>84</v>
      </c>
      <c r="B83" s="34"/>
      <c r="C83" s="44">
        <v>943209</v>
      </c>
      <c r="D83" s="19">
        <v>41.28</v>
      </c>
      <c r="E83" s="27">
        <v>0</v>
      </c>
      <c r="F83" s="19">
        <v>2.6</v>
      </c>
      <c r="G83" s="19">
        <v>6</v>
      </c>
      <c r="H83" s="19">
        <v>14.881</v>
      </c>
      <c r="I83" s="19" t="s">
        <v>70</v>
      </c>
      <c r="J83" s="19" t="str">
        <f>_xlfn.CONCAT(Table3[[#This Row],[key]],"-",Table3[[#This Row],[Length]])</f>
        <v>41.28-0-2.6-ERW 1-FC-6</v>
      </c>
      <c r="K83" s="19" t="s">
        <v>29</v>
      </c>
      <c r="L83" s="19" t="s">
        <v>47</v>
      </c>
      <c r="M83" s="19"/>
      <c r="N83" s="19">
        <v>1528</v>
      </c>
      <c r="O83" s="31">
        <v>3501716</v>
      </c>
      <c r="P83" s="32">
        <v>3994149</v>
      </c>
      <c r="Q83" s="32"/>
      <c r="R83" s="19">
        <f>VLOOKUP(Table3[[#This Row],[length key]],Table2[[#All],[length key]:[Total schedule]],4,0)</f>
        <v>85000</v>
      </c>
      <c r="S83" s="19">
        <f t="shared" si="2"/>
        <v>22738.086086975996</v>
      </c>
      <c r="T83" s="19">
        <v>27916</v>
      </c>
      <c r="U83" s="19"/>
      <c r="V83" s="27">
        <f>ROUND((S83+Table3[[#This Row],[In Transit]])/R83*30,0)</f>
        <v>18</v>
      </c>
      <c r="W83" s="31">
        <v>65000</v>
      </c>
      <c r="X83" s="39">
        <v>65000</v>
      </c>
      <c r="Y83" s="32"/>
      <c r="Z83" s="32"/>
      <c r="AA83" s="33">
        <f>IF((45-Table3[[#This Row],[Coverage post order]])&gt;0,Table3[[#This Row],[Schedule]]*1.5,0)</f>
        <v>0</v>
      </c>
      <c r="AB83" s="34">
        <f>ROUND((Table3[[#This Row],[Stock]]+Table3[[#This Row],[056 Order]]+Table3[[#This Row],[0789 Order]]+Table3[[#This Row],[0788 Order]]+Table3[[#This Row],[In Transit]])/Table3[[#This Row],[Schedule]]*30,0)</f>
        <v>64</v>
      </c>
      <c r="AC83" s="57" t="s">
        <v>126</v>
      </c>
    </row>
    <row r="84" spans="1:30" ht="20.25" customHeight="1" x14ac:dyDescent="0.25">
      <c r="A84" s="34">
        <v>85</v>
      </c>
      <c r="B84" s="34"/>
      <c r="C84" s="19"/>
      <c r="D84" s="19">
        <v>41.28</v>
      </c>
      <c r="E84" s="27">
        <v>0</v>
      </c>
      <c r="F84" s="19">
        <v>2.6</v>
      </c>
      <c r="G84" s="19">
        <v>6.02</v>
      </c>
      <c r="H84" s="19">
        <v>14.881</v>
      </c>
      <c r="I84" s="19" t="s">
        <v>70</v>
      </c>
      <c r="J84" s="19" t="str">
        <f>_xlfn.CONCAT(Table3[[#This Row],[key]],"-",Table3[[#This Row],[Length]])</f>
        <v>41.28-0-2.6-ERW 1-FC-6.02</v>
      </c>
      <c r="K84" s="19" t="s">
        <v>29</v>
      </c>
      <c r="L84" s="19" t="s">
        <v>47</v>
      </c>
      <c r="M84" s="19"/>
      <c r="N84" s="19">
        <v>0</v>
      </c>
      <c r="O84" s="31"/>
      <c r="P84" s="32"/>
      <c r="Q84" s="32"/>
      <c r="R84" s="27">
        <f>VLOOKUP(Table3[[#This Row],[length key]],Table2[[#All],[length key]:[Total schedule]],4,0)</f>
        <v>0</v>
      </c>
      <c r="S84" s="19">
        <f t="shared" si="2"/>
        <v>0</v>
      </c>
      <c r="T84" s="19"/>
      <c r="U84" s="19"/>
      <c r="V84" s="34" t="e">
        <f>ROUND((S84+Table3[[#This Row],[In Transit]])/R84*30,0)</f>
        <v>#DIV/0!</v>
      </c>
      <c r="W84" s="32"/>
      <c r="X84" s="32"/>
      <c r="Y84" s="32"/>
      <c r="Z84" s="32"/>
      <c r="AA84" s="33" t="e">
        <f>IF((45-Table3[[#This Row],[Coverage post order]])&gt;0,Table3[[#This Row],[Schedule]]*1.5,0)</f>
        <v>#DIV/0!</v>
      </c>
      <c r="AB84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84" s="34"/>
    </row>
    <row r="85" spans="1:30" ht="20.25" customHeight="1" x14ac:dyDescent="0.25">
      <c r="A85" s="34">
        <v>86</v>
      </c>
      <c r="B85" s="34"/>
      <c r="C85" s="19">
        <v>943210</v>
      </c>
      <c r="D85" s="19">
        <v>41.28</v>
      </c>
      <c r="E85" s="27">
        <v>0</v>
      </c>
      <c r="F85" s="19">
        <v>2.6</v>
      </c>
      <c r="G85" s="19">
        <v>5.94</v>
      </c>
      <c r="H85" s="19">
        <v>17.417000000000002</v>
      </c>
      <c r="I85" s="19" t="s">
        <v>70</v>
      </c>
      <c r="J85" s="19" t="str">
        <f>_xlfn.CONCAT(Table3[[#This Row],[key]],"-",Table3[[#This Row],[Length]])</f>
        <v>41.28-0-2.6-ERW 1-FC-5.94</v>
      </c>
      <c r="K85" s="19" t="s">
        <v>29</v>
      </c>
      <c r="L85" s="19" t="s">
        <v>47</v>
      </c>
      <c r="M85" s="19"/>
      <c r="N85" s="19">
        <v>0</v>
      </c>
      <c r="O85" s="31">
        <v>3673889</v>
      </c>
      <c r="P85" s="32">
        <v>3597050</v>
      </c>
      <c r="Q85" s="32"/>
      <c r="R85" s="27">
        <f>_xlfn.IFNA(VLOOKUP(Table3[[#This Row],[length key]],Table2[[#All],[length key]:[Total schedule]],4,0),0)</f>
        <v>0</v>
      </c>
      <c r="S85" s="19">
        <f t="shared" si="2"/>
        <v>0</v>
      </c>
      <c r="T85" s="19">
        <v>0</v>
      </c>
      <c r="U85" s="19"/>
      <c r="V85" s="34" t="e">
        <f>ROUND((S85+Table3[[#This Row],[In Transit]])/R85*30,0)</f>
        <v>#DIV/0!</v>
      </c>
      <c r="W85" s="32"/>
      <c r="X85" s="32">
        <v>130500</v>
      </c>
      <c r="Y85" s="32"/>
      <c r="Z85" s="32"/>
      <c r="AA85" s="33" t="e">
        <f>IF((45-Table3[[#This Row],[Coverage post order]])&gt;0,Table3[[#This Row],[Schedule]]*1.5,0)</f>
        <v>#DIV/0!</v>
      </c>
      <c r="AB85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85" s="40" t="s">
        <v>94</v>
      </c>
    </row>
    <row r="86" spans="1:30" ht="20.25" customHeight="1" x14ac:dyDescent="0.25">
      <c r="A86" s="27">
        <v>87</v>
      </c>
      <c r="B86" s="27"/>
      <c r="C86" s="27">
        <v>943210</v>
      </c>
      <c r="D86" s="27">
        <v>41.28</v>
      </c>
      <c r="E86" s="27">
        <v>0</v>
      </c>
      <c r="F86" s="27">
        <v>3.15</v>
      </c>
      <c r="G86" s="27">
        <v>5.86</v>
      </c>
      <c r="H86" s="27">
        <v>17.417000000000002</v>
      </c>
      <c r="I86" s="27" t="s">
        <v>71</v>
      </c>
      <c r="J86" s="27" t="str">
        <f>_xlfn.CONCAT(Table3[[#This Row],[key]],"-",Table3[[#This Row],[Length]])</f>
        <v>41.28-0-3.2-ERW 1-FC-5.86</v>
      </c>
      <c r="K86" s="27" t="s">
        <v>29</v>
      </c>
      <c r="L86" s="27" t="s">
        <v>47</v>
      </c>
      <c r="M86" s="27"/>
      <c r="N86" s="27">
        <v>1060</v>
      </c>
      <c r="O86" s="31">
        <v>3673889</v>
      </c>
      <c r="P86" s="27">
        <v>3230501</v>
      </c>
      <c r="Q86" s="27"/>
      <c r="R86" s="27">
        <f>VLOOKUP(Table3[[#This Row],[length key]],Table2[[#All],[length key]:[Total schedule]],4,0)</f>
        <v>0</v>
      </c>
      <c r="S86" s="27">
        <f t="shared" si="2"/>
        <v>18399.258825387304</v>
      </c>
      <c r="T86" s="27">
        <v>5901</v>
      </c>
      <c r="U86" s="27"/>
      <c r="V86" s="27" t="e">
        <f>ROUND((S86+Table3[[#This Row],[In Transit]])/R86*30,0)</f>
        <v>#DIV/0!</v>
      </c>
      <c r="W86" s="31">
        <v>54000</v>
      </c>
      <c r="X86" s="35"/>
      <c r="Y86" s="27"/>
      <c r="Z86" s="27"/>
      <c r="AA86" s="29" t="e">
        <f>IF((45-Table3[[#This Row],[Coverage post order]])&gt;0,Table3[[#This Row],[Schedule]]*1.5,0)</f>
        <v>#DIV/0!</v>
      </c>
      <c r="AB86" s="27" t="e">
        <f>ROUND((Table3[[#This Row],[Stock]]+Table3[[#This Row],[056 Order]]+Table3[[#This Row],[0789 Order]]+Table3[[#This Row],[0788 Order]]+Table3[[#This Row],[In Transit]])/Table3[[#This Row],[Schedule]]*30,0)</f>
        <v>#DIV/0!</v>
      </c>
      <c r="AC86" s="27"/>
    </row>
    <row r="87" spans="1:30" ht="20.25" customHeight="1" x14ac:dyDescent="0.25">
      <c r="A87" s="27"/>
      <c r="B87" s="27"/>
      <c r="C87" s="19"/>
      <c r="D87" s="27">
        <v>41.28</v>
      </c>
      <c r="E87" s="27">
        <v>0</v>
      </c>
      <c r="F87" s="27">
        <v>3.15</v>
      </c>
      <c r="G87" s="19">
        <v>5.94</v>
      </c>
      <c r="H87" s="19"/>
      <c r="I87" s="19" t="s">
        <v>71</v>
      </c>
      <c r="J87" s="19" t="str">
        <f>_xlfn.CONCAT(Table3[[#This Row],[key]],"-",Table3[[#This Row],[Length]])</f>
        <v>41.28-0-3.2-ERW 1-FC-5.94</v>
      </c>
      <c r="K87" s="19"/>
      <c r="L87" s="19"/>
      <c r="M87" s="19"/>
      <c r="N87" s="19">
        <v>1181</v>
      </c>
      <c r="O87" s="31"/>
      <c r="P87" s="32"/>
      <c r="Q87" s="32"/>
      <c r="R87" s="19">
        <f>VLOOKUP(Table3[[#This Row],[length key]],Table2[[#All],[length key]:[Total schedule]],4,0)</f>
        <v>87000</v>
      </c>
      <c r="S87" s="19">
        <f t="shared" si="2"/>
        <v>20779.408937524549</v>
      </c>
      <c r="T87" s="19"/>
      <c r="U87" s="19"/>
      <c r="V87" s="27">
        <f>ROUND((S87+Table3[[#This Row],[In Transit]])/R87*30,0)</f>
        <v>7</v>
      </c>
      <c r="W87" s="32"/>
      <c r="X87" s="39"/>
      <c r="Y87" s="32"/>
      <c r="Z87" s="32"/>
      <c r="AA87" s="33">
        <f>IF((45-Table3[[#This Row],[Coverage post order]])&gt;0,Table3[[#This Row],[Schedule]]*1.5,0)</f>
        <v>130500</v>
      </c>
      <c r="AB87" s="32">
        <f>ROUND((Table3[[#This Row],[Stock]]+Table3[[#This Row],[056 Order]]+Table3[[#This Row],[0789 Order]]+Table3[[#This Row],[0788 Order]])/Table3[[#This Row],[Schedule]]*30,0)</f>
        <v>7</v>
      </c>
      <c r="AC87" s="27"/>
    </row>
    <row r="88" spans="1:30" ht="20.25" customHeight="1" x14ac:dyDescent="0.25">
      <c r="A88" s="27"/>
      <c r="B88" s="27"/>
      <c r="C88" s="27">
        <v>943210</v>
      </c>
      <c r="D88" s="27">
        <v>42.7</v>
      </c>
      <c r="E88" s="27">
        <v>0</v>
      </c>
      <c r="F88" s="27">
        <v>1.6</v>
      </c>
      <c r="G88" s="27">
        <v>5.94</v>
      </c>
      <c r="H88" s="27"/>
      <c r="I88" s="19" t="str">
        <f>_xlfn.CONCAT("Megh-",D88,"-",E88,"-",F88,"-",G88)</f>
        <v>Megh-42.7-0-1.6-5.94</v>
      </c>
      <c r="J88" s="27" t="str">
        <f>_xlfn.CONCAT(Table3[[#This Row],[key]])</f>
        <v>Megh-42.7-0-1.6-5.94</v>
      </c>
      <c r="K88" s="27" t="s">
        <v>38</v>
      </c>
      <c r="L88" s="27" t="s">
        <v>47</v>
      </c>
      <c r="M88" s="27"/>
      <c r="N88" s="27">
        <v>266</v>
      </c>
      <c r="O88" s="28"/>
      <c r="P88" s="27">
        <v>4230724</v>
      </c>
      <c r="Q88" s="27"/>
      <c r="R88" s="27">
        <f>VLOOKUP(Table3[[#This Row],[length key]],Table2[[#All],[length key]:[Total schedule]],4,0)</f>
        <v>25000</v>
      </c>
      <c r="S88" s="27">
        <f t="shared" si="2"/>
        <v>2562.4144488096003</v>
      </c>
      <c r="T88" s="27">
        <v>0</v>
      </c>
      <c r="U88" s="27"/>
      <c r="V88" s="27">
        <f>ROUND((S88+Table3[[#This Row],[In Transit]])/R88*30,0)</f>
        <v>3</v>
      </c>
      <c r="W88" s="27"/>
      <c r="X88" s="35">
        <v>37500</v>
      </c>
      <c r="Y88" s="27"/>
      <c r="Z88" s="27"/>
      <c r="AA88" s="29">
        <f>IF((45-Table3[[#This Row],[Coverage post order]])&gt;0,Table3[[#This Row],[Schedule]]*1.5,0)</f>
        <v>0</v>
      </c>
      <c r="AB88" s="27">
        <f>ROUND((Table3[[#This Row],[Stock]]+Table3[[#This Row],[056 Order]]+Table3[[#This Row],[0789 Order]]+Table3[[#This Row],[0788 Order]]+Table3[[#This Row],[In Transit]])/Table3[[#This Row],[Schedule]]*30,0)</f>
        <v>48</v>
      </c>
      <c r="AC88" s="56" t="s">
        <v>94</v>
      </c>
    </row>
    <row r="89" spans="1:30" ht="20.25" customHeight="1" x14ac:dyDescent="0.25">
      <c r="A89" s="34">
        <v>88</v>
      </c>
      <c r="B89" s="34"/>
      <c r="C89" s="19"/>
      <c r="D89" s="19">
        <v>42.7</v>
      </c>
      <c r="E89" s="27">
        <v>0</v>
      </c>
      <c r="F89" s="19">
        <v>3.5</v>
      </c>
      <c r="G89" s="19">
        <v>6</v>
      </c>
      <c r="H89" s="19">
        <v>20.300999999999998</v>
      </c>
      <c r="I89" s="19" t="s">
        <v>72</v>
      </c>
      <c r="J89" s="19" t="str">
        <f>_xlfn.CONCAT(Table3[[#This Row],[key]],"-",Table3[[#This Row],[Length]])</f>
        <v>42.7-0-3.5-ERW 1-FC-6</v>
      </c>
      <c r="K89" s="19" t="s">
        <v>29</v>
      </c>
      <c r="L89" s="19" t="s">
        <v>47</v>
      </c>
      <c r="M89" s="19"/>
      <c r="N89" s="19">
        <v>597</v>
      </c>
      <c r="O89" s="31">
        <v>3500650</v>
      </c>
      <c r="P89" s="32"/>
      <c r="Q89" s="32"/>
      <c r="R89" s="27">
        <f>VLOOKUP(Table3[[#This Row],[length key]],Table2[[#All],[length key]:[Total schedule]],4,0)</f>
        <v>0</v>
      </c>
      <c r="S89" s="19">
        <f t="shared" si="2"/>
        <v>12119.9040396</v>
      </c>
      <c r="T89" s="19">
        <v>0</v>
      </c>
      <c r="U89" s="19"/>
      <c r="V89" s="34" t="e">
        <f>ROUND((S89+Table3[[#This Row],[In Transit]])/R89*30,0)</f>
        <v>#DIV/0!</v>
      </c>
      <c r="W89" s="32">
        <v>0</v>
      </c>
      <c r="X89" s="32"/>
      <c r="Y89" s="32"/>
      <c r="Z89" s="32"/>
      <c r="AA89" s="33" t="e">
        <f>IF((45-Table3[[#This Row],[Coverage post order]])&gt;0,Table3[[#This Row],[Schedule]]*1.5,0)</f>
        <v>#DIV/0!</v>
      </c>
      <c r="AB89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89" s="34"/>
    </row>
    <row r="90" spans="1:30" ht="20.25" customHeight="1" x14ac:dyDescent="0.25">
      <c r="A90" s="34">
        <v>89</v>
      </c>
      <c r="B90" s="34"/>
      <c r="C90" s="19">
        <v>943209</v>
      </c>
      <c r="D90" s="19">
        <v>42.7</v>
      </c>
      <c r="E90" s="27">
        <v>0</v>
      </c>
      <c r="F90" s="19">
        <v>3.5</v>
      </c>
      <c r="G90" s="19">
        <v>6.05</v>
      </c>
      <c r="H90" s="19">
        <v>20.471</v>
      </c>
      <c r="I90" s="19" t="s">
        <v>72</v>
      </c>
      <c r="J90" s="19" t="str">
        <f>_xlfn.CONCAT(Table3[[#This Row],[key]],"-",Table3[[#This Row],[Length]])</f>
        <v>42.7-0-3.5-ERW 1-FC-6.05</v>
      </c>
      <c r="K90" s="19" t="s">
        <v>29</v>
      </c>
      <c r="L90" s="19" t="s">
        <v>47</v>
      </c>
      <c r="M90" s="19"/>
      <c r="N90" s="19">
        <v>0</v>
      </c>
      <c r="O90" s="31">
        <v>3500650</v>
      </c>
      <c r="P90" s="32"/>
      <c r="Q90" s="32">
        <v>3500650</v>
      </c>
      <c r="R90" s="19">
        <f>VLOOKUP(Table3[[#This Row],[length key]],Table2[[#All],[length key]:[Total schedule]],4,0)</f>
        <v>1500</v>
      </c>
      <c r="S90" s="19">
        <f t="shared" si="2"/>
        <v>0</v>
      </c>
      <c r="T90" s="19"/>
      <c r="U90" s="19"/>
      <c r="V90" s="34">
        <f>ROUND((S90+Table3[[#This Row],[In Transit]])/R90*30,0)</f>
        <v>0</v>
      </c>
      <c r="W90" s="32"/>
      <c r="X90" s="32"/>
      <c r="Y90" s="32"/>
      <c r="Z90" s="32"/>
      <c r="AA90" s="36">
        <f>IF((45-Table3[[#This Row],[Coverage post order]])&gt;0,Table3[[#This Row],[Schedule]]*1.5,0)</f>
        <v>2250</v>
      </c>
      <c r="AB90" s="34">
        <f>ROUND((Table3[[#This Row],[Stock]]+Table3[[#This Row],[056 Order]]+Table3[[#This Row],[0789 Order]]+Table3[[#This Row],[0788 Order]]+Table3[[#This Row],[In Transit]])/Table3[[#This Row],[Schedule]]*30,0)</f>
        <v>0</v>
      </c>
      <c r="AC90" s="40" t="s">
        <v>95</v>
      </c>
    </row>
    <row r="91" spans="1:30" ht="20.25" customHeight="1" x14ac:dyDescent="0.25">
      <c r="A91" s="34">
        <v>90</v>
      </c>
      <c r="B91" s="34"/>
      <c r="C91" s="19">
        <v>943209</v>
      </c>
      <c r="D91" s="19">
        <v>42.7</v>
      </c>
      <c r="E91" s="27">
        <v>0</v>
      </c>
      <c r="F91" s="19">
        <v>4</v>
      </c>
      <c r="G91" s="19">
        <v>5.5</v>
      </c>
      <c r="H91" s="19">
        <v>20.997</v>
      </c>
      <c r="I91" s="19" t="s">
        <v>73</v>
      </c>
      <c r="J91" s="19" t="str">
        <f>_xlfn.CONCAT(Table3[[#This Row],[key]],"-",Table3[[#This Row],[Length]])</f>
        <v>42.7-0-4-ERW 1-FC-5.5</v>
      </c>
      <c r="K91" s="19" t="s">
        <v>29</v>
      </c>
      <c r="L91" s="19" t="s">
        <v>47</v>
      </c>
      <c r="M91" s="19"/>
      <c r="N91" s="19">
        <v>600</v>
      </c>
      <c r="O91" s="31"/>
      <c r="P91" s="32"/>
      <c r="Q91" s="32">
        <v>3500714</v>
      </c>
      <c r="R91" s="19">
        <f>VLOOKUP(Table3[[#This Row],[length key]],Table2[[#All],[length key]:[Total schedule]],4,0)</f>
        <v>38000</v>
      </c>
      <c r="S91" s="19">
        <f t="shared" si="2"/>
        <v>12598.080660000001</v>
      </c>
      <c r="T91" s="19">
        <v>0</v>
      </c>
      <c r="U91" s="19"/>
      <c r="V91" s="34">
        <f>ROUND((S91+Table3[[#This Row],[In Transit]])/R91*30,0)</f>
        <v>10</v>
      </c>
      <c r="W91" s="32"/>
      <c r="X91" s="32"/>
      <c r="Y91" s="31">
        <v>6300</v>
      </c>
      <c r="Z91" s="32"/>
      <c r="AA91" s="33">
        <f>IF((45-Table3[[#This Row],[Coverage post order]])&gt;0,Table3[[#This Row],[Schedule]]*1.5,0)</f>
        <v>57000</v>
      </c>
      <c r="AB91" s="34">
        <f>ROUND((Table3[[#This Row],[Stock]]+Table3[[#This Row],[056 Order]]+Table3[[#This Row],[0789 Order]]+Table3[[#This Row],[0788 Order]]+Table3[[#This Row],[In Transit]])/Table3[[#This Row],[Schedule]]*30,0)</f>
        <v>15</v>
      </c>
      <c r="AC91" s="40" t="s">
        <v>95</v>
      </c>
    </row>
    <row r="92" spans="1:30" ht="20.25" customHeight="1" x14ac:dyDescent="0.25">
      <c r="A92" s="27">
        <v>91</v>
      </c>
      <c r="B92" s="27" t="s">
        <v>74</v>
      </c>
      <c r="C92" s="27">
        <v>943209</v>
      </c>
      <c r="D92" s="19">
        <v>40</v>
      </c>
      <c r="E92" s="27">
        <v>30</v>
      </c>
      <c r="F92" s="27">
        <v>1.6</v>
      </c>
      <c r="G92" s="27">
        <v>5.9</v>
      </c>
      <c r="H92" s="27">
        <v>10.02</v>
      </c>
      <c r="I92" s="27" t="s">
        <v>75</v>
      </c>
      <c r="J92" s="27" t="str">
        <f>_xlfn.CONCAT(Table3[[#This Row],[key]],"-",Table3[[#This Row],[Length]])</f>
        <v>40-30-1.6-ERW 1-FC-5.9</v>
      </c>
      <c r="K92" s="27" t="s">
        <v>29</v>
      </c>
      <c r="L92" s="27" t="s">
        <v>47</v>
      </c>
      <c r="M92" s="27"/>
      <c r="N92" s="27">
        <v>1033</v>
      </c>
      <c r="O92" s="28"/>
      <c r="P92" s="27">
        <v>4164767</v>
      </c>
      <c r="Q92" s="27"/>
      <c r="R92" s="27">
        <f>VLOOKUP(Table3[[#This Row],[length key]],Table2[[#All],[length key]:[Total schedule]],4,0)</f>
        <v>15000</v>
      </c>
      <c r="S92" s="27">
        <f t="shared" si="2"/>
        <v>9234.7050424320005</v>
      </c>
      <c r="T92" s="27"/>
      <c r="U92" s="27"/>
      <c r="V92" s="27">
        <f>ROUND((S92+Table3[[#This Row],[In Transit]])/R92*30,0)</f>
        <v>18</v>
      </c>
      <c r="W92" s="27"/>
      <c r="X92" s="35">
        <v>22500</v>
      </c>
      <c r="Y92" s="27"/>
      <c r="Z92" s="27"/>
      <c r="AA92" s="29">
        <f>IF((45-Table3[[#This Row],[Coverage post order]])&gt;0,Table3[[#This Row],[Schedule]]*1.5,0)</f>
        <v>0</v>
      </c>
      <c r="AB92" s="27">
        <f>ROUND((Table3[[#This Row],[Stock]]+Table3[[#This Row],[056 Order]]+Table3[[#This Row],[0789 Order]]+Table3[[#This Row],[0788 Order]]+Table3[[#This Row],[In Transit]])/Table3[[#This Row],[Schedule]]*30,0)</f>
        <v>63</v>
      </c>
      <c r="AC92" s="56" t="s">
        <v>94</v>
      </c>
    </row>
    <row r="93" spans="1:30" ht="20.25" customHeight="1" x14ac:dyDescent="0.25">
      <c r="A93" s="27">
        <v>92</v>
      </c>
      <c r="B93" s="27" t="s">
        <v>74</v>
      </c>
      <c r="C93" s="27">
        <v>943209</v>
      </c>
      <c r="D93" s="19">
        <v>40</v>
      </c>
      <c r="E93" s="27">
        <v>30</v>
      </c>
      <c r="F93" s="27">
        <v>1.6</v>
      </c>
      <c r="G93" s="27">
        <v>6.23</v>
      </c>
      <c r="H93" s="27">
        <v>10.53</v>
      </c>
      <c r="I93" s="27" t="s">
        <v>75</v>
      </c>
      <c r="J93" s="27" t="str">
        <f>_xlfn.CONCAT(Table3[[#This Row],[key]],"-",Table3[[#This Row],[Length]])</f>
        <v>40-30-1.6-ERW 1-FC-6.23</v>
      </c>
      <c r="K93" s="27" t="s">
        <v>29</v>
      </c>
      <c r="L93" s="27" t="s">
        <v>47</v>
      </c>
      <c r="M93" s="27"/>
      <c r="N93" s="27">
        <v>0</v>
      </c>
      <c r="O93" s="28"/>
      <c r="P93" s="27">
        <v>1940833</v>
      </c>
      <c r="Q93" s="27"/>
      <c r="R93" s="27">
        <f>VLOOKUP(Table3[[#This Row],[length key]],Table2[[#All],[length key]:[Total schedule]],4,0)</f>
        <v>0</v>
      </c>
      <c r="S93" s="27">
        <f t="shared" si="2"/>
        <v>0</v>
      </c>
      <c r="T93" s="27">
        <v>0</v>
      </c>
      <c r="U93" s="27"/>
      <c r="V93" s="27" t="e">
        <f>ROUND((S93+Table3[[#This Row],[In Transit]])/R93*30,0)</f>
        <v>#DIV/0!</v>
      </c>
      <c r="W93" s="27"/>
      <c r="X93" s="35"/>
      <c r="Y93" s="27"/>
      <c r="Z93" s="27"/>
      <c r="AA93" s="29" t="e">
        <f>IF((45-Table3[[#This Row],[Coverage post order]])&gt;0,Table3[[#This Row],[Schedule]]*1.5,0)</f>
        <v>#DIV/0!</v>
      </c>
      <c r="AB93" s="27" t="e">
        <f>ROUND((Table3[[#This Row],[Stock]]+Table3[[#This Row],[056 Order]]+Table3[[#This Row],[0789 Order]]+Table3[[#This Row],[0788 Order]]+Table3[[#This Row],[In Transit]])/Table3[[#This Row],[Schedule]]*30,0)</f>
        <v>#DIV/0!</v>
      </c>
      <c r="AC93" s="30">
        <v>789</v>
      </c>
      <c r="AD93" t="s">
        <v>127</v>
      </c>
    </row>
    <row r="94" spans="1:30" ht="20.25" customHeight="1" x14ac:dyDescent="0.25">
      <c r="A94" s="34">
        <v>94</v>
      </c>
      <c r="B94" s="34"/>
      <c r="C94" s="19">
        <v>943210</v>
      </c>
      <c r="D94" s="19">
        <v>45</v>
      </c>
      <c r="E94" s="27">
        <v>0</v>
      </c>
      <c r="F94" s="19">
        <v>1.4</v>
      </c>
      <c r="G94" s="19">
        <v>5.7</v>
      </c>
      <c r="H94" s="19">
        <v>8.58</v>
      </c>
      <c r="I94" s="19" t="str">
        <f t="shared" ref="I94:I101" si="3">_xlfn.CONCAT("Megh-",D94,"-",E94,"-",F94,"-",G94)</f>
        <v>Megh-45-0-1.4-5.7</v>
      </c>
      <c r="J94" s="27" t="str">
        <f>_xlfn.CONCAT(Table3[[#This Row],[key]])</f>
        <v>Megh-45-0-1.4-5.7</v>
      </c>
      <c r="K94" s="19" t="s">
        <v>29</v>
      </c>
      <c r="L94" s="19" t="s">
        <v>47</v>
      </c>
      <c r="M94" s="19"/>
      <c r="N94" s="19">
        <v>599</v>
      </c>
      <c r="O94" s="31"/>
      <c r="P94" s="32"/>
      <c r="Q94" s="32"/>
      <c r="R94" s="19">
        <f>VLOOKUP(Table3[[#This Row],[length key]],Table2[[#All],[length key]:[Total schedule]],4,0)</f>
        <v>5000</v>
      </c>
      <c r="S94" s="19">
        <f t="shared" si="2"/>
        <v>5139.675396828</v>
      </c>
      <c r="T94" s="19"/>
      <c r="U94" s="19"/>
      <c r="V94" s="34">
        <f>ROUND((S94+Table3[[#This Row],[In Transit]])/R94*30,0)</f>
        <v>31</v>
      </c>
      <c r="W94" s="32"/>
      <c r="X94" s="32"/>
      <c r="Y94" s="32"/>
      <c r="Z94" s="32"/>
      <c r="AA94" s="45">
        <f>IF((45-Table3[[#This Row],[Coverage post order]])&gt;0,Table3[[#This Row],[Schedule]]*1.5,0)</f>
        <v>7500</v>
      </c>
      <c r="AB94" s="34">
        <f>ROUND((Table3[[#This Row],[Stock]]+Table3[[#This Row],[056 Order]]+Table3[[#This Row],[0789 Order]]+Table3[[#This Row],[0788 Order]]+Table3[[#This Row],[In Transit]])/Table3[[#This Row],[Schedule]]*30,0)</f>
        <v>31</v>
      </c>
      <c r="AC94" s="34" t="s">
        <v>123</v>
      </c>
    </row>
    <row r="95" spans="1:30" ht="20.25" customHeight="1" x14ac:dyDescent="0.25">
      <c r="A95" s="27">
        <v>95</v>
      </c>
      <c r="B95" s="27"/>
      <c r="C95" s="27">
        <v>943210</v>
      </c>
      <c r="D95" s="27">
        <v>45</v>
      </c>
      <c r="E95" s="27">
        <v>0</v>
      </c>
      <c r="F95" s="27">
        <v>1.4</v>
      </c>
      <c r="G95" s="27">
        <v>6.4</v>
      </c>
      <c r="H95" s="27">
        <v>9.6340000000000003</v>
      </c>
      <c r="I95" s="19" t="str">
        <f t="shared" si="3"/>
        <v>Megh-45-0-1.4-6.4</v>
      </c>
      <c r="J95" s="27" t="str">
        <f>_xlfn.CONCAT(Table3[[#This Row],[key]])</f>
        <v>Megh-45-0-1.4-6.4</v>
      </c>
      <c r="K95" s="27" t="s">
        <v>38</v>
      </c>
      <c r="L95" s="27" t="s">
        <v>47</v>
      </c>
      <c r="M95" s="27"/>
      <c r="N95" s="27">
        <v>3584</v>
      </c>
      <c r="O95" s="28"/>
      <c r="P95" s="27">
        <v>3514971</v>
      </c>
      <c r="Q95" s="27"/>
      <c r="R95" s="27">
        <f>VLOOKUP(Table3[[#This Row],[length key]],Table2[[#All],[length key]:[Total schedule]],4,0)</f>
        <v>24000</v>
      </c>
      <c r="S95" s="27">
        <f t="shared" si="2"/>
        <v>34528.839991296001</v>
      </c>
      <c r="T95" s="27"/>
      <c r="U95" s="27"/>
      <c r="V95" s="27">
        <f>ROUND((S95+Table3[[#This Row],[In Transit]])/R95*30,0)</f>
        <v>43</v>
      </c>
      <c r="W95" s="27"/>
      <c r="X95" s="27">
        <v>36000</v>
      </c>
      <c r="Y95" s="27"/>
      <c r="Z95" s="27"/>
      <c r="AA95" s="29">
        <f>IF((45-Table3[[#This Row],[Coverage post order]])&gt;0,Table3[[#This Row],[Schedule]]*1.5,0)</f>
        <v>0</v>
      </c>
      <c r="AB95" s="27">
        <f>ROUND((Table3[[#This Row],[Stock]]+Table3[[#This Row],[056 Order]]+Table3[[#This Row],[0789 Order]]+Table3[[#This Row],[0788 Order]]+Table3[[#This Row],[In Transit]])/Table3[[#This Row],[Schedule]]*30,0)</f>
        <v>88</v>
      </c>
      <c r="AC95" s="56" t="s">
        <v>94</v>
      </c>
    </row>
    <row r="96" spans="1:30" ht="20.25" customHeight="1" x14ac:dyDescent="0.25">
      <c r="A96" s="34">
        <v>97</v>
      </c>
      <c r="B96" s="27"/>
      <c r="C96" s="27">
        <v>943210</v>
      </c>
      <c r="D96" s="27">
        <v>45</v>
      </c>
      <c r="E96" s="27">
        <v>0</v>
      </c>
      <c r="F96" s="27">
        <v>1.6</v>
      </c>
      <c r="G96" s="27">
        <v>6.4</v>
      </c>
      <c r="H96" s="27">
        <v>10.96</v>
      </c>
      <c r="I96" s="19" t="str">
        <f t="shared" si="3"/>
        <v>Megh-45-0-1.6-6.4</v>
      </c>
      <c r="J96" s="27" t="str">
        <f>_xlfn.CONCAT(Table3[[#This Row],[key]])</f>
        <v>Megh-45-0-1.6-6.4</v>
      </c>
      <c r="K96" s="27" t="s">
        <v>38</v>
      </c>
      <c r="L96" s="27" t="s">
        <v>47</v>
      </c>
      <c r="M96" s="27"/>
      <c r="N96" s="27">
        <v>2421</v>
      </c>
      <c r="O96" s="28"/>
      <c r="P96" s="27">
        <v>3702882</v>
      </c>
      <c r="Q96" s="27"/>
      <c r="R96" s="27">
        <f>VLOOKUP(Table3[[#This Row],[length key]],Table2[[#All],[length key]:[Total schedule]],4,0)</f>
        <v>28000</v>
      </c>
      <c r="S96" s="27">
        <f t="shared" si="2"/>
        <v>26534.075710464</v>
      </c>
      <c r="T96" s="27">
        <v>0</v>
      </c>
      <c r="U96" s="27"/>
      <c r="V96" s="27">
        <f>ROUND((S96+Table3[[#This Row],[In Transit]])/R96*30,0)</f>
        <v>28</v>
      </c>
      <c r="W96" s="27"/>
      <c r="X96" s="27">
        <v>42000</v>
      </c>
      <c r="Y96" s="27"/>
      <c r="Z96" s="29"/>
      <c r="AA96" s="29">
        <f>IF((45-Table3[[#This Row],[Coverage post order]])&gt;0,Table3[[#This Row],[Schedule]]*1.5,0)</f>
        <v>0</v>
      </c>
      <c r="AB96" s="27">
        <f>ROUND((Table3[[#This Row],[Stock]]+Table3[[#This Row],[056 Order]]+Table3[[#This Row],[0789 Order]]+Table3[[#This Row],[0788 Order]]+Table3[[#This Row],[In Transit]])/Table3[[#This Row],[Schedule]]*30,0)</f>
        <v>73</v>
      </c>
      <c r="AC96" s="56" t="s">
        <v>94</v>
      </c>
    </row>
    <row r="97" spans="1:30" ht="20.25" customHeight="1" x14ac:dyDescent="0.25">
      <c r="A97" s="34">
        <v>98</v>
      </c>
      <c r="B97" s="34"/>
      <c r="C97" s="19"/>
      <c r="D97" s="19">
        <v>45</v>
      </c>
      <c r="E97" s="27">
        <v>0</v>
      </c>
      <c r="F97" s="19">
        <v>3.5</v>
      </c>
      <c r="G97" s="19">
        <v>6.1</v>
      </c>
      <c r="H97" s="19">
        <v>10.96</v>
      </c>
      <c r="I97" s="19" t="str">
        <f t="shared" si="3"/>
        <v>Megh-45-0-3.5-6.1</v>
      </c>
      <c r="J97" s="27" t="str">
        <f>_xlfn.CONCAT(Table3[[#This Row],[key]])</f>
        <v>Megh-45-0-3.5-6.1</v>
      </c>
      <c r="K97" s="19" t="s">
        <v>55</v>
      </c>
      <c r="L97" s="19" t="s">
        <v>47</v>
      </c>
      <c r="M97" s="19"/>
      <c r="N97" s="19">
        <v>992</v>
      </c>
      <c r="O97" s="31">
        <v>3500263</v>
      </c>
      <c r="P97" s="32"/>
      <c r="Q97" s="32"/>
      <c r="R97" s="27">
        <f>VLOOKUP(Table3[[#This Row],[length key]],Table2[[#All],[length key]:[Total schedule]],4,0)</f>
        <v>0</v>
      </c>
      <c r="S97" s="19">
        <f t="shared" si="2"/>
        <v>21675.899893199999</v>
      </c>
      <c r="T97" s="19">
        <v>0</v>
      </c>
      <c r="U97" s="19"/>
      <c r="V97" s="34" t="e">
        <f>ROUND((S97+Table3[[#This Row],[In Transit]])/R97*30,0)</f>
        <v>#DIV/0!</v>
      </c>
      <c r="W97" s="32">
        <v>0</v>
      </c>
      <c r="X97" s="32"/>
      <c r="Y97" s="32"/>
      <c r="Z97" s="32"/>
      <c r="AA97" s="33" t="e">
        <f>IF((45-Table3[[#This Row],[Coverage post order]])&gt;0,Table3[[#This Row],[Schedule]]*1.5,0)</f>
        <v>#DIV/0!</v>
      </c>
      <c r="AB97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97" s="34"/>
    </row>
    <row r="98" spans="1:30" ht="20.25" customHeight="1" x14ac:dyDescent="0.25">
      <c r="A98" s="34">
        <v>99</v>
      </c>
      <c r="B98" s="34"/>
      <c r="C98" s="19">
        <v>943211</v>
      </c>
      <c r="D98" s="19">
        <v>47.63</v>
      </c>
      <c r="E98" s="27">
        <v>0</v>
      </c>
      <c r="F98" s="19">
        <v>4</v>
      </c>
      <c r="G98" s="19">
        <v>6</v>
      </c>
      <c r="H98" s="19">
        <v>25.824000000000002</v>
      </c>
      <c r="I98" s="19" t="str">
        <f t="shared" si="3"/>
        <v>Megh-47.63-0-4-6</v>
      </c>
      <c r="J98" s="27" t="str">
        <f>_xlfn.CONCAT(Table3[[#This Row],[key]])</f>
        <v>Megh-47.63-0-4-6</v>
      </c>
      <c r="K98" s="19" t="s">
        <v>55</v>
      </c>
      <c r="L98" s="19" t="s">
        <v>47</v>
      </c>
      <c r="M98" s="19"/>
      <c r="N98" s="19">
        <v>239</v>
      </c>
      <c r="O98" s="31"/>
      <c r="P98" s="32"/>
      <c r="Q98" s="31">
        <v>3500635</v>
      </c>
      <c r="R98" s="19">
        <f>VLOOKUP(Table3[[#This Row],[length key]],Table2[[#All],[length key]:[Total schedule]],4,0)</f>
        <v>10000</v>
      </c>
      <c r="S98" s="19">
        <f t="shared" si="2"/>
        <v>6171.8284213200004</v>
      </c>
      <c r="T98" s="19"/>
      <c r="U98" s="19"/>
      <c r="V98" s="34">
        <f>ROUND((S98+Table3[[#This Row],[In Transit]])/R98*30,0)</f>
        <v>19</v>
      </c>
      <c r="W98" s="32"/>
      <c r="X98" s="32"/>
      <c r="Y98" s="32">
        <v>15000</v>
      </c>
      <c r="Z98" s="32"/>
      <c r="AA98" s="33">
        <f>IF((45-Table3[[#This Row],[Coverage post order]])&gt;0,Table3[[#This Row],[Schedule]]*1.5,0)</f>
        <v>0</v>
      </c>
      <c r="AB98" s="34">
        <f>ROUND((Table3[[#This Row],[Stock]]+Table3[[#This Row],[056 Order]]+Table3[[#This Row],[0789 Order]]+Table3[[#This Row],[0788 Order]]+Table3[[#This Row],[In Transit]])/Table3[[#This Row],[Schedule]]*30,0)</f>
        <v>64</v>
      </c>
      <c r="AC98" s="40" t="s">
        <v>95</v>
      </c>
    </row>
    <row r="99" spans="1:30" ht="20.25" customHeight="1" x14ac:dyDescent="0.25">
      <c r="A99" s="27">
        <v>100</v>
      </c>
      <c r="B99" s="27"/>
      <c r="C99" s="27">
        <v>943211</v>
      </c>
      <c r="D99" s="27">
        <v>48</v>
      </c>
      <c r="E99" s="27">
        <v>0</v>
      </c>
      <c r="F99" s="27">
        <v>1.2</v>
      </c>
      <c r="G99" s="27">
        <v>5.55</v>
      </c>
      <c r="H99" s="27"/>
      <c r="I99" s="19" t="str">
        <f t="shared" si="3"/>
        <v>Megh-48-0-1.2-5.55</v>
      </c>
      <c r="J99" s="27" t="str">
        <f>_xlfn.CONCAT(Table3[[#This Row],[key]])</f>
        <v>Megh-48-0-1.2-5.55</v>
      </c>
      <c r="K99" s="27" t="s">
        <v>29</v>
      </c>
      <c r="L99" s="27" t="s">
        <v>47</v>
      </c>
      <c r="M99" s="27"/>
      <c r="N99" s="27">
        <v>1213</v>
      </c>
      <c r="O99" s="28"/>
      <c r="P99" s="27">
        <v>4180803</v>
      </c>
      <c r="Q99" s="27"/>
      <c r="R99" s="27">
        <f>VLOOKUP(Table3[[#This Row],[length key]],Table2[[#All],[length key]:[Total schedule]],4,0)</f>
        <v>20000</v>
      </c>
      <c r="S99" s="19">
        <f t="shared" si="2"/>
        <v>9323.9593513559976</v>
      </c>
      <c r="T99" s="27">
        <v>0</v>
      </c>
      <c r="U99" s="27"/>
      <c r="V99" s="27">
        <f>ROUND((S99+Table3[[#This Row],[In Transit]])/R99*30,0)</f>
        <v>14</v>
      </c>
      <c r="W99" s="27"/>
      <c r="X99" s="35">
        <v>30000</v>
      </c>
      <c r="Y99" s="27"/>
      <c r="Z99" s="27"/>
      <c r="AA99" s="29">
        <f>IF((45-Table3[[#This Row],[Coverage post order]])&gt;0,Table3[[#This Row],[Schedule]]*1.5,0)</f>
        <v>0</v>
      </c>
      <c r="AB99" s="27">
        <f>ROUND((Table3[[#This Row],[Stock]]+Table3[[#This Row],[056 Order]]+Table3[[#This Row],[0789 Order]]+Table3[[#This Row],[0788 Order]]+Table3[[#This Row],[In Transit]])/Table3[[#This Row],[Schedule]]*30,0)</f>
        <v>59</v>
      </c>
      <c r="AC99" s="56" t="s">
        <v>94</v>
      </c>
    </row>
    <row r="100" spans="1:30" ht="20.25" customHeight="1" x14ac:dyDescent="0.25">
      <c r="A100" s="27">
        <v>101</v>
      </c>
      <c r="B100" s="27"/>
      <c r="C100" s="27">
        <v>943211</v>
      </c>
      <c r="D100" s="27">
        <v>48</v>
      </c>
      <c r="E100" s="27">
        <v>0</v>
      </c>
      <c r="F100" s="27">
        <v>1.2</v>
      </c>
      <c r="G100" s="27">
        <v>5.67</v>
      </c>
      <c r="H100" s="27"/>
      <c r="I100" s="19" t="str">
        <f t="shared" si="3"/>
        <v>Megh-48-0-1.2-5.67</v>
      </c>
      <c r="J100" s="27" t="str">
        <f>_xlfn.CONCAT(Table3[[#This Row],[key]])</f>
        <v>Megh-48-0-1.2-5.67</v>
      </c>
      <c r="K100" s="27" t="s">
        <v>29</v>
      </c>
      <c r="L100" s="27" t="s">
        <v>47</v>
      </c>
      <c r="M100" s="27"/>
      <c r="N100" s="27">
        <v>777</v>
      </c>
      <c r="O100" s="28"/>
      <c r="P100" s="27">
        <v>3460088</v>
      </c>
      <c r="Q100" s="27"/>
      <c r="R100" s="27">
        <f>VLOOKUP(Table3[[#This Row],[length key]],Table2[[#All],[length key]:[Total schedule]],4,0)</f>
        <v>18000</v>
      </c>
      <c r="S100" s="19">
        <f t="shared" si="2"/>
        <v>6101.6973892055985</v>
      </c>
      <c r="T100" s="27">
        <v>0</v>
      </c>
      <c r="U100" s="27"/>
      <c r="V100" s="27">
        <f>ROUND((S100+Table3[[#This Row],[In Transit]])/R100*30,0)</f>
        <v>10</v>
      </c>
      <c r="W100" s="27"/>
      <c r="X100" s="35">
        <v>27000</v>
      </c>
      <c r="Y100" s="27"/>
      <c r="Z100" s="29"/>
      <c r="AA100" s="29">
        <f>IF((45-Table3[[#This Row],[Coverage post order]])&gt;0,Table3[[#This Row],[Schedule]]*1.5,0)</f>
        <v>0</v>
      </c>
      <c r="AB100" s="27">
        <f>ROUND((Table3[[#This Row],[Stock]]+Table3[[#This Row],[056 Order]]+Table3[[#This Row],[0789 Order]]+Table3[[#This Row],[0788 Order]]+Table3[[#This Row],[In Transit]])/Table3[[#This Row],[Schedule]]*30,0)</f>
        <v>55</v>
      </c>
      <c r="AC100" s="56" t="s">
        <v>94</v>
      </c>
    </row>
    <row r="101" spans="1:30" ht="20.25" customHeight="1" x14ac:dyDescent="0.25">
      <c r="A101" s="27">
        <v>102</v>
      </c>
      <c r="B101" s="27"/>
      <c r="C101" s="27">
        <v>943211</v>
      </c>
      <c r="D101" s="27">
        <v>48</v>
      </c>
      <c r="E101" s="27">
        <v>0</v>
      </c>
      <c r="F101" s="27">
        <v>1.2</v>
      </c>
      <c r="G101" s="27">
        <v>5.2850000000000001</v>
      </c>
      <c r="H101" s="27">
        <v>25.824000000000002</v>
      </c>
      <c r="I101" s="19" t="str">
        <f t="shared" si="3"/>
        <v>Megh-48-0-1.2-5.285</v>
      </c>
      <c r="J101" s="27" t="str">
        <f>_xlfn.CONCAT(Table3[[#This Row],[key]])</f>
        <v>Megh-48-0-1.2-5.285</v>
      </c>
      <c r="K101" s="27" t="s">
        <v>29</v>
      </c>
      <c r="L101" s="27" t="s">
        <v>47</v>
      </c>
      <c r="M101" s="27"/>
      <c r="N101" s="27">
        <v>1070</v>
      </c>
      <c r="O101" s="28"/>
      <c r="P101" s="27">
        <v>4038150</v>
      </c>
      <c r="Q101" s="28"/>
      <c r="R101" s="27">
        <f>VLOOKUP(Table3[[#This Row],[length key]],Table2[[#All],[length key]:[Total schedule]],4,0)</f>
        <v>48000</v>
      </c>
      <c r="S101" s="19">
        <f t="shared" si="2"/>
        <v>7832.0482957079994</v>
      </c>
      <c r="T101" s="27"/>
      <c r="U101" s="27"/>
      <c r="V101" s="27">
        <f>ROUND((S101+Table3[[#This Row],[In Transit]])/R101*30,0)</f>
        <v>5</v>
      </c>
      <c r="W101" s="27"/>
      <c r="X101" s="27">
        <v>72000</v>
      </c>
      <c r="Y101" s="27"/>
      <c r="Z101" s="27"/>
      <c r="AA101" s="29">
        <f>IF((45-Table3[[#This Row],[Coverage post order]])&gt;0,Table3[[#This Row],[Schedule]]*1.5,0)</f>
        <v>0</v>
      </c>
      <c r="AB101" s="27">
        <f>ROUND((Table3[[#This Row],[Stock]]+Table3[[#This Row],[056 Order]]+Table3[[#This Row],[0789 Order]]+Table3[[#This Row],[0788 Order]]+Table3[[#This Row],[In Transit]])/Table3[[#This Row],[Schedule]]*30,0)</f>
        <v>50</v>
      </c>
      <c r="AC101" s="56" t="s">
        <v>94</v>
      </c>
    </row>
    <row r="102" spans="1:30" ht="20.25" customHeight="1" x14ac:dyDescent="0.25">
      <c r="A102" s="27">
        <v>103</v>
      </c>
      <c r="B102" s="27" t="s">
        <v>76</v>
      </c>
      <c r="C102" s="27">
        <v>943211</v>
      </c>
      <c r="D102" s="51">
        <v>59</v>
      </c>
      <c r="E102" s="51">
        <v>30</v>
      </c>
      <c r="F102" s="27">
        <v>1.6</v>
      </c>
      <c r="G102" s="27">
        <v>5.81</v>
      </c>
      <c r="H102" s="27">
        <v>10.92</v>
      </c>
      <c r="I102" s="27" t="s">
        <v>77</v>
      </c>
      <c r="J102" s="27" t="str">
        <f>_xlfn.CONCAT(Table3[[#This Row],[key]],"-",Table3[[#This Row],[Length]])</f>
        <v>59-30-1.6-ERW 1-FIN CUT-5.81</v>
      </c>
      <c r="K102" s="27" t="s">
        <v>29</v>
      </c>
      <c r="L102" s="27" t="s">
        <v>47</v>
      </c>
      <c r="M102" s="27"/>
      <c r="N102" s="27">
        <v>0</v>
      </c>
      <c r="O102" s="46"/>
      <c r="P102" s="47">
        <v>2420716</v>
      </c>
      <c r="Q102" s="38"/>
      <c r="R102" s="27">
        <f>VLOOKUP(Table3[[#This Row],[length key]],Table2[[#All],[length key]:[Total schedule]],4,0)</f>
        <v>0</v>
      </c>
      <c r="S102" s="27">
        <f t="shared" si="2"/>
        <v>0</v>
      </c>
      <c r="T102" s="27"/>
      <c r="U102" s="27"/>
      <c r="V102" s="27" t="e">
        <f>ROUND((S102+Table3[[#This Row],[In Transit]])/R102*30,0)</f>
        <v>#DIV/0!</v>
      </c>
      <c r="W102" s="27"/>
      <c r="X102" s="35"/>
      <c r="Y102" s="27"/>
      <c r="Z102" s="27"/>
      <c r="AA102" s="29" t="e">
        <f>IF((45-Table3[[#This Row],[Coverage post order]])&gt;0,Table3[[#This Row],[Schedule]]*1.5,0)</f>
        <v>#DIV/0!</v>
      </c>
      <c r="AB102" s="27" t="e">
        <f>ROUND((Table3[[#This Row],[Stock]]+Table3[[#This Row],[056 Order]]+Table3[[#This Row],[0789 Order]]+Table3[[#This Row],[0788 Order]]+Table3[[#This Row],[In Transit]])/Table3[[#This Row],[Schedule]]*30,0)</f>
        <v>#DIV/0!</v>
      </c>
      <c r="AC102" s="27"/>
    </row>
    <row r="103" spans="1:30" ht="20.25" customHeight="1" x14ac:dyDescent="0.25">
      <c r="A103" s="27">
        <v>104</v>
      </c>
      <c r="B103" s="27" t="s">
        <v>76</v>
      </c>
      <c r="C103" s="27">
        <v>943209</v>
      </c>
      <c r="D103" s="51">
        <v>59</v>
      </c>
      <c r="E103" s="51">
        <v>30</v>
      </c>
      <c r="F103" s="27">
        <v>1.6</v>
      </c>
      <c r="G103" s="27">
        <v>6</v>
      </c>
      <c r="H103" s="27">
        <v>11.12</v>
      </c>
      <c r="I103" s="27" t="s">
        <v>77</v>
      </c>
      <c r="J103" s="27" t="str">
        <f>_xlfn.CONCAT(Table3[[#This Row],[key]],"-",Table3[[#This Row],[Length]])</f>
        <v>59-30-1.6-ERW 1-FIN CUT-6</v>
      </c>
      <c r="K103" s="27" t="s">
        <v>29</v>
      </c>
      <c r="L103" s="27" t="s">
        <v>47</v>
      </c>
      <c r="M103" s="27"/>
      <c r="N103" s="27">
        <v>0</v>
      </c>
      <c r="O103" s="28"/>
      <c r="P103" s="48">
        <v>1940925</v>
      </c>
      <c r="Q103" s="27"/>
      <c r="R103" s="27">
        <f>VLOOKUP(Table3[[#This Row],[length key]],Table2[[#All],[length key]:[Total schedule]],4,0)</f>
        <v>1000</v>
      </c>
      <c r="S103" s="27">
        <f t="shared" ref="S103:S123" si="4">((D103-F103)*F103*0.0246615*G103*N103)</f>
        <v>0</v>
      </c>
      <c r="T103" s="27"/>
      <c r="U103" s="27"/>
      <c r="V103" s="27">
        <f>ROUND((S103+Table3[[#This Row],[In Transit]])/R103*30,0)</f>
        <v>0</v>
      </c>
      <c r="W103" s="27"/>
      <c r="X103" s="35">
        <v>1500</v>
      </c>
      <c r="Y103" s="27"/>
      <c r="Z103" s="29"/>
      <c r="AA103" s="29">
        <f>IF((45-Table3[[#This Row],[Coverage post order]])&gt;0,Table3[[#This Row],[Schedule]]*1.5,0)</f>
        <v>0</v>
      </c>
      <c r="AB103" s="27">
        <f>ROUND((Table3[[#This Row],[Stock]]+Table3[[#This Row],[056 Order]]+Table3[[#This Row],[0789 Order]]+Table3[[#This Row],[0788 Order]]+Table3[[#This Row],[In Transit]])/Table3[[#This Row],[Schedule]]*30,0)</f>
        <v>45</v>
      </c>
      <c r="AC103" s="56" t="s">
        <v>94</v>
      </c>
    </row>
    <row r="104" spans="1:30" ht="20.25" customHeight="1" x14ac:dyDescent="0.25">
      <c r="A104" s="51"/>
      <c r="B104" s="51" t="s">
        <v>76</v>
      </c>
      <c r="C104" s="51">
        <v>943211</v>
      </c>
      <c r="D104" s="51">
        <v>59</v>
      </c>
      <c r="E104" s="51">
        <v>30</v>
      </c>
      <c r="F104" s="51">
        <v>1.6</v>
      </c>
      <c r="G104" s="51">
        <v>572.5</v>
      </c>
      <c r="H104" s="51"/>
      <c r="I104" s="51" t="s">
        <v>77</v>
      </c>
      <c r="J104" s="51" t="str">
        <f>_xlfn.CONCAT(Table3[[#This Row],[key]],"-",Table3[[#This Row],[Length]])</f>
        <v>59-30-1.6-ERW 1-FIN CUT-572.5</v>
      </c>
      <c r="K104" s="51"/>
      <c r="L104" s="51"/>
      <c r="M104" s="51"/>
      <c r="N104" s="51"/>
      <c r="O104" s="52"/>
      <c r="P104" s="32">
        <v>2420716</v>
      </c>
      <c r="Q104" s="51"/>
      <c r="R104" s="27">
        <f>_xlfn.IFNA(VLOOKUP(Table3[[#This Row],[length key]],Table2[[#All],[length key]:[Total schedule]],4,0),0)</f>
        <v>0</v>
      </c>
      <c r="S104" s="51">
        <f t="shared" si="4"/>
        <v>0</v>
      </c>
      <c r="T104" s="51"/>
      <c r="U104" s="51"/>
      <c r="V104" s="51" t="e">
        <f>ROUND((S104+Table3[[#This Row],[In Transit]])/R104*30,0)</f>
        <v>#DIV/0!</v>
      </c>
      <c r="W104" s="51"/>
      <c r="X104" s="53">
        <v>30000</v>
      </c>
      <c r="Y104" s="51"/>
      <c r="Z104" s="54"/>
      <c r="AA104" s="54" t="e">
        <f>IF((45-Table3[[#This Row],[Coverage post order]])&gt;0,Table3[[#This Row],[Schedule]]*1.5,0)</f>
        <v>#DIV/0!</v>
      </c>
      <c r="AB104" s="51" t="e">
        <f>ROUND((Table3[[#This Row],[Stock]]+Table3[[#This Row],[056 Order]]+Table3[[#This Row],[0789 Order]]+Table3[[#This Row],[0788 Order]])/Table3[[#This Row],[Schedule]]*30,0)</f>
        <v>#DIV/0!</v>
      </c>
      <c r="AC104" s="56" t="s">
        <v>94</v>
      </c>
      <c r="AD104" t="s">
        <v>128</v>
      </c>
    </row>
    <row r="105" spans="1:30" ht="20.25" customHeight="1" x14ac:dyDescent="0.25">
      <c r="A105" s="34"/>
      <c r="B105" s="34"/>
      <c r="C105" s="19">
        <v>943210</v>
      </c>
      <c r="D105" s="19">
        <v>48.6</v>
      </c>
      <c r="E105" s="27">
        <v>0</v>
      </c>
      <c r="F105" s="19">
        <v>2</v>
      </c>
      <c r="G105" s="19">
        <v>6.27</v>
      </c>
      <c r="H105" s="19"/>
      <c r="I105" s="19" t="str">
        <f>_xlfn.CONCAT("Megh-",D105,"-",E105,"-",F105,"-",G105)</f>
        <v>Megh-48.6-0-2-6.27</v>
      </c>
      <c r="J105" s="27" t="str">
        <f>_xlfn.CONCAT(Table3[[#This Row],[key]])</f>
        <v>Megh-48.6-0-2-6.27</v>
      </c>
      <c r="K105" s="19"/>
      <c r="L105" s="19"/>
      <c r="M105" s="19"/>
      <c r="N105" s="19">
        <v>889</v>
      </c>
      <c r="O105" s="31">
        <v>3502301</v>
      </c>
      <c r="P105" s="32"/>
      <c r="Q105" s="32"/>
      <c r="R105" s="19">
        <f>VLOOKUP(Table3[[#This Row],[length key]],Table2[[#All],[length key]:[Total schedule]],4,0)</f>
        <v>12000</v>
      </c>
      <c r="S105" s="19">
        <f t="shared" si="4"/>
        <v>12811.639286754</v>
      </c>
      <c r="T105" s="19">
        <v>0</v>
      </c>
      <c r="U105" s="19"/>
      <c r="V105" s="34">
        <f>ROUND((S105+Table3[[#This Row],[In Transit]])/R105*30,0)</f>
        <v>32</v>
      </c>
      <c r="W105" s="31">
        <v>7200</v>
      </c>
      <c r="X105" s="32"/>
      <c r="Y105" s="32"/>
      <c r="Z105" s="32"/>
      <c r="AA105" s="33">
        <f>IF((45-Table3[[#This Row],[Coverage post order]])&gt;0,Table3[[#This Row],[Schedule]]*1.5,0)</f>
        <v>0</v>
      </c>
      <c r="AB105" s="32">
        <f>ROUND((Table3[[#This Row],[Stock]]+Table3[[#This Row],[056 Order]]+Table3[[#This Row],[0789 Order]]+Table3[[#This Row],[0788 Order]])/Table3[[#This Row],[Schedule]]*30,0)</f>
        <v>50</v>
      </c>
      <c r="AC105" s="40" t="s">
        <v>93</v>
      </c>
    </row>
    <row r="106" spans="1:30" ht="20.25" customHeight="1" x14ac:dyDescent="0.25">
      <c r="A106" s="34">
        <v>108</v>
      </c>
      <c r="B106" s="34"/>
      <c r="C106" s="19">
        <v>943210</v>
      </c>
      <c r="D106" s="19">
        <v>48.6</v>
      </c>
      <c r="E106" s="27">
        <v>0</v>
      </c>
      <c r="F106" s="19">
        <v>2.2999999999999998</v>
      </c>
      <c r="G106" s="19">
        <v>6.27</v>
      </c>
      <c r="H106" s="19">
        <v>16.466000000000001</v>
      </c>
      <c r="I106" s="19" t="str">
        <f>_xlfn.CONCAT("Megh-",D106,"-",E106,"-",F106,"-",G106)</f>
        <v>Megh-48.6-0-2.3-6.27</v>
      </c>
      <c r="J106" s="27" t="str">
        <f>_xlfn.CONCAT(Table3[[#This Row],[key]])</f>
        <v>Megh-48.6-0-2.3-6.27</v>
      </c>
      <c r="K106" s="19" t="s">
        <v>38</v>
      </c>
      <c r="L106" s="19" t="s">
        <v>47</v>
      </c>
      <c r="M106" s="19"/>
      <c r="N106" s="19">
        <v>2281</v>
      </c>
      <c r="O106" s="31">
        <v>3549720</v>
      </c>
      <c r="P106" s="32"/>
      <c r="Q106" s="32"/>
      <c r="R106" s="19">
        <f>VLOOKUP(Table3[[#This Row],[length key]],Table2[[#All],[length key]:[Total schedule]],4,0)</f>
        <v>13000</v>
      </c>
      <c r="S106" s="19">
        <f t="shared" si="4"/>
        <v>37559.615830362447</v>
      </c>
      <c r="T106" s="19">
        <v>0</v>
      </c>
      <c r="U106" s="19"/>
      <c r="V106" s="34">
        <f>ROUND((S106+Table3[[#This Row],[In Transit]])/R106*30,0)</f>
        <v>87</v>
      </c>
      <c r="W106" s="31">
        <v>3000</v>
      </c>
      <c r="X106" s="32"/>
      <c r="Y106" s="32"/>
      <c r="Z106" s="32"/>
      <c r="AA106" s="33">
        <f>IF((45-Table3[[#This Row],[Coverage post order]])&gt;0,Table3[[#This Row],[Schedule]]*1.5,0)</f>
        <v>0</v>
      </c>
      <c r="AB106" s="34">
        <f>ROUND((Table3[[#This Row],[Stock]]+Table3[[#This Row],[056 Order]]+Table3[[#This Row],[0789 Order]]+Table3[[#This Row],[0788 Order]]+Table3[[#This Row],[In Transit]])/Table3[[#This Row],[Schedule]]*30,0)</f>
        <v>94</v>
      </c>
      <c r="AC106" s="40" t="s">
        <v>93</v>
      </c>
    </row>
    <row r="107" spans="1:30" ht="20.25" customHeight="1" x14ac:dyDescent="0.25">
      <c r="A107" s="34">
        <v>109</v>
      </c>
      <c r="B107" s="34"/>
      <c r="C107" s="19"/>
      <c r="D107" s="19">
        <v>48.6</v>
      </c>
      <c r="E107" s="27">
        <v>0</v>
      </c>
      <c r="F107" s="19">
        <v>3.5</v>
      </c>
      <c r="G107" s="19">
        <v>4.6500000000000004</v>
      </c>
      <c r="H107" s="19">
        <v>18.102</v>
      </c>
      <c r="I107" s="19" t="s">
        <v>78</v>
      </c>
      <c r="J107" s="19" t="str">
        <f>_xlfn.CONCAT(Table3[[#This Row],[key]],"-",Table3[[#This Row],[Length]])</f>
        <v>48.6-0-3.5-ERW 1-FC-4.65</v>
      </c>
      <c r="K107" s="19" t="s">
        <v>29</v>
      </c>
      <c r="L107" s="19" t="s">
        <v>47</v>
      </c>
      <c r="M107" s="19"/>
      <c r="N107" s="19">
        <v>0</v>
      </c>
      <c r="O107" s="31">
        <v>3502422</v>
      </c>
      <c r="P107" s="32">
        <v>3909479</v>
      </c>
      <c r="Q107" s="32"/>
      <c r="R107" s="27">
        <f>VLOOKUP(Table3[[#This Row],[length key]],Table2[[#All],[length key]:[Total schedule]],4,0)</f>
        <v>0</v>
      </c>
      <c r="S107" s="19">
        <f t="shared" si="4"/>
        <v>0</v>
      </c>
      <c r="T107" s="19"/>
      <c r="U107" s="19"/>
      <c r="V107" s="34" t="e">
        <f>ROUND((S107+Table3[[#This Row],[In Transit]])/R107*30,0)</f>
        <v>#DIV/0!</v>
      </c>
      <c r="W107" s="32"/>
      <c r="X107" s="39"/>
      <c r="Y107" s="32"/>
      <c r="Z107" s="32"/>
      <c r="AA107" s="33" t="e">
        <f>IF((45-Table3[[#This Row],[Coverage post order]])&gt;0,Table3[[#This Row],[Schedule]]*1.5,0)</f>
        <v>#DIV/0!</v>
      </c>
      <c r="AB107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107" s="34"/>
    </row>
    <row r="108" spans="1:30" ht="20.25" customHeight="1" x14ac:dyDescent="0.25">
      <c r="A108" s="34">
        <v>110</v>
      </c>
      <c r="B108" s="34"/>
      <c r="C108" s="19">
        <v>943209</v>
      </c>
      <c r="D108" s="19">
        <v>48.6</v>
      </c>
      <c r="E108" s="27">
        <v>0</v>
      </c>
      <c r="F108" s="19">
        <v>3.5</v>
      </c>
      <c r="G108" s="19">
        <v>6.05</v>
      </c>
      <c r="H108" s="19">
        <v>23.356999999999999</v>
      </c>
      <c r="I108" s="19" t="s">
        <v>78</v>
      </c>
      <c r="J108" s="19" t="str">
        <f>_xlfn.CONCAT(Table3[[#This Row],[key]],"-",Table3[[#This Row],[Length]])</f>
        <v>48.6-0-3.5-ERW 1-FC-6.05</v>
      </c>
      <c r="K108" s="19" t="s">
        <v>29</v>
      </c>
      <c r="L108" s="19" t="s">
        <v>47</v>
      </c>
      <c r="M108" s="19"/>
      <c r="N108" s="19">
        <v>1524</v>
      </c>
      <c r="O108" s="31">
        <v>3502422</v>
      </c>
      <c r="P108" s="32"/>
      <c r="Q108" s="32"/>
      <c r="R108" s="19">
        <f>VLOOKUP(Table3[[#This Row],[length key]],Table2[[#All],[length key]:[Total schedule]],4,0)</f>
        <v>20000</v>
      </c>
      <c r="S108" s="19">
        <f t="shared" si="4"/>
        <v>35892.558449054995</v>
      </c>
      <c r="T108" s="19">
        <v>0</v>
      </c>
      <c r="U108" s="19"/>
      <c r="V108" s="27">
        <f>ROUND((S108+Table3[[#This Row],[In Transit]])/R108*30,0)</f>
        <v>54</v>
      </c>
      <c r="W108" s="32"/>
      <c r="X108" s="32"/>
      <c r="Y108" s="32"/>
      <c r="Z108" s="32"/>
      <c r="AA108" s="33">
        <f>IF((45-Table3[[#This Row],[Coverage post order]])&gt;0,Table3[[#This Row],[Schedule]]*1.5,0)</f>
        <v>0</v>
      </c>
      <c r="AB108" s="34">
        <f>ROUND((Table3[[#This Row],[Stock]]+Table3[[#This Row],[056 Order]]+Table3[[#This Row],[0789 Order]]+Table3[[#This Row],[0788 Order]]+Table3[[#This Row],[In Transit]])/Table3[[#This Row],[Schedule]]*30,0)</f>
        <v>54</v>
      </c>
      <c r="AC108" s="34"/>
    </row>
    <row r="109" spans="1:30" ht="20.25" customHeight="1" x14ac:dyDescent="0.25">
      <c r="A109" s="34">
        <v>111</v>
      </c>
      <c r="B109" s="34"/>
      <c r="C109" s="19"/>
      <c r="D109" s="19">
        <v>50.8</v>
      </c>
      <c r="E109" s="27">
        <v>0</v>
      </c>
      <c r="F109" s="19">
        <v>2.6</v>
      </c>
      <c r="G109" s="19">
        <v>5.94</v>
      </c>
      <c r="H109" s="19">
        <v>18.542999999999999</v>
      </c>
      <c r="I109" s="19" t="str">
        <f>_xlfn.CONCAT("Megh-",D109,"-",E109,"-",F109,"-",G109)</f>
        <v>Megh-50.8-0-2.6-5.94</v>
      </c>
      <c r="J109" s="27" t="str">
        <f>_xlfn.CONCAT(Table3[[#This Row],[key]])</f>
        <v>Megh-50.8-0-2.6-5.94</v>
      </c>
      <c r="K109" s="19" t="s">
        <v>29</v>
      </c>
      <c r="L109" s="19" t="s">
        <v>47</v>
      </c>
      <c r="M109" s="19"/>
      <c r="N109" s="19">
        <v>678</v>
      </c>
      <c r="O109" s="31"/>
      <c r="P109" s="32"/>
      <c r="Q109" s="32"/>
      <c r="R109" s="27">
        <f>VLOOKUP(Table3[[#This Row],[length key]],Table2[[#All],[length key]:[Total schedule]],4,0)</f>
        <v>0</v>
      </c>
      <c r="S109" s="19">
        <f t="shared" si="4"/>
        <v>12446.7513431976</v>
      </c>
      <c r="T109" s="19"/>
      <c r="U109" s="19"/>
      <c r="V109" s="34" t="e">
        <f>ROUND((S109+Table3[[#This Row],[In Transit]])/R109*30,0)</f>
        <v>#DIV/0!</v>
      </c>
      <c r="W109" s="32"/>
      <c r="X109" s="32"/>
      <c r="Y109" s="32"/>
      <c r="Z109" s="32"/>
      <c r="AA109" s="33" t="e">
        <f>IF((45-Table3[[#This Row],[Coverage post order]])&gt;0,Table3[[#This Row],[Schedule]]*1.5,0)</f>
        <v>#DIV/0!</v>
      </c>
      <c r="AB109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109" s="34"/>
    </row>
    <row r="110" spans="1:30" ht="20.25" customHeight="1" x14ac:dyDescent="0.25">
      <c r="A110" s="34">
        <v>112</v>
      </c>
      <c r="B110" s="34"/>
      <c r="C110" s="19">
        <v>943211</v>
      </c>
      <c r="D110" s="19">
        <v>50.8</v>
      </c>
      <c r="E110" s="27">
        <v>0</v>
      </c>
      <c r="F110" s="19">
        <v>2.6</v>
      </c>
      <c r="G110" s="19">
        <v>6</v>
      </c>
      <c r="H110" s="19">
        <v>18.542999999999999</v>
      </c>
      <c r="I110" s="19" t="str">
        <f>_xlfn.CONCAT("Megh-",D110,"-",E110,"-",F110,"-",G110)</f>
        <v>Megh-50.8-0-2.6-6</v>
      </c>
      <c r="J110" s="27" t="str">
        <f>_xlfn.CONCAT(Table3[[#This Row],[key]])</f>
        <v>Megh-50.8-0-2.6-6</v>
      </c>
      <c r="K110" s="19" t="s">
        <v>29</v>
      </c>
      <c r="L110" s="19" t="s">
        <v>47</v>
      </c>
      <c r="M110" s="19"/>
      <c r="N110" s="19">
        <v>979</v>
      </c>
      <c r="O110" s="31">
        <v>4155237</v>
      </c>
      <c r="P110" s="32"/>
      <c r="Q110" s="32"/>
      <c r="R110" s="19">
        <f>VLOOKUP(Table3[[#This Row],[length key]],Table2[[#All],[length key]:[Total schedule]],4,0)</f>
        <v>5000</v>
      </c>
      <c r="S110" s="19">
        <f t="shared" si="4"/>
        <v>18154.06210332</v>
      </c>
      <c r="T110" s="19"/>
      <c r="U110" s="19"/>
      <c r="V110" s="34">
        <f>ROUND((S110+Table3[[#This Row],[In Transit]])/R110*30,0)</f>
        <v>109</v>
      </c>
      <c r="W110" s="32"/>
      <c r="X110" s="32"/>
      <c r="Y110" s="32"/>
      <c r="Z110" s="32"/>
      <c r="AA110" s="33">
        <f>IF((45-Table3[[#This Row],[Coverage post order]])&gt;0,Table3[[#This Row],[Schedule]]*1.5,0)</f>
        <v>0</v>
      </c>
      <c r="AB110" s="34">
        <f>ROUND((Table3[[#This Row],[Stock]]+Table3[[#This Row],[056 Order]]+Table3[[#This Row],[0789 Order]]+Table3[[#This Row],[0788 Order]]+Table3[[#This Row],[In Transit]])/Table3[[#This Row],[Schedule]]*30,0)</f>
        <v>109</v>
      </c>
      <c r="AC110" s="34"/>
    </row>
    <row r="111" spans="1:30" ht="20.25" customHeight="1" x14ac:dyDescent="0.25">
      <c r="A111" s="34">
        <v>113</v>
      </c>
      <c r="B111" s="34"/>
      <c r="C111" s="19">
        <v>943209</v>
      </c>
      <c r="D111" s="19">
        <v>54</v>
      </c>
      <c r="E111" s="27">
        <v>0</v>
      </c>
      <c r="F111" s="19">
        <v>3</v>
      </c>
      <c r="G111" s="19">
        <v>5.91</v>
      </c>
      <c r="H111" s="19">
        <v>21.847000000000001</v>
      </c>
      <c r="I111" s="19" t="s">
        <v>79</v>
      </c>
      <c r="J111" s="19" t="str">
        <f>_xlfn.CONCAT(Table3[[#This Row],[key]],"-",Table3[[#This Row],[Length]])</f>
        <v>54-0-3-ERW 1-FC-5.91</v>
      </c>
      <c r="K111" s="19" t="s">
        <v>29</v>
      </c>
      <c r="L111" s="19" t="s">
        <v>47</v>
      </c>
      <c r="M111" s="19"/>
      <c r="N111" s="19">
        <v>1800</v>
      </c>
      <c r="O111" s="31"/>
      <c r="P111" s="32"/>
      <c r="Q111" s="32">
        <v>3500391</v>
      </c>
      <c r="R111" s="19">
        <f>VLOOKUP(Table3[[#This Row],[length key]],Table2[[#All],[length key]:[Total schedule]],4,0)</f>
        <v>20000</v>
      </c>
      <c r="S111" s="19">
        <f t="shared" si="4"/>
        <v>40139.402661</v>
      </c>
      <c r="T111" s="19">
        <v>0</v>
      </c>
      <c r="U111" s="19"/>
      <c r="V111" s="34">
        <f>ROUND((S111+Table3[[#This Row],[In Transit]])/R111*30,0)</f>
        <v>60</v>
      </c>
      <c r="W111" s="32"/>
      <c r="X111" s="32"/>
      <c r="Y111" s="32"/>
      <c r="Z111" s="32"/>
      <c r="AA111" s="33">
        <f>IF((45-Table3[[#This Row],[Coverage post order]])&gt;0,Table3[[#This Row],[Schedule]]*1.5,0)</f>
        <v>0</v>
      </c>
      <c r="AB111" s="34">
        <f>ROUND((Table3[[#This Row],[Stock]]+Table3[[#This Row],[056 Order]]+Table3[[#This Row],[0789 Order]]+Table3[[#This Row],[0788 Order]]+Table3[[#This Row],[In Transit]])/Table3[[#This Row],[Schedule]]*30,0)</f>
        <v>60</v>
      </c>
      <c r="AC111" s="34"/>
    </row>
    <row r="112" spans="1:30" ht="20.25" customHeight="1" x14ac:dyDescent="0.25">
      <c r="A112" s="27">
        <v>114</v>
      </c>
      <c r="B112" s="27"/>
      <c r="C112" s="27">
        <v>943209</v>
      </c>
      <c r="D112" s="27">
        <v>57.15</v>
      </c>
      <c r="E112" s="27">
        <v>0</v>
      </c>
      <c r="F112" s="27">
        <v>2.5</v>
      </c>
      <c r="G112" s="27">
        <v>5.71</v>
      </c>
      <c r="H112" s="27">
        <v>19.239000000000001</v>
      </c>
      <c r="I112" s="27" t="s">
        <v>80</v>
      </c>
      <c r="J112" s="27" t="str">
        <f>_xlfn.CONCAT(Table3[[#This Row],[key]],"-",Table3[[#This Row],[Length]])</f>
        <v>57.15-0-2.5-ERW 1-FC-5.71</v>
      </c>
      <c r="K112" s="27" t="s">
        <v>29</v>
      </c>
      <c r="L112" s="27" t="s">
        <v>47</v>
      </c>
      <c r="M112" s="27"/>
      <c r="N112" s="27">
        <v>5101</v>
      </c>
      <c r="O112" s="28">
        <v>3907863</v>
      </c>
      <c r="P112" s="27">
        <v>3907863</v>
      </c>
      <c r="Q112" s="27"/>
      <c r="R112" s="27">
        <f>VLOOKUP(Table3[[#This Row],[length key]],Table2[[#All],[length key]:[Total schedule]],4,0)</f>
        <v>60000</v>
      </c>
      <c r="S112" s="27">
        <f t="shared" si="4"/>
        <v>98138.879502605618</v>
      </c>
      <c r="T112" s="27">
        <v>0</v>
      </c>
      <c r="U112" s="27"/>
      <c r="V112" s="27">
        <f>ROUND((S112+Table3[[#This Row],[In Transit]])/R112*30,0)</f>
        <v>49</v>
      </c>
      <c r="W112" s="27"/>
      <c r="X112" s="35"/>
      <c r="Y112" s="27"/>
      <c r="Z112" s="27"/>
      <c r="AA112" s="29">
        <f>IF((45-Table3[[#This Row],[Coverage post order]])&gt;0,Table3[[#This Row],[Schedule]]*1.5,0)</f>
        <v>0</v>
      </c>
      <c r="AB112" s="27">
        <f>ROUND((Table3[[#This Row],[Stock]]+Table3[[#This Row],[056 Order]]+Table3[[#This Row],[0789 Order]]+Table3[[#This Row],[0788 Order]]+Table3[[#This Row],[In Transit]])/Table3[[#This Row],[Schedule]]*30,0)</f>
        <v>49</v>
      </c>
      <c r="AC112" s="30" t="s">
        <v>129</v>
      </c>
    </row>
    <row r="113" spans="1:30" ht="20.25" customHeight="1" x14ac:dyDescent="0.25">
      <c r="A113" s="34">
        <v>115</v>
      </c>
      <c r="B113" s="34"/>
      <c r="C113" s="19"/>
      <c r="D113" s="19">
        <v>57.15</v>
      </c>
      <c r="E113" s="27">
        <v>0</v>
      </c>
      <c r="F113" s="19">
        <v>2.5</v>
      </c>
      <c r="G113" s="19">
        <v>5.75</v>
      </c>
      <c r="H113" s="19">
        <v>19.373999999999999</v>
      </c>
      <c r="I113" s="19" t="s">
        <v>80</v>
      </c>
      <c r="J113" s="19" t="str">
        <f>_xlfn.CONCAT(Table3[[#This Row],[key]],"-",Table3[[#This Row],[Length]])</f>
        <v>57.15-0-2.5-ERW 1-FC-5.75</v>
      </c>
      <c r="K113" s="19" t="s">
        <v>29</v>
      </c>
      <c r="L113" s="19" t="s">
        <v>47</v>
      </c>
      <c r="M113" s="19"/>
      <c r="N113" s="19">
        <v>1341</v>
      </c>
      <c r="O113" s="31"/>
      <c r="P113" s="32"/>
      <c r="Q113" s="32"/>
      <c r="R113" s="27">
        <f>_xlfn.IFNA(VLOOKUP(Table3[[#This Row],[length key]],Table2[[#All],[length key]:[Total schedule]],4,0),0)</f>
        <v>0</v>
      </c>
      <c r="S113" s="19">
        <f t="shared" si="4"/>
        <v>25980.427076203123</v>
      </c>
      <c r="T113" s="19">
        <v>7080</v>
      </c>
      <c r="U113" s="19"/>
      <c r="V113" s="34" t="e">
        <f>ROUND((S113+Table3[[#This Row],[In Transit]])/R113*30,0)</f>
        <v>#DIV/0!</v>
      </c>
      <c r="W113" s="32"/>
      <c r="X113" s="32"/>
      <c r="Y113" s="32"/>
      <c r="Z113" s="32"/>
      <c r="AA113" s="33" t="e">
        <f>IF((45-Table3[[#This Row],[Coverage post order]])&gt;0,Table3[[#This Row],[Schedule]]*1.5,0)</f>
        <v>#DIV/0!</v>
      </c>
      <c r="AB113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113" s="34" t="s">
        <v>130</v>
      </c>
    </row>
    <row r="114" spans="1:30" ht="20.25" customHeight="1" x14ac:dyDescent="0.25">
      <c r="A114" s="34">
        <v>116</v>
      </c>
      <c r="B114" s="34"/>
      <c r="C114" s="19">
        <v>943209</v>
      </c>
      <c r="D114" s="19">
        <v>57.15</v>
      </c>
      <c r="E114" s="27">
        <v>0</v>
      </c>
      <c r="F114" s="19">
        <v>2.5</v>
      </c>
      <c r="G114" s="19">
        <v>5.95</v>
      </c>
      <c r="H114" s="19">
        <v>20.047999999999998</v>
      </c>
      <c r="I114" s="19" t="s">
        <v>80</v>
      </c>
      <c r="J114" s="19" t="str">
        <f>_xlfn.CONCAT(Table3[[#This Row],[key]],"-",Table3[[#This Row],[Length]])</f>
        <v>57.15-0-2.5-ERW 1-FC-5.95</v>
      </c>
      <c r="K114" s="19" t="s">
        <v>29</v>
      </c>
      <c r="L114" s="19" t="s">
        <v>47</v>
      </c>
      <c r="M114" s="19"/>
      <c r="N114" s="19">
        <v>217</v>
      </c>
      <c r="O114" s="31">
        <v>4045220</v>
      </c>
      <c r="P114" s="32">
        <v>4045220</v>
      </c>
      <c r="Q114" s="32"/>
      <c r="R114" s="27">
        <f>VLOOKUP(Table3[[#This Row],[length key]],Table2[[#All],[length key]:[Total schedule]],4,0)</f>
        <v>0</v>
      </c>
      <c r="S114" s="19">
        <f t="shared" si="4"/>
        <v>4350.3716784281251</v>
      </c>
      <c r="T114" s="19">
        <v>0</v>
      </c>
      <c r="U114" s="19"/>
      <c r="V114" s="34" t="e">
        <f>ROUND((S114+Table3[[#This Row],[In Transit]])/R114*30,0)</f>
        <v>#DIV/0!</v>
      </c>
      <c r="W114" s="31">
        <v>15000</v>
      </c>
      <c r="X114" s="39"/>
      <c r="Y114" s="32"/>
      <c r="Z114" s="32"/>
      <c r="AA114" s="33" t="e">
        <f>IF((45-Table3[[#This Row],[Coverage post order]])&gt;0,Table3[[#This Row],[Schedule]]*1.5,0)</f>
        <v>#DIV/0!</v>
      </c>
      <c r="AB114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114" s="34"/>
    </row>
    <row r="115" spans="1:30" ht="20.25" customHeight="1" x14ac:dyDescent="0.25">
      <c r="A115" s="27">
        <v>117</v>
      </c>
      <c r="B115" s="27"/>
      <c r="C115" s="27">
        <v>943209</v>
      </c>
      <c r="D115" s="27">
        <v>57.15</v>
      </c>
      <c r="E115" s="27">
        <v>0</v>
      </c>
      <c r="F115" s="27">
        <v>2.5</v>
      </c>
      <c r="G115" s="27">
        <v>6.1</v>
      </c>
      <c r="H115" s="27">
        <v>20.553000000000001</v>
      </c>
      <c r="I115" s="27" t="s">
        <v>80</v>
      </c>
      <c r="J115" s="27" t="str">
        <f>_xlfn.CONCAT(Table3[[#This Row],[key]],"-",Table3[[#This Row],[Length]])</f>
        <v>57.15-0-2.5-ERW 1-FC-6.1</v>
      </c>
      <c r="K115" s="27" t="s">
        <v>29</v>
      </c>
      <c r="L115" s="27" t="s">
        <v>47</v>
      </c>
      <c r="M115" s="27"/>
      <c r="N115" s="27">
        <v>2667</v>
      </c>
      <c r="O115" s="28">
        <v>3910001</v>
      </c>
      <c r="P115" s="27">
        <v>3910001</v>
      </c>
      <c r="Q115" s="27"/>
      <c r="R115" s="27">
        <f>VLOOKUP(Table3[[#This Row],[length key]],Table2[[#All],[length key]:[Total schedule]],4,0)</f>
        <v>118000</v>
      </c>
      <c r="S115" s="27">
        <f t="shared" si="4"/>
        <v>54815.390717456241</v>
      </c>
      <c r="T115" s="27">
        <v>10021</v>
      </c>
      <c r="U115" s="27"/>
      <c r="V115" s="27">
        <f>ROUND((S115+Table3[[#This Row],[In Transit]])/R115*30,0)</f>
        <v>16</v>
      </c>
      <c r="W115" s="27"/>
      <c r="X115" s="35">
        <v>150000</v>
      </c>
      <c r="Y115" s="27"/>
      <c r="Z115" s="27"/>
      <c r="AA115" s="29">
        <f>IF((45-Table3[[#This Row],[Coverage post order]])&gt;0,Table3[[#This Row],[Schedule]]*1.5,0)</f>
        <v>0</v>
      </c>
      <c r="AB115" s="27">
        <f>ROUND((Table3[[#This Row],[Stock]]+Table3[[#This Row],[056 Order]]+Table3[[#This Row],[0789 Order]]+Table3[[#This Row],[0788 Order]]+Table3[[#This Row],[In Transit]])/Table3[[#This Row],[Schedule]]*30,0)</f>
        <v>55</v>
      </c>
      <c r="AC115" s="30" t="s">
        <v>129</v>
      </c>
    </row>
    <row r="116" spans="1:30" s="55" customFormat="1" ht="20.25" customHeight="1" x14ac:dyDescent="0.25">
      <c r="A116" s="51"/>
      <c r="B116" s="51"/>
      <c r="C116" s="51">
        <v>943209</v>
      </c>
      <c r="D116" s="51">
        <v>57.15</v>
      </c>
      <c r="E116" s="27">
        <v>0</v>
      </c>
      <c r="F116" s="51">
        <v>2.5</v>
      </c>
      <c r="G116" s="51">
        <v>6.02</v>
      </c>
      <c r="H116" s="51"/>
      <c r="I116" s="51" t="s">
        <v>80</v>
      </c>
      <c r="J116" s="51" t="str">
        <f>_xlfn.CONCAT(Table3[[#This Row],[key]],"-",Table3[[#This Row],[Length]])</f>
        <v>57.15-0-2.5-ERW 1-FC-6.02</v>
      </c>
      <c r="K116" s="51"/>
      <c r="L116" s="51"/>
      <c r="M116" s="51"/>
      <c r="N116" s="51"/>
      <c r="O116" s="52"/>
      <c r="P116" s="51">
        <v>3520439</v>
      </c>
      <c r="Q116" s="51"/>
      <c r="R116" s="27">
        <f>_xlfn.IFNA(VLOOKUP(Table3[[#This Row],[length key]],Table2[[#All],[length key]:[Total schedule]],4,0),0)</f>
        <v>0</v>
      </c>
      <c r="S116" s="51">
        <f t="shared" si="4"/>
        <v>0</v>
      </c>
      <c r="T116" s="51"/>
      <c r="U116" s="51"/>
      <c r="V116" s="51" t="e">
        <f>ROUND((S116+Table3[[#This Row],[In Transit]])/R116*30,0)</f>
        <v>#DIV/0!</v>
      </c>
      <c r="W116" s="51"/>
      <c r="X116" s="53">
        <v>90000</v>
      </c>
      <c r="Y116" s="51"/>
      <c r="Z116" s="51"/>
      <c r="AA116" s="54" t="e">
        <f>IF((45-Table3[[#This Row],[Coverage post order]])&gt;0,Table3[[#This Row],[Schedule]]*1.5,0)</f>
        <v>#DIV/0!</v>
      </c>
      <c r="AB116" s="51" t="e">
        <f>ROUND((Table3[[#This Row],[Stock]]+Table3[[#This Row],[056 Order]]+Table3[[#This Row],[0789 Order]]+Table3[[#This Row],[0788 Order]])/Table3[[#This Row],[Schedule]]*30,0)</f>
        <v>#DIV/0!</v>
      </c>
      <c r="AC116" s="56" t="s">
        <v>94</v>
      </c>
      <c r="AD116" s="55" t="s">
        <v>131</v>
      </c>
    </row>
    <row r="117" spans="1:30" ht="20.25" customHeight="1" x14ac:dyDescent="0.25">
      <c r="A117" s="34">
        <v>118</v>
      </c>
      <c r="B117" s="34"/>
      <c r="C117" s="19">
        <v>943210</v>
      </c>
      <c r="D117" s="19">
        <v>57.15</v>
      </c>
      <c r="E117" s="27">
        <v>0</v>
      </c>
      <c r="F117" s="19">
        <v>3</v>
      </c>
      <c r="G117" s="19">
        <v>5.15</v>
      </c>
      <c r="H117" s="19">
        <v>22.635000000000002</v>
      </c>
      <c r="I117" s="19" t="str">
        <f>_xlfn.CONCAT("Megh-",D117,"-",E117,"-",F117,"-",G117)</f>
        <v>Megh-57.15-0-3-5.15</v>
      </c>
      <c r="J117" s="27" t="str">
        <f>_xlfn.CONCAT(Table3[[#This Row],[key]])</f>
        <v>Megh-57.15-0-3-5.15</v>
      </c>
      <c r="K117" s="19" t="s">
        <v>29</v>
      </c>
      <c r="L117" s="19" t="s">
        <v>47</v>
      </c>
      <c r="M117" s="19"/>
      <c r="N117" s="19">
        <v>0</v>
      </c>
      <c r="O117" s="31">
        <v>3501105</v>
      </c>
      <c r="P117" s="32"/>
      <c r="Q117" s="32"/>
      <c r="R117" s="27">
        <f>VLOOKUP(Table3[[#This Row],[length key]],Table2[[#All],[length key]:[Total schedule]],4,0)</f>
        <v>0</v>
      </c>
      <c r="S117" s="19">
        <f t="shared" si="4"/>
        <v>0</v>
      </c>
      <c r="T117" s="19"/>
      <c r="U117" s="19"/>
      <c r="V117" s="34" t="e">
        <f>ROUND((S117+Table3[[#This Row],[In Transit]])/R117*30,0)</f>
        <v>#DIV/0!</v>
      </c>
      <c r="W117" s="32"/>
      <c r="X117" s="32"/>
      <c r="Y117" s="32"/>
      <c r="Z117" s="32"/>
      <c r="AA117" s="33" t="e">
        <f>IF((45-Table3[[#This Row],[Coverage post order]])&gt;0,Table3[[#This Row],[Schedule]]*1.5,0)</f>
        <v>#DIV/0!</v>
      </c>
      <c r="AB117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117" s="34">
        <v>56</v>
      </c>
    </row>
    <row r="118" spans="1:30" ht="20.25" customHeight="1" x14ac:dyDescent="0.25">
      <c r="A118" s="34"/>
      <c r="B118" s="34"/>
      <c r="C118" s="19">
        <v>943210</v>
      </c>
      <c r="D118" s="19">
        <v>57.15</v>
      </c>
      <c r="E118" s="27">
        <v>0</v>
      </c>
      <c r="F118" s="19">
        <v>3</v>
      </c>
      <c r="G118" s="19">
        <v>5.65</v>
      </c>
      <c r="H118" s="19"/>
      <c r="I118" s="19" t="str">
        <f>_xlfn.CONCAT("Megh-",D118,"-",E118,"-",F118,"-",G118)</f>
        <v>Megh-57.15-0-3-5.65</v>
      </c>
      <c r="J118" s="27" t="str">
        <f>_xlfn.CONCAT(Table3[[#This Row],[key]])</f>
        <v>Megh-57.15-0-3-5.65</v>
      </c>
      <c r="K118" s="19" t="s">
        <v>29</v>
      </c>
      <c r="L118" s="19"/>
      <c r="M118" s="19"/>
      <c r="N118" s="19">
        <v>1426</v>
      </c>
      <c r="O118" s="31">
        <v>3501105</v>
      </c>
      <c r="P118" s="32"/>
      <c r="Q118" s="32"/>
      <c r="R118" s="19">
        <f>VLOOKUP(Table3[[#This Row],[length key]],Table2[[#All],[length key]:[Total schedule]],4,0)</f>
        <v>22000</v>
      </c>
      <c r="S118" s="19">
        <f t="shared" si="4"/>
        <v>32278.041632407505</v>
      </c>
      <c r="T118" s="19">
        <v>0</v>
      </c>
      <c r="U118" s="19"/>
      <c r="V118" s="34">
        <f>ROUND((S118+Table3[[#This Row],[In Transit]])/R118*30,0)</f>
        <v>44</v>
      </c>
      <c r="W118" s="31">
        <v>19300</v>
      </c>
      <c r="X118" s="32"/>
      <c r="Y118" s="32"/>
      <c r="Z118" s="32"/>
      <c r="AA118" s="33">
        <f>IF((45-Table3[[#This Row],[Coverage post order]])&gt;0,Table3[[#This Row],[Schedule]]*1.5,0)</f>
        <v>0</v>
      </c>
      <c r="AB118" s="32">
        <f>ROUND((Table3[[#This Row],[Stock]]+Table3[[#This Row],[056 Order]]+Table3[[#This Row],[0789 Order]]+Table3[[#This Row],[0788 Order]])/Table3[[#This Row],[Schedule]]*30,0)</f>
        <v>70</v>
      </c>
      <c r="AC118" s="40" t="s">
        <v>93</v>
      </c>
    </row>
    <row r="119" spans="1:30" ht="20.25" customHeight="1" x14ac:dyDescent="0.25">
      <c r="A119" s="34">
        <v>119</v>
      </c>
      <c r="B119" s="34"/>
      <c r="C119" s="19">
        <v>943209</v>
      </c>
      <c r="D119" s="19">
        <v>60.3</v>
      </c>
      <c r="E119" s="27">
        <v>0</v>
      </c>
      <c r="F119" s="19">
        <v>2</v>
      </c>
      <c r="G119" s="19">
        <v>5.9</v>
      </c>
      <c r="H119" s="19">
        <v>14.654999999999999</v>
      </c>
      <c r="I119" s="19" t="s">
        <v>81</v>
      </c>
      <c r="J119" s="19" t="str">
        <f>_xlfn.CONCAT(Table3[[#This Row],[key]],"-",Table3[[#This Row],[Length]])</f>
        <v>60.3-0-2-ERW 1-FC-5.9</v>
      </c>
      <c r="K119" s="19" t="s">
        <v>29</v>
      </c>
      <c r="L119" s="19" t="s">
        <v>47</v>
      </c>
      <c r="M119" s="19"/>
      <c r="N119" s="19">
        <v>0</v>
      </c>
      <c r="O119" s="31"/>
      <c r="P119" s="32"/>
      <c r="Q119" s="32">
        <v>3905049</v>
      </c>
      <c r="R119" s="19">
        <f>VLOOKUP(Table3[[#This Row],[length key]],Table2[[#All],[length key]:[Total schedule]],4,0)</f>
        <v>15000</v>
      </c>
      <c r="S119" s="19">
        <f t="shared" si="4"/>
        <v>0</v>
      </c>
      <c r="T119" s="19">
        <v>0</v>
      </c>
      <c r="U119" s="19"/>
      <c r="V119" s="27">
        <f>ROUND((S119+Table3[[#This Row],[In Transit]])/R119*30,0)</f>
        <v>0</v>
      </c>
      <c r="W119" s="32"/>
      <c r="X119" s="32"/>
      <c r="Y119" s="31">
        <v>102500</v>
      </c>
      <c r="Z119" s="32"/>
      <c r="AA119" s="33">
        <f>IF((45-Table3[[#This Row],[Coverage post order]])&gt;0,Table3[[#This Row],[Schedule]]*1.5,0)</f>
        <v>0</v>
      </c>
      <c r="AB119" s="34">
        <f>ROUND((Table3[[#This Row],[Stock]]+Table3[[#This Row],[056 Order]]+Table3[[#This Row],[0789 Order]]+Table3[[#This Row],[0788 Order]]+Table3[[#This Row],[In Transit]])/Table3[[#This Row],[Schedule]]*30,0)</f>
        <v>205</v>
      </c>
      <c r="AC119" s="37">
        <v>788</v>
      </c>
    </row>
    <row r="120" spans="1:30" ht="20.25" customHeight="1" x14ac:dyDescent="0.25">
      <c r="A120" s="34">
        <v>120</v>
      </c>
      <c r="B120" s="34"/>
      <c r="C120" s="19">
        <v>943209</v>
      </c>
      <c r="D120" s="19">
        <v>60.3</v>
      </c>
      <c r="E120" s="27">
        <v>0</v>
      </c>
      <c r="F120" s="19">
        <v>2</v>
      </c>
      <c r="G120" s="19">
        <v>6</v>
      </c>
      <c r="H120" s="19">
        <v>14.654999999999999</v>
      </c>
      <c r="I120" s="19" t="s">
        <v>81</v>
      </c>
      <c r="J120" s="19" t="str">
        <f>_xlfn.CONCAT(Table3[[#This Row],[key]],"-",Table3[[#This Row],[Length]])</f>
        <v>60.3-0-2-ERW 1-FC-6</v>
      </c>
      <c r="K120" s="19" t="s">
        <v>29</v>
      </c>
      <c r="L120" s="19" t="s">
        <v>47</v>
      </c>
      <c r="M120" s="19"/>
      <c r="N120" s="19">
        <v>0</v>
      </c>
      <c r="O120" s="31">
        <v>3702875</v>
      </c>
      <c r="P120" s="32"/>
      <c r="Q120" s="31">
        <v>3702875</v>
      </c>
      <c r="R120" s="19">
        <f>VLOOKUP(Table3[[#This Row],[length key]],Table2[[#All],[length key]:[Total schedule]],4,0)</f>
        <v>39000</v>
      </c>
      <c r="S120" s="19">
        <f t="shared" si="4"/>
        <v>0</v>
      </c>
      <c r="T120" s="19">
        <v>0</v>
      </c>
      <c r="U120" s="19"/>
      <c r="V120" s="34">
        <f>ROUND((S120+Table3[[#This Row],[In Transit]])/R120*30,0)</f>
        <v>0</v>
      </c>
      <c r="W120" s="32"/>
      <c r="X120" s="32"/>
      <c r="Y120" s="31">
        <v>58500</v>
      </c>
      <c r="Z120" s="32"/>
      <c r="AA120" s="33">
        <f>IF((45-Table3[[#This Row],[Coverage post order]])&gt;0,Table3[[#This Row],[Schedule]]*1.5,0)</f>
        <v>0</v>
      </c>
      <c r="AB120" s="34">
        <f>ROUND((Table3[[#This Row],[Stock]]+Table3[[#This Row],[056 Order]]+Table3[[#This Row],[0789 Order]]+Table3[[#This Row],[0788 Order]]+Table3[[#This Row],[In Transit]])/Table3[[#This Row],[Schedule]]*30,0)</f>
        <v>45</v>
      </c>
      <c r="AC120" s="40" t="s">
        <v>95</v>
      </c>
    </row>
    <row r="121" spans="1:30" ht="20.25" customHeight="1" x14ac:dyDescent="0.25">
      <c r="A121" s="34">
        <v>121</v>
      </c>
      <c r="B121" s="34" t="s">
        <v>82</v>
      </c>
      <c r="C121" s="19">
        <v>943211</v>
      </c>
      <c r="D121" s="19">
        <v>50</v>
      </c>
      <c r="E121" s="19">
        <v>50</v>
      </c>
      <c r="F121" s="19">
        <v>1.6</v>
      </c>
      <c r="G121" s="19">
        <v>6.04</v>
      </c>
      <c r="H121" s="19">
        <v>14.17</v>
      </c>
      <c r="I121" s="19" t="s">
        <v>177</v>
      </c>
      <c r="J121" s="19" t="s">
        <v>180</v>
      </c>
      <c r="K121" s="19" t="s">
        <v>29</v>
      </c>
      <c r="L121" s="19" t="s">
        <v>47</v>
      </c>
      <c r="M121" s="19"/>
      <c r="N121" s="19">
        <v>0</v>
      </c>
      <c r="O121" s="31"/>
      <c r="P121" s="32"/>
      <c r="Q121" s="32">
        <v>3500641</v>
      </c>
      <c r="R121" s="27">
        <f>VLOOKUP(Table3[[#This Row],[length key]],Table2[[#All],[length key]:[Total schedule]],4,0)</f>
        <v>0</v>
      </c>
      <c r="S121" s="19">
        <f t="shared" si="4"/>
        <v>0</v>
      </c>
      <c r="T121" s="19"/>
      <c r="U121" s="19"/>
      <c r="V121" s="27" t="e">
        <f>ROUND((S121+Table3[[#This Row],[In Transit]])/R121*30,0)</f>
        <v>#DIV/0!</v>
      </c>
      <c r="W121" s="31"/>
      <c r="X121" s="32"/>
      <c r="Y121" s="32">
        <v>4000</v>
      </c>
      <c r="Z121" s="32"/>
      <c r="AA121" s="33" t="e">
        <f>IF((45-Table3[[#This Row],[Coverage post order]])&gt;0,Table3[[#This Row],[Schedule]]*1.5,0)</f>
        <v>#DIV/0!</v>
      </c>
      <c r="AB121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121" s="34">
        <v>788</v>
      </c>
    </row>
    <row r="122" spans="1:30" ht="20.25" customHeight="1" x14ac:dyDescent="0.25">
      <c r="A122" s="34">
        <v>122</v>
      </c>
      <c r="B122" s="34" t="s">
        <v>82</v>
      </c>
      <c r="C122" s="19">
        <v>943211</v>
      </c>
      <c r="D122" s="19">
        <v>50</v>
      </c>
      <c r="E122" s="19">
        <v>50</v>
      </c>
      <c r="F122" s="19">
        <v>1.6</v>
      </c>
      <c r="G122" s="19">
        <v>6.06</v>
      </c>
      <c r="H122" s="19"/>
      <c r="I122" s="19" t="s">
        <v>177</v>
      </c>
      <c r="J122" s="19" t="s">
        <v>178</v>
      </c>
      <c r="K122" s="19" t="s">
        <v>29</v>
      </c>
      <c r="L122" s="19" t="s">
        <v>47</v>
      </c>
      <c r="M122" s="19"/>
      <c r="N122" s="19">
        <v>53</v>
      </c>
      <c r="O122" s="31"/>
      <c r="P122" s="32"/>
      <c r="Q122" s="32">
        <v>3751498</v>
      </c>
      <c r="R122" s="19">
        <f>VLOOKUP(Table3[[#This Row],[length key]],Table2[[#All],[length key]:[Total schedule]],4,0)</f>
        <v>13000</v>
      </c>
      <c r="S122" s="19">
        <f t="shared" si="4"/>
        <v>613.38524734079988</v>
      </c>
      <c r="T122" s="19"/>
      <c r="U122" s="19"/>
      <c r="V122" s="34">
        <f>ROUND((S122+Table3[[#This Row],[In Transit]])/R122*30,0)</f>
        <v>1</v>
      </c>
      <c r="W122" s="31"/>
      <c r="X122" s="32"/>
      <c r="Y122" s="32">
        <v>19500</v>
      </c>
      <c r="Z122" s="32"/>
      <c r="AA122" s="33">
        <f>IF((45-Table3[[#This Row],[Coverage post order]])&gt;0,Table3[[#This Row],[Schedule]]*1.5,0)</f>
        <v>0</v>
      </c>
      <c r="AB122" s="34">
        <f>ROUND((Table3[[#This Row],[Stock]]+Table3[[#This Row],[056 Order]]+Table3[[#This Row],[0789 Order]]+Table3[[#This Row],[0788 Order]]+Table3[[#This Row],[In Transit]])/Table3[[#This Row],[Schedule]]*30,0)</f>
        <v>46</v>
      </c>
      <c r="AC122" s="40" t="s">
        <v>95</v>
      </c>
    </row>
    <row r="123" spans="1:30" ht="20.25" customHeight="1" x14ac:dyDescent="0.25">
      <c r="A123" s="34">
        <v>123</v>
      </c>
      <c r="B123" s="34" t="s">
        <v>82</v>
      </c>
      <c r="C123" s="19"/>
      <c r="D123" s="19">
        <v>50</v>
      </c>
      <c r="E123" s="19">
        <v>50</v>
      </c>
      <c r="F123" s="19">
        <v>1.6</v>
      </c>
      <c r="G123" s="19">
        <v>6.1210000000000004</v>
      </c>
      <c r="H123" s="19"/>
      <c r="I123" s="19" t="s">
        <v>177</v>
      </c>
      <c r="J123" s="19" t="s">
        <v>179</v>
      </c>
      <c r="K123" s="19" t="s">
        <v>29</v>
      </c>
      <c r="L123" s="19" t="s">
        <v>47</v>
      </c>
      <c r="M123" s="19"/>
      <c r="N123" s="19">
        <v>1300</v>
      </c>
      <c r="O123" s="31"/>
      <c r="P123" s="32"/>
      <c r="Q123" s="32"/>
      <c r="R123" s="27">
        <f>VLOOKUP(Table3[[#This Row],[length key]],Table2[[#All],[length key]:[Total schedule]],4,0)</f>
        <v>0</v>
      </c>
      <c r="S123" s="19">
        <f t="shared" si="4"/>
        <v>15196.744593888001</v>
      </c>
      <c r="T123" s="19">
        <v>0</v>
      </c>
      <c r="U123" s="19"/>
      <c r="V123" s="27" t="e">
        <f>ROUND((S123+Table3[[#This Row],[In Transit]])/R123*30,0)</f>
        <v>#DIV/0!</v>
      </c>
      <c r="W123" s="31"/>
      <c r="X123" s="32"/>
      <c r="Y123" s="32"/>
      <c r="Z123" s="32"/>
      <c r="AA123" s="33" t="e">
        <f>IF((45-Table3[[#This Row],[Coverage post order]])&gt;0,Table3[[#This Row],[Schedule]]*1.5,0)</f>
        <v>#DIV/0!</v>
      </c>
      <c r="AB123" s="34" t="e">
        <f>ROUND((Table3[[#This Row],[Stock]]+Table3[[#This Row],[056 Order]]+Table3[[#This Row],[0789 Order]]+Table3[[#This Row],[0788 Order]]+Table3[[#This Row],[In Transit]])/Table3[[#This Row],[Schedule]]*30,0)</f>
        <v>#DIV/0!</v>
      </c>
      <c r="AC123" s="34"/>
    </row>
    <row r="124" spans="1:30" ht="20.25" customHeight="1" x14ac:dyDescent="0.25">
      <c r="N124" s="49"/>
    </row>
    <row r="125" spans="1:30" ht="20.25" customHeight="1" x14ac:dyDescent="0.25">
      <c r="N125" s="49"/>
    </row>
  </sheetData>
  <phoneticPr fontId="1" type="noConversion"/>
  <conditionalFormatting sqref="J4:J123">
    <cfRule type="duplicateValues" dxfId="4" priority="1"/>
  </conditionalFormatting>
  <pageMargins left="0.7" right="0.7" top="0.75" bottom="0.75" header="0.3" footer="0.3"/>
  <pageSetup orientation="portrait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GJL342ONITT45GEDKZEITO2ZT7P2TRDZ:ms-officescript%3A%2F%2Fonedrive_business_sharinglink%2Fu!aHR0cHM6Ly90c2xpbi1teS5zaGFyZXBvaW50LmNvbS86dTovZy9wZXJzb25hbC8xNjM1NTlfdGF0YXN0ZWVsX2NvbS9FYzFFNTg2WWcxWklpYnRabjktcHhIa0JOQ1g4WnRPS0pSLXZmbkRacFBUbTJn"/>
</scriptIds>
</file>

<file path=customXml/itemProps1.xml><?xml version="1.0" encoding="utf-8"?>
<ds:datastoreItem xmlns:ds="http://schemas.openxmlformats.org/officeDocument/2006/customXml" ds:itemID="{E8DFA35A-2985-4DF7-AC2C-CB38046DDB7B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SOP</vt:lpstr>
      <vt:lpstr>vsm req</vt:lpstr>
      <vt:lpstr>TVSM</vt:lpstr>
      <vt:lpstr>vsm stock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Apoorv Gupta</dc:creator>
  <cp:keywords/>
  <dc:description/>
  <cp:lastModifiedBy>Apoorv Gupta</cp:lastModifiedBy>
  <cp:revision/>
  <dcterms:created xsi:type="dcterms:W3CDTF">2025-07-09T05:15:07Z</dcterms:created>
  <dcterms:modified xsi:type="dcterms:W3CDTF">2026-08-13T06:07:21Z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f50afb6-ab6e-4e8b-96b5-6e00ab52e29e_Enabled">
    <vt:lpwstr>true</vt:lpwstr>
  </property>
  <property fmtid="{D5CDD505-2E9C-101B-9397-08002B2CF9AE}" pid="3" name="MSIP_Label_2f50afb6-ab6e-4e8b-96b5-6e00ab52e29e_SetDate">
    <vt:lpwstr>2025-07-09T05:21:37Z</vt:lpwstr>
  </property>
  <property fmtid="{D5CDD505-2E9C-101B-9397-08002B2CF9AE}" pid="4" name="MSIP_Label_2f50afb6-ab6e-4e8b-96b5-6e00ab52e29e_Method">
    <vt:lpwstr>Standard</vt:lpwstr>
  </property>
  <property fmtid="{D5CDD505-2E9C-101B-9397-08002B2CF9AE}" pid="5" name="MSIP_Label_2f50afb6-ab6e-4e8b-96b5-6e00ab52e29e_Name">
    <vt:lpwstr>2f50afb6-ab6e-4e8b-96b5-6e00ab52e29e</vt:lpwstr>
  </property>
  <property fmtid="{D5CDD505-2E9C-101B-9397-08002B2CF9AE}" pid="6" name="MSIP_Label_2f50afb6-ab6e-4e8b-96b5-6e00ab52e29e_SiteId">
    <vt:lpwstr>f35425af-4755-4e0c-b1bb-b3cb9f1c6afd</vt:lpwstr>
  </property>
  <property fmtid="{D5CDD505-2E9C-101B-9397-08002B2CF9AE}" pid="7" name="MSIP_Label_2f50afb6-ab6e-4e8b-96b5-6e00ab52e29e_ActionId">
    <vt:lpwstr>ec49d1e3-3368-45c1-bc7e-3e93dcde63f5</vt:lpwstr>
  </property>
  <property fmtid="{D5CDD505-2E9C-101B-9397-08002B2CF9AE}" pid="8" name="MSIP_Label_2f50afb6-ab6e-4e8b-96b5-6e00ab52e29e_ContentBits">
    <vt:lpwstr>0</vt:lpwstr>
  </property>
</Properties>
</file>
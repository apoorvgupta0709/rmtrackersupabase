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4"/>
  <workbookPr/>
  <mc:AlternateContent xmlns:mc="http://schemas.openxmlformats.org/markup-compatibility/2006">
    <mc:Choice Requires="x15">
      <x15ac:absPath xmlns:x15ac="http://schemas.microsoft.com/office/spreadsheetml/2010/11/ac" url="https://d.docs.live.net/c1958eb90db4065c/Desktop/Indico Daily files/"/>
    </mc:Choice>
  </mc:AlternateContent>
  <xr:revisionPtr revIDLastSave="0" documentId="8_{97B7652F-93CD-0A40-BC1B-797A0699D7A1}" xr6:coauthVersionLast="47" xr6:coauthVersionMax="47" xr10:uidLastSave="{00000000-0000-0000-0000-000000000000}"/>
  <bookViews>
    <workbookView xWindow="-110" yWindow="-110" windowWidth="19420" windowHeight="12220" tabRatio="196" xr2:uid="{00000000-000D-0000-FFFF-FFFF00000000}"/>
  </bookViews>
  <sheets>
    <sheet name="Sheet5" sheetId="7" r:id="rId1"/>
    <sheet name="Sheet4" sheetId="4" state="hidden" r:id="rId2"/>
    <sheet name="Sheet2" sheetId="5" state="hidden" r:id="rId3"/>
  </sheets>
  <definedNames>
    <definedName name="_xlnm._FilterDatabase" localSheetId="2" hidden="1">Sheet2!$A$1:$K$87</definedName>
    <definedName name="_xlnm._FilterDatabase" localSheetId="1" hidden="1">Sheet4!$A$1:$M$81</definedName>
    <definedName name="_xlnm._FilterDatabase" localSheetId="0" hidden="1">Sheet5!$A$2:$AC$264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3" i="7" l="1"/>
  <c r="L264" i="7"/>
  <c r="L22" i="7"/>
  <c r="L15" i="7"/>
  <c r="L262" i="7"/>
  <c r="L65" i="7"/>
  <c r="L25" i="7"/>
  <c r="L82" i="7"/>
  <c r="L8" i="7"/>
  <c r="L21" i="7"/>
  <c r="L39" i="7"/>
  <c r="N77" i="7"/>
  <c r="L92" i="7"/>
  <c r="L100" i="7"/>
  <c r="L96" i="7"/>
  <c r="N1" i="7"/>
  <c r="L108" i="7"/>
  <c r="L261" i="7"/>
  <c r="L260" i="7"/>
  <c r="L85" i="7"/>
  <c r="L259" i="7"/>
  <c r="L97" i="7"/>
  <c r="L91" i="7"/>
  <c r="L67" i="7"/>
  <c r="L4" i="7"/>
  <c r="L258" i="7"/>
  <c r="L257" i="7"/>
  <c r="K1" i="7"/>
  <c r="L256" i="7"/>
  <c r="L255" i="7"/>
  <c r="L62" i="7"/>
  <c r="L177" i="7"/>
  <c r="L211" i="7"/>
  <c r="L118" i="7"/>
  <c r="L111" i="7"/>
  <c r="L44" i="7"/>
  <c r="L253" i="7"/>
  <c r="L181" i="7"/>
  <c r="L137" i="7"/>
  <c r="L73" i="7"/>
  <c r="L192" i="7"/>
  <c r="L155" i="7"/>
  <c r="L52" i="7"/>
  <c r="L210" i="7"/>
  <c r="L156" i="7"/>
  <c r="L157" i="7"/>
  <c r="L208" i="7"/>
  <c r="L101" i="7"/>
  <c r="L209" i="7"/>
  <c r="L78" i="7"/>
  <c r="L238" i="7"/>
  <c r="L233" i="7"/>
  <c r="L232" i="7"/>
  <c r="L188" i="7"/>
  <c r="L247" i="7"/>
  <c r="L227" i="7"/>
  <c r="L218" i="7"/>
  <c r="L229" i="7"/>
  <c r="L230" i="7"/>
  <c r="L107" i="7"/>
  <c r="L252" i="7"/>
  <c r="L207" i="7"/>
  <c r="L228" i="7"/>
  <c r="L167" i="7"/>
  <c r="L166" i="7"/>
  <c r="L38" i="7"/>
  <c r="L242" i="7"/>
  <c r="L248" i="7"/>
  <c r="L251" i="7"/>
  <c r="L246" i="7"/>
  <c r="L250" i="7"/>
  <c r="L249" i="7"/>
  <c r="L254" i="7"/>
  <c r="L191" i="7"/>
  <c r="L235" i="7"/>
  <c r="L231" i="7"/>
  <c r="L237" i="7"/>
  <c r="L239" i="7"/>
  <c r="L245" i="7"/>
  <c r="L243" i="7"/>
  <c r="L244" i="7"/>
  <c r="L158" i="7"/>
  <c r="L165" i="7"/>
  <c r="L172" i="7"/>
  <c r="L171" i="7"/>
  <c r="L220" i="7"/>
  <c r="L75" i="7"/>
  <c r="L93" i="7"/>
  <c r="L168" i="7"/>
  <c r="L169" i="7"/>
  <c r="L161" i="7"/>
  <c r="L159" i="7"/>
  <c r="L193" i="7"/>
  <c r="L122" i="7"/>
  <c r="L110" i="7"/>
  <c r="L27" i="7"/>
  <c r="L71" i="7"/>
  <c r="L138" i="7"/>
  <c r="L148" i="7"/>
  <c r="L216" i="7"/>
  <c r="L219" i="7"/>
  <c r="L204" i="7"/>
  <c r="L163" i="7"/>
  <c r="L195" i="7"/>
  <c r="L213" i="7"/>
  <c r="L173" i="7"/>
  <c r="L174" i="7"/>
  <c r="L9" i="7"/>
  <c r="L180" i="7"/>
  <c r="L81" i="7"/>
  <c r="L197" i="7"/>
  <c r="L198" i="7"/>
  <c r="L194" i="7"/>
  <c r="L20" i="7"/>
  <c r="L154" i="7"/>
  <c r="L212" i="7"/>
  <c r="L190" i="7"/>
  <c r="L189" i="7"/>
  <c r="L225" i="7"/>
  <c r="L226" i="7"/>
  <c r="L223" i="7"/>
  <c r="L206" i="7"/>
  <c r="L224" i="7"/>
  <c r="L162" i="7"/>
  <c r="L152" i="7"/>
  <c r="L150" i="7"/>
  <c r="L240" i="7"/>
  <c r="L175" i="7"/>
  <c r="L186" i="7"/>
  <c r="L51" i="7"/>
  <c r="L179" i="7"/>
  <c r="L136" i="7"/>
  <c r="L164" i="7"/>
  <c r="L146" i="7"/>
  <c r="L145" i="7"/>
  <c r="L141" i="7"/>
  <c r="L142" i="7"/>
  <c r="L19" i="7"/>
  <c r="L149" i="7"/>
  <c r="L217" i="7"/>
  <c r="L214" i="7"/>
  <c r="L203" i="7"/>
  <c r="L202" i="7"/>
  <c r="L53" i="7"/>
  <c r="L48" i="7"/>
  <c r="L102" i="7"/>
  <c r="L215" i="7"/>
  <c r="L184" i="7"/>
  <c r="L183" i="7"/>
  <c r="L182" i="7"/>
  <c r="L140" i="7"/>
  <c r="L139" i="7"/>
  <c r="L147" i="7"/>
  <c r="L151" i="7"/>
  <c r="L57" i="7"/>
  <c r="L201" i="7"/>
  <c r="L143" i="7"/>
  <c r="L16" i="7"/>
  <c r="L144" i="7"/>
  <c r="L196" i="7"/>
  <c r="L185" i="7"/>
  <c r="L17" i="7"/>
  <c r="L200" i="7"/>
  <c r="L153" i="7"/>
  <c r="L236" i="7"/>
  <c r="L170" i="7"/>
  <c r="L90" i="7"/>
  <c r="L205" i="7"/>
  <c r="L29" i="7"/>
  <c r="L199" i="7"/>
  <c r="L241" i="7"/>
  <c r="L46" i="7"/>
  <c r="L221" i="7"/>
  <c r="L86" i="7"/>
  <c r="L13" i="7"/>
  <c r="L80" i="7"/>
  <c r="L176" i="7"/>
  <c r="L222" i="7"/>
  <c r="L127" i="7"/>
  <c r="L83" i="7"/>
  <c r="L104" i="7"/>
  <c r="L41" i="7"/>
  <c r="L59" i="7"/>
  <c r="L68" i="7"/>
  <c r="L128" i="7"/>
  <c r="L126" i="7"/>
  <c r="L94" i="7"/>
  <c r="L76" i="7"/>
  <c r="L54" i="7"/>
  <c r="L34" i="7"/>
  <c r="L70" i="7"/>
  <c r="L14" i="7"/>
  <c r="L123" i="7"/>
  <c r="L12" i="7"/>
  <c r="L50" i="7"/>
  <c r="L95" i="7"/>
  <c r="L114" i="7"/>
  <c r="L117" i="7"/>
  <c r="L26" i="7"/>
  <c r="L32" i="7"/>
  <c r="L56" i="7"/>
  <c r="L43" i="7"/>
  <c r="L37" i="7"/>
  <c r="L10" i="7"/>
  <c r="L36" i="7"/>
  <c r="L99" i="7"/>
  <c r="L113" i="7"/>
  <c r="L115" i="7"/>
  <c r="L121" i="7"/>
  <c r="L42" i="7"/>
  <c r="L6" i="7"/>
  <c r="L28" i="7"/>
  <c r="L55" i="7"/>
  <c r="L31" i="7"/>
  <c r="L103" i="7"/>
  <c r="L124" i="7"/>
  <c r="L112" i="7"/>
  <c r="L60" i="7"/>
  <c r="L61" i="7"/>
  <c r="L234" i="7"/>
  <c r="L79" i="7"/>
  <c r="L74" i="7"/>
  <c r="L133" i="7"/>
  <c r="L135" i="7"/>
  <c r="L129" i="7"/>
  <c r="L109" i="7"/>
  <c r="L33" i="7"/>
  <c r="L98" i="7"/>
  <c r="L89" i="7"/>
  <c r="L125" i="7"/>
  <c r="L178" i="7"/>
  <c r="L131" i="7"/>
  <c r="L23" i="7"/>
  <c r="L77" i="7"/>
  <c r="L30" i="7"/>
  <c r="L160" i="7"/>
  <c r="L132" i="7"/>
  <c r="L106" i="7"/>
  <c r="L105" i="7"/>
  <c r="L58" i="7"/>
  <c r="L120" i="7"/>
  <c r="L24" i="7"/>
  <c r="L88" i="7"/>
  <c r="L84" i="7"/>
  <c r="L35" i="7"/>
  <c r="L11" i="7"/>
  <c r="L63" i="7"/>
  <c r="L87" i="7"/>
  <c r="L49" i="7"/>
  <c r="L134" i="7"/>
  <c r="L66" i="7"/>
  <c r="L72" i="7"/>
  <c r="L3" i="7"/>
  <c r="L187" i="7"/>
  <c r="L116" i="7"/>
  <c r="L18" i="7"/>
  <c r="L119" i="7"/>
  <c r="L7" i="7"/>
  <c r="L5" i="7"/>
  <c r="L40" i="7"/>
  <c r="L45" i="7"/>
  <c r="L69" i="7"/>
  <c r="L130" i="7"/>
  <c r="L64" i="7"/>
  <c r="L47" i="7"/>
  <c r="L1" i="7"/>
  <c r="G94" i="4"/>
  <c r="G98" i="4"/>
  <c r="G93" i="4"/>
  <c r="G96" i="4"/>
  <c r="G99" i="4"/>
  <c r="G97" i="4"/>
  <c r="G92" i="4"/>
  <c r="H101" i="4"/>
  <c r="G100" i="4"/>
  <c r="G90" i="4"/>
  <c r="G91" i="4"/>
  <c r="G95" i="4"/>
  <c r="G89" i="4"/>
  <c r="G101" i="4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5" i="5"/>
  <c r="I76" i="5"/>
  <c r="I77" i="5"/>
  <c r="I78" i="5"/>
  <c r="I79" i="5"/>
  <c r="I80" i="5"/>
  <c r="I81" i="5"/>
  <c r="I82" i="5"/>
  <c r="I83" i="5"/>
  <c r="I84" i="5"/>
  <c r="I85" i="5"/>
  <c r="I86" i="5"/>
  <c r="I3" i="5"/>
  <c r="I4" i="5"/>
  <c r="I5" i="5"/>
  <c r="I6" i="5"/>
  <c r="I7" i="5"/>
  <c r="I8" i="5"/>
  <c r="I9" i="5"/>
  <c r="I10" i="5"/>
  <c r="I11" i="5"/>
  <c r="I12" i="5"/>
  <c r="I13" i="5"/>
  <c r="I14" i="5"/>
  <c r="I2" i="5"/>
  <c r="J63" i="5"/>
  <c r="I63" i="5"/>
  <c r="J74" i="5"/>
  <c r="I74" i="5"/>
  <c r="J34" i="5"/>
  <c r="I34" i="5"/>
</calcChain>
</file>

<file path=xl/sharedStrings.xml><?xml version="1.0" encoding="utf-8"?>
<sst xmlns="http://schemas.openxmlformats.org/spreadsheetml/2006/main" count="734" uniqueCount="201">
  <si>
    <t>RFD Qty.</t>
  </si>
  <si>
    <t xml:space="preserve">CTL </t>
  </si>
  <si>
    <t>Thickness</t>
  </si>
  <si>
    <t>OD</t>
  </si>
  <si>
    <t>50x50</t>
  </si>
  <si>
    <t>50*30</t>
  </si>
  <si>
    <t>Remarks(Dispatch)</t>
  </si>
  <si>
    <t>40*25</t>
  </si>
  <si>
    <t>WEIGHT</t>
  </si>
  <si>
    <t>KAY JAY Sample</t>
  </si>
  <si>
    <t>50x30</t>
  </si>
  <si>
    <t>SL NO</t>
  </si>
  <si>
    <t>CUSTOMER</t>
  </si>
  <si>
    <t xml:space="preserve">INDO </t>
  </si>
  <si>
    <t>JBM AUTO</t>
  </si>
  <si>
    <t>RAJSRIYA</t>
  </si>
  <si>
    <t>THAISUMMIT</t>
  </si>
  <si>
    <t>SKB</t>
  </si>
  <si>
    <t>NEEL AUTO</t>
  </si>
  <si>
    <t>LAXMI</t>
  </si>
  <si>
    <t>SANDHAR MYSORE</t>
  </si>
  <si>
    <t>KAYJAY</t>
  </si>
  <si>
    <t>METALMAN</t>
  </si>
  <si>
    <t>RAJSRIYAMYSORE</t>
  </si>
  <si>
    <t>ELKAYEM</t>
  </si>
  <si>
    <t>NAHAR</t>
  </si>
  <si>
    <t>SRIKAM HITECH</t>
  </si>
  <si>
    <t>NAHAR ENG</t>
  </si>
  <si>
    <t>RUCHA\NARASIPUR</t>
  </si>
  <si>
    <t>ELKAYEM\SANDHAR ENG</t>
  </si>
  <si>
    <t>ELKAYEM/ SANDHAR ENG</t>
  </si>
  <si>
    <t xml:space="preserve"> SANDHAR ENG</t>
  </si>
  <si>
    <t>SANDHAR ENG / RAJSRIYA/MARTHWADA</t>
  </si>
  <si>
    <t xml:space="preserve">NMPL </t>
  </si>
  <si>
    <t>INDO / NAHAR</t>
  </si>
  <si>
    <t>SM</t>
  </si>
  <si>
    <t>Abhishek</t>
  </si>
  <si>
    <t>Diwarkar</t>
  </si>
  <si>
    <t>Bhaskar</t>
  </si>
  <si>
    <t>RAJSRIYA UT 5</t>
  </si>
  <si>
    <t xml:space="preserve"> KAYJAY</t>
  </si>
  <si>
    <t>PRAKASH</t>
  </si>
  <si>
    <t>MEGH STEEL</t>
  </si>
  <si>
    <t>RAJSRIYA MYSORE</t>
  </si>
  <si>
    <t xml:space="preserve">MARATHWAD </t>
  </si>
  <si>
    <t>NEEL METAL</t>
  </si>
  <si>
    <t>NEEL  METAL/ LAXMI</t>
  </si>
  <si>
    <t>Rajsriya Unit 2</t>
  </si>
  <si>
    <t>Prakash</t>
  </si>
  <si>
    <t>NEEL AUTO  C</t>
  </si>
  <si>
    <t>RAJSRIYA U-5</t>
  </si>
  <si>
    <t>MATERIAL RUSTED</t>
  </si>
  <si>
    <t xml:space="preserve">MATERIAL  QUALITY </t>
  </si>
  <si>
    <t>INDO</t>
  </si>
  <si>
    <t>ABHISHEK</t>
  </si>
  <si>
    <t>BALAJI</t>
  </si>
  <si>
    <t>HI-TECH</t>
  </si>
  <si>
    <t>STKM</t>
  </si>
  <si>
    <t>CEW1</t>
  </si>
  <si>
    <t>NMPL 1</t>
  </si>
  <si>
    <t>Rajsriya Unit 4</t>
  </si>
  <si>
    <t>Apoorv</t>
  </si>
  <si>
    <t>SANDHAR ENGINEERING PVT LTD.</t>
  </si>
  <si>
    <t>NMPL HUB</t>
  </si>
  <si>
    <t>Marathwada</t>
  </si>
  <si>
    <t>Balaji Press</t>
  </si>
  <si>
    <t>SRIKAM</t>
  </si>
  <si>
    <t>Balaji press product</t>
  </si>
  <si>
    <t>ERW 1</t>
  </si>
  <si>
    <t xml:space="preserve">Rajsriya Mysore </t>
  </si>
  <si>
    <t>SANDHAR ENG</t>
  </si>
  <si>
    <t>NARASIPUR</t>
  </si>
  <si>
    <t>NARASIPUR\KAYJAY</t>
  </si>
  <si>
    <t>LAXMI/ NMPL</t>
  </si>
  <si>
    <t>DIWAKAR/ BHASKAR</t>
  </si>
  <si>
    <t>SANDHAR ENG/ ELKAYEM</t>
  </si>
  <si>
    <t>MARATHWAD</t>
  </si>
  <si>
    <t>SANDHAR</t>
  </si>
  <si>
    <t>NMPL</t>
  </si>
  <si>
    <t>LKM</t>
  </si>
  <si>
    <t>NMPL 2</t>
  </si>
  <si>
    <t>lkm</t>
  </si>
  <si>
    <t>rajsriya</t>
  </si>
  <si>
    <t>3702200/1931823</t>
  </si>
  <si>
    <t>3702439/2288945</t>
  </si>
  <si>
    <t>6 M CODE</t>
  </si>
  <si>
    <t>3499307/3673888</t>
  </si>
  <si>
    <t>3534935/3499239/3682124/3954021</t>
  </si>
  <si>
    <t>3499230/3576131/3905466</t>
  </si>
  <si>
    <t>3502302/4110788/1931592/3702154</t>
  </si>
  <si>
    <t>3500404/3929644</t>
  </si>
  <si>
    <t>3770398/1942166</t>
  </si>
  <si>
    <t>3863198/1942159/3682063</t>
  </si>
  <si>
    <t>JBM</t>
  </si>
  <si>
    <t>300 nos rusted</t>
  </si>
  <si>
    <t>balaji press</t>
  </si>
  <si>
    <t>BHASKAR</t>
  </si>
  <si>
    <t>ELKM</t>
  </si>
  <si>
    <t>THICK</t>
  </si>
  <si>
    <t>LENGTH</t>
  </si>
  <si>
    <t>BAY 1</t>
  </si>
  <si>
    <t>BAY 2</t>
  </si>
  <si>
    <t>cobra CTL</t>
  </si>
  <si>
    <t>Nos</t>
  </si>
  <si>
    <t>CEW 1</t>
  </si>
  <si>
    <t>STKM12A</t>
  </si>
  <si>
    <t>R/L</t>
  </si>
  <si>
    <t>236/234</t>
  </si>
  <si>
    <t>2000/2000</t>
  </si>
  <si>
    <t>1162/1328</t>
  </si>
  <si>
    <t>6000/2500</t>
  </si>
  <si>
    <t>355/400</t>
  </si>
  <si>
    <t>30000/17500</t>
  </si>
  <si>
    <t>STKM13C</t>
  </si>
  <si>
    <t>ERW 2</t>
  </si>
  <si>
    <t>60x30</t>
  </si>
  <si>
    <t>Yst 210Eq</t>
  </si>
  <si>
    <t>CEW  1</t>
  </si>
  <si>
    <t>YST210</t>
  </si>
  <si>
    <t>Angle cutting</t>
  </si>
  <si>
    <t>ERW 3M</t>
  </si>
  <si>
    <t>JIS3134ERW</t>
  </si>
  <si>
    <t>Auction</t>
  </si>
  <si>
    <t> CEW 2</t>
  </si>
  <si>
    <t>GE</t>
  </si>
  <si>
    <t>HSTERW2</t>
  </si>
  <si>
    <t>YSt240EQ</t>
  </si>
  <si>
    <t>  </t>
  </si>
  <si>
    <t>COBRA</t>
  </si>
  <si>
    <t>Chamfe</t>
  </si>
  <si>
    <t xml:space="preserve">Cobra </t>
  </si>
  <si>
    <t>Total</t>
  </si>
  <si>
    <t>Cobra / Chamfer</t>
  </si>
  <si>
    <t>OD (mm)</t>
  </si>
  <si>
    <t>Thk (mm)</t>
  </si>
  <si>
    <t>L (m)</t>
  </si>
  <si>
    <t>total plan</t>
  </si>
  <si>
    <t>Actual-Nos</t>
  </si>
  <si>
    <t>Plan-Qty(T)</t>
  </si>
  <si>
    <t>Act-Qty(T)</t>
  </si>
  <si>
    <t>Pending (Nos)</t>
  </si>
  <si>
    <t>RFD NOS</t>
  </si>
  <si>
    <t>DPC</t>
  </si>
  <si>
    <t>RM</t>
  </si>
  <si>
    <t>ashok</t>
  </si>
  <si>
    <t>sohan</t>
  </si>
  <si>
    <t>budhiram</t>
  </si>
  <si>
    <t>cobra plan</t>
  </si>
  <si>
    <t>40X25</t>
  </si>
  <si>
    <t>APROV</t>
  </si>
  <si>
    <t>RUSTED</t>
  </si>
  <si>
    <t>TK</t>
  </si>
  <si>
    <t>CTL</t>
  </si>
  <si>
    <t>TONS</t>
  </si>
  <si>
    <t>QTY</t>
  </si>
  <si>
    <t>OP</t>
  </si>
  <si>
    <t>SUNARAM</t>
  </si>
  <si>
    <t>BHARAT</t>
  </si>
  <si>
    <t>SUNARAM25.3</t>
  </si>
  <si>
    <t>50X30</t>
  </si>
  <si>
    <t>sandhar</t>
  </si>
  <si>
    <t>ERW1</t>
  </si>
  <si>
    <t>40X30</t>
  </si>
  <si>
    <t>NMPL/Sandhar</t>
  </si>
  <si>
    <t>CTL Code</t>
  </si>
  <si>
    <t>Diwarkar/Apoorv</t>
  </si>
  <si>
    <t>LAXMI/NMPL</t>
  </si>
  <si>
    <t>Bhaskar/Diwakar</t>
  </si>
  <si>
    <t>Diwakar</t>
  </si>
  <si>
    <t>Hitech</t>
  </si>
  <si>
    <t>Sandhar</t>
  </si>
  <si>
    <t>Apoorv/Diwakar</t>
  </si>
  <si>
    <t>NAHAR E NG/Sandhar</t>
  </si>
  <si>
    <t>Abhishek/Apoorv</t>
  </si>
  <si>
    <t>Rajasriya</t>
  </si>
  <si>
    <t>Narsipur</t>
  </si>
  <si>
    <t>Diwakar/Apoorv</t>
  </si>
  <si>
    <t>1938127/3781664</t>
  </si>
  <si>
    <t>Bhaskar/Apoorv</t>
  </si>
  <si>
    <t>Elkeyam</t>
  </si>
  <si>
    <t>Laxmi</t>
  </si>
  <si>
    <t>Metalman</t>
  </si>
  <si>
    <t>Diwarkar/Prakash</t>
  </si>
  <si>
    <t>SRIKAM HITECH/Rajasriya</t>
  </si>
  <si>
    <t>Srikam Hitech</t>
  </si>
  <si>
    <t>Section</t>
  </si>
  <si>
    <t>Aging days</t>
  </si>
  <si>
    <t>50X50</t>
  </si>
  <si>
    <t>40x20</t>
  </si>
  <si>
    <t>NAHAR/INDO</t>
  </si>
  <si>
    <t>ERW</t>
  </si>
  <si>
    <t>1400 RUSTED</t>
  </si>
  <si>
    <t>HITECH</t>
  </si>
  <si>
    <t>SANNDHAR</t>
  </si>
  <si>
    <t>`</t>
  </si>
  <si>
    <t>5JUNE DISPATCH 5000</t>
  </si>
  <si>
    <t>RUSTED  OLD STOCKS</t>
  </si>
  <si>
    <t>DEWRING NOT DONE</t>
  </si>
  <si>
    <t>DIWAKER</t>
  </si>
  <si>
    <t>cew</t>
  </si>
  <si>
    <t xml:space="preserve">850 DISPATCH 4JUNE,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</si>
</sst>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-409]d/mmm;@"/>
    <numFmt numFmtId="166" formatCode="0.0"/>
    <numFmt numFmtId="167" formatCode="#,##0.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Inherit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E97132"/>
      </top>
      <bottom/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127">
    <xf numFmtId="0" fontId="0" fillId="0" borderId="0" xfId="0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2" fillId="0" borderId="1" xfId="2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6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20" fillId="9" borderId="1" xfId="0" applyFont="1" applyFill="1" applyBorder="1"/>
    <xf numFmtId="0" fontId="0" fillId="9" borderId="1" xfId="0" applyFill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2" fillId="6" borderId="0" xfId="0" applyFont="1" applyFill="1" applyAlignment="1">
      <alignment horizontal="right" vertical="center" wrapText="1"/>
    </xf>
    <xf numFmtId="0" fontId="21" fillId="6" borderId="0" xfId="0" applyFont="1" applyFill="1" applyAlignment="1">
      <alignment wrapText="1"/>
    </xf>
    <xf numFmtId="0" fontId="9" fillId="6" borderId="7" xfId="0" applyFont="1" applyFill="1" applyBorder="1" applyAlignment="1">
      <alignment horizontal="right" vertical="center" wrapText="1"/>
    </xf>
    <xf numFmtId="0" fontId="9" fillId="6" borderId="0" xfId="0" applyFont="1" applyFill="1" applyAlignment="1">
      <alignment horizontal="right" vertic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/>
    </xf>
    <xf numFmtId="0" fontId="0" fillId="11" borderId="1" xfId="0" applyFill="1" applyBorder="1"/>
    <xf numFmtId="164" fontId="2" fillId="12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4" fillId="0" borderId="1" xfId="0" applyFont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2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/>
    <xf numFmtId="0" fontId="23" fillId="7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11" borderId="0" xfId="0" applyFill="1"/>
    <xf numFmtId="0" fontId="23" fillId="4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/>
    </xf>
    <xf numFmtId="0" fontId="16" fillId="0" borderId="1" xfId="0" applyFont="1" applyBorder="1"/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1"/>
  <sheetViews>
    <sheetView tabSelected="1" topLeftCell="I1" zoomScale="126" zoomScaleNormal="100" workbookViewId="0">
      <selection activeCell="J2" sqref="J2"/>
    </sheetView>
  </sheetViews>
  <sheetFormatPr defaultRowHeight="15" x14ac:dyDescent="0.2"/>
  <cols>
    <col min="1" max="1" width="4.4375" customWidth="1"/>
    <col min="2" max="2" width="21.7890625" customWidth="1"/>
    <col min="3" max="3" width="22.8671875" bestFit="1" customWidth="1"/>
    <col min="4" max="4" width="12.23828125" customWidth="1"/>
    <col min="5" max="6" width="14.796875" customWidth="1"/>
    <col min="7" max="7" width="11.43359375" bestFit="1" customWidth="1"/>
    <col min="8" max="8" width="8.875" style="6"/>
    <col min="13" max="13" width="60.9375" bestFit="1" customWidth="1"/>
  </cols>
  <sheetData>
    <row r="1" spans="1:29" x14ac:dyDescent="0.2">
      <c r="K1">
        <f>SUBTOTAL(9,K3:K1048576)</f>
        <v>100291</v>
      </c>
      <c r="L1">
        <f>SUBTOTAL(9,L3:L1048576)</f>
        <v>71.351011804802994</v>
      </c>
      <c r="N1">
        <f>SUBTOTAL(9,N3:N1048576)</f>
        <v>8060</v>
      </c>
    </row>
    <row r="2" spans="1:29" x14ac:dyDescent="0.2">
      <c r="A2" s="91" t="s">
        <v>11</v>
      </c>
      <c r="B2" s="92" t="s">
        <v>12</v>
      </c>
      <c r="C2" s="92" t="s">
        <v>52</v>
      </c>
      <c r="D2" s="16" t="s">
        <v>35</v>
      </c>
      <c r="E2" s="16" t="s">
        <v>164</v>
      </c>
      <c r="F2" s="16" t="s">
        <v>186</v>
      </c>
      <c r="G2" s="16" t="s">
        <v>185</v>
      </c>
      <c r="H2" s="16" t="s">
        <v>3</v>
      </c>
      <c r="I2" s="16" t="s">
        <v>2</v>
      </c>
      <c r="J2" s="16" t="s">
        <v>1</v>
      </c>
      <c r="K2" s="16" t="s">
        <v>0</v>
      </c>
      <c r="L2" s="16" t="s">
        <v>8</v>
      </c>
      <c r="M2" s="91" t="s">
        <v>6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spans="1:29" ht="18.75" x14ac:dyDescent="0.2">
      <c r="A3" s="75">
        <v>14</v>
      </c>
      <c r="B3" s="70" t="s">
        <v>16</v>
      </c>
      <c r="C3" s="19" t="s">
        <v>58</v>
      </c>
      <c r="D3" s="19" t="s">
        <v>36</v>
      </c>
      <c r="E3" s="101">
        <v>4186550</v>
      </c>
      <c r="F3" s="1">
        <v>2</v>
      </c>
      <c r="H3" s="58">
        <v>47.63</v>
      </c>
      <c r="I3" s="1">
        <v>4</v>
      </c>
      <c r="J3" s="1">
        <v>216</v>
      </c>
      <c r="K3" s="72">
        <v>3000</v>
      </c>
      <c r="L3" s="71">
        <f t="shared" ref="L3:L66" si="0">(H3-I3)*I3*0.02465*J3*K3/1000/1000</f>
        <v>2.7876428639999995</v>
      </c>
      <c r="M3" s="19"/>
    </row>
    <row r="4" spans="1:29" ht="18.75" x14ac:dyDescent="0.2">
      <c r="A4" s="1"/>
      <c r="B4" s="70"/>
      <c r="C4" s="19"/>
      <c r="D4" s="19" t="s">
        <v>41</v>
      </c>
      <c r="E4" s="19"/>
      <c r="F4" s="93"/>
      <c r="H4" s="58">
        <v>41.28</v>
      </c>
      <c r="I4" s="19">
        <v>2.6</v>
      </c>
      <c r="J4" s="19">
        <v>850</v>
      </c>
      <c r="K4" s="72">
        <v>3000</v>
      </c>
      <c r="L4" s="71">
        <f t="shared" si="0"/>
        <v>6.3214530599999996</v>
      </c>
      <c r="M4" s="19"/>
    </row>
    <row r="5" spans="1:29" ht="18.75" x14ac:dyDescent="0.2">
      <c r="A5" s="1">
        <v>7</v>
      </c>
      <c r="B5" s="66" t="s">
        <v>166</v>
      </c>
      <c r="C5" s="1"/>
      <c r="D5" s="1" t="s">
        <v>167</v>
      </c>
      <c r="E5" s="101">
        <v>2396464</v>
      </c>
      <c r="F5" s="7">
        <v>23</v>
      </c>
      <c r="H5" s="59">
        <v>54</v>
      </c>
      <c r="I5" s="7">
        <v>3</v>
      </c>
      <c r="J5" s="1">
        <v>1140</v>
      </c>
      <c r="K5" s="72">
        <v>1400</v>
      </c>
      <c r="L5" s="71">
        <f t="shared" si="0"/>
        <v>6.0192341999999988</v>
      </c>
      <c r="M5" s="20"/>
    </row>
    <row r="6" spans="1:29" ht="18.75" x14ac:dyDescent="0.2">
      <c r="A6" s="1">
        <v>6</v>
      </c>
      <c r="B6" s="66" t="s">
        <v>14</v>
      </c>
      <c r="C6" s="1"/>
      <c r="D6" s="1" t="s">
        <v>36</v>
      </c>
      <c r="E6" s="101">
        <v>3191790</v>
      </c>
      <c r="F6" s="1">
        <v>10</v>
      </c>
      <c r="H6" s="58">
        <v>63.25</v>
      </c>
      <c r="I6" s="1">
        <v>1.6</v>
      </c>
      <c r="J6" s="1">
        <v>542</v>
      </c>
      <c r="K6" s="72">
        <v>6000</v>
      </c>
      <c r="L6" s="71">
        <f t="shared" si="0"/>
        <v>7.9071599519999998</v>
      </c>
      <c r="M6" s="20"/>
    </row>
    <row r="7" spans="1:29" ht="18.75" x14ac:dyDescent="0.2">
      <c r="A7" s="75">
        <v>137</v>
      </c>
      <c r="B7" s="66" t="s">
        <v>72</v>
      </c>
      <c r="C7" s="1" t="s">
        <v>58</v>
      </c>
      <c r="D7" s="1" t="s">
        <v>38</v>
      </c>
      <c r="E7" s="93">
        <v>3909903</v>
      </c>
      <c r="F7" s="93"/>
      <c r="G7" s="107">
        <v>4</v>
      </c>
      <c r="H7" s="59">
        <v>29.4</v>
      </c>
      <c r="I7" s="7">
        <v>4.5</v>
      </c>
      <c r="J7" s="7">
        <v>357</v>
      </c>
      <c r="K7" s="72">
        <v>1000</v>
      </c>
      <c r="L7" s="71">
        <f t="shared" si="0"/>
        <v>0.98604560249999984</v>
      </c>
      <c r="M7" s="5"/>
    </row>
    <row r="8" spans="1:29" ht="18.75" x14ac:dyDescent="0.2">
      <c r="A8" s="75"/>
      <c r="B8" s="66"/>
      <c r="C8" s="1"/>
      <c r="D8" s="1"/>
      <c r="E8" s="1"/>
      <c r="F8" s="93"/>
      <c r="G8" s="6">
        <v>0</v>
      </c>
      <c r="H8" s="58">
        <v>38.1</v>
      </c>
      <c r="I8" s="1">
        <v>3.2</v>
      </c>
      <c r="J8" s="1">
        <v>319</v>
      </c>
      <c r="K8" s="72">
        <v>4000</v>
      </c>
      <c r="L8" s="71">
        <f t="shared" si="0"/>
        <v>3.5127157119999999</v>
      </c>
      <c r="M8" s="5" t="s">
        <v>199</v>
      </c>
    </row>
    <row r="9" spans="1:29" ht="18.75" x14ac:dyDescent="0.2">
      <c r="A9" s="75">
        <v>81</v>
      </c>
      <c r="B9" s="66"/>
      <c r="C9" s="1"/>
      <c r="D9" s="1"/>
      <c r="E9" s="1"/>
      <c r="F9" s="93"/>
      <c r="G9" s="6"/>
      <c r="H9" s="60">
        <v>57.15</v>
      </c>
      <c r="I9" s="9">
        <v>3</v>
      </c>
      <c r="J9" s="1">
        <v>460</v>
      </c>
      <c r="K9" s="72">
        <v>2000</v>
      </c>
      <c r="L9" s="71">
        <f t="shared" si="0"/>
        <v>3.6840411</v>
      </c>
      <c r="M9" s="5"/>
    </row>
    <row r="10" spans="1:29" ht="18.75" x14ac:dyDescent="0.2">
      <c r="A10" s="75">
        <v>11</v>
      </c>
      <c r="B10" s="75" t="s">
        <v>18</v>
      </c>
      <c r="C10" s="75"/>
      <c r="D10" s="75" t="s">
        <v>168</v>
      </c>
      <c r="E10" s="101"/>
      <c r="F10" s="79">
        <v>85</v>
      </c>
      <c r="H10" s="75">
        <v>48.6</v>
      </c>
      <c r="I10" s="87">
        <v>3.5</v>
      </c>
      <c r="J10" s="75">
        <v>196</v>
      </c>
      <c r="K10" s="77">
        <v>1000</v>
      </c>
      <c r="L10" s="78">
        <f t="shared" si="0"/>
        <v>0.76263648999999989</v>
      </c>
      <c r="M10" s="94"/>
    </row>
    <row r="11" spans="1:29" ht="18.75" x14ac:dyDescent="0.2">
      <c r="A11" s="1">
        <v>51</v>
      </c>
      <c r="B11" s="66" t="s">
        <v>25</v>
      </c>
      <c r="C11" s="1"/>
      <c r="D11" s="1" t="s">
        <v>36</v>
      </c>
      <c r="E11" s="101">
        <v>3723531</v>
      </c>
      <c r="F11" s="1">
        <v>0</v>
      </c>
      <c r="H11" s="58">
        <v>25.4</v>
      </c>
      <c r="I11" s="1">
        <v>1.4</v>
      </c>
      <c r="J11" s="1">
        <v>408</v>
      </c>
      <c r="K11" s="72">
        <v>10000</v>
      </c>
      <c r="L11" s="71">
        <f t="shared" si="0"/>
        <v>3.3792191999999988</v>
      </c>
      <c r="M11" s="20"/>
    </row>
    <row r="12" spans="1:29" ht="18.75" x14ac:dyDescent="0.2">
      <c r="A12" s="1">
        <v>19</v>
      </c>
      <c r="B12" s="66" t="s">
        <v>18</v>
      </c>
      <c r="C12" s="1">
        <v>0</v>
      </c>
      <c r="D12" s="1" t="s">
        <v>37</v>
      </c>
      <c r="E12" s="101">
        <v>2417648</v>
      </c>
      <c r="F12" s="8">
        <v>0</v>
      </c>
      <c r="H12" s="59">
        <v>42.7</v>
      </c>
      <c r="I12" s="10">
        <v>3.5</v>
      </c>
      <c r="J12" s="1">
        <v>210</v>
      </c>
      <c r="K12" s="72">
        <v>4500</v>
      </c>
      <c r="L12" s="71">
        <f t="shared" si="0"/>
        <v>3.1959711</v>
      </c>
      <c r="M12" s="5"/>
    </row>
    <row r="13" spans="1:29" ht="18.75" x14ac:dyDescent="0.2">
      <c r="A13" s="1">
        <v>91</v>
      </c>
      <c r="B13" s="66" t="s">
        <v>13</v>
      </c>
      <c r="C13" s="18">
        <v>3514378</v>
      </c>
      <c r="D13" s="1" t="s">
        <v>36</v>
      </c>
      <c r="E13" s="17">
        <v>3514378</v>
      </c>
      <c r="F13" s="93"/>
      <c r="G13" s="110">
        <v>15</v>
      </c>
      <c r="H13" s="59">
        <v>48.6</v>
      </c>
      <c r="I13" s="7">
        <v>2.2999999999999998</v>
      </c>
      <c r="J13" s="7">
        <v>310</v>
      </c>
      <c r="K13" s="72">
        <v>2000</v>
      </c>
      <c r="L13" s="71">
        <f t="shared" si="0"/>
        <v>1.6274866699999997</v>
      </c>
      <c r="M13" s="20"/>
    </row>
    <row r="14" spans="1:29" ht="18.75" x14ac:dyDescent="0.2">
      <c r="A14" s="75">
        <v>5</v>
      </c>
      <c r="B14" s="66" t="s">
        <v>46</v>
      </c>
      <c r="C14" s="1"/>
      <c r="D14" s="1" t="s">
        <v>178</v>
      </c>
      <c r="E14" s="101" t="s">
        <v>177</v>
      </c>
      <c r="F14" s="1">
        <v>0</v>
      </c>
      <c r="G14" s="6" t="s">
        <v>187</v>
      </c>
      <c r="H14" s="58">
        <v>63.25</v>
      </c>
      <c r="I14" s="1">
        <v>1.6</v>
      </c>
      <c r="J14" s="1">
        <v>847</v>
      </c>
      <c r="K14" s="72">
        <v>1200</v>
      </c>
      <c r="L14" s="71">
        <f t="shared" si="0"/>
        <v>2.4713522063999998</v>
      </c>
      <c r="M14" s="20"/>
    </row>
    <row r="15" spans="1:29" x14ac:dyDescent="0.2">
      <c r="A15" s="1"/>
      <c r="B15" s="19"/>
      <c r="C15" s="19"/>
      <c r="D15" s="19"/>
      <c r="E15" s="19"/>
      <c r="F15" s="93"/>
      <c r="G15" t="s">
        <v>188</v>
      </c>
      <c r="H15" s="1">
        <v>38</v>
      </c>
      <c r="I15" s="19">
        <v>1.21</v>
      </c>
      <c r="J15" s="19">
        <v>1120</v>
      </c>
      <c r="K15" s="19">
        <v>1740</v>
      </c>
      <c r="L15" s="71">
        <f t="shared" si="0"/>
        <v>2.1384512429279998</v>
      </c>
      <c r="M15" s="19"/>
    </row>
    <row r="16" spans="1:29" ht="18.75" x14ac:dyDescent="0.2">
      <c r="A16" s="1">
        <v>103</v>
      </c>
      <c r="B16" s="66" t="s">
        <v>70</v>
      </c>
      <c r="C16" s="1"/>
      <c r="D16" s="1"/>
      <c r="E16" s="118">
        <v>3500650</v>
      </c>
      <c r="F16" s="93"/>
      <c r="G16" s="107">
        <v>0</v>
      </c>
      <c r="H16" s="58">
        <v>42.7</v>
      </c>
      <c r="I16" s="1">
        <v>3.5</v>
      </c>
      <c r="J16" s="1">
        <v>208</v>
      </c>
      <c r="K16" s="72">
        <v>1500</v>
      </c>
      <c r="L16" s="71">
        <f t="shared" si="0"/>
        <v>1.0551777600000001</v>
      </c>
      <c r="M16" s="20"/>
    </row>
    <row r="17" spans="1:14" ht="18.75" x14ac:dyDescent="0.2">
      <c r="A17" s="1">
        <v>143</v>
      </c>
      <c r="B17" s="66" t="s">
        <v>44</v>
      </c>
      <c r="C17" s="1"/>
      <c r="D17" s="1"/>
      <c r="E17" s="1">
        <v>3770391</v>
      </c>
      <c r="F17" s="93"/>
      <c r="G17" s="53">
        <v>0</v>
      </c>
      <c r="H17" s="58">
        <v>25.4</v>
      </c>
      <c r="I17" s="1">
        <v>2.5</v>
      </c>
      <c r="J17" s="1">
        <v>217</v>
      </c>
      <c r="K17" s="72">
        <v>8000</v>
      </c>
      <c r="L17" s="71">
        <f t="shared" si="0"/>
        <v>2.4498649000000001</v>
      </c>
      <c r="M17" s="20"/>
    </row>
    <row r="18" spans="1:14" ht="18.75" x14ac:dyDescent="0.2">
      <c r="A18" s="1">
        <v>66</v>
      </c>
      <c r="B18" s="68" t="s">
        <v>169</v>
      </c>
      <c r="C18" s="13"/>
      <c r="D18" s="14" t="s">
        <v>168</v>
      </c>
      <c r="E18" s="101">
        <v>3507077</v>
      </c>
      <c r="F18" s="8">
        <v>0</v>
      </c>
      <c r="H18" s="60">
        <v>19.05</v>
      </c>
      <c r="I18" s="9">
        <v>2.2999999999999998</v>
      </c>
      <c r="J18" s="1">
        <v>570</v>
      </c>
      <c r="K18" s="72">
        <v>3100</v>
      </c>
      <c r="L18" s="71">
        <f t="shared" si="0"/>
        <v>1.67801608875</v>
      </c>
      <c r="M18" s="20"/>
    </row>
    <row r="19" spans="1:14" ht="18.75" x14ac:dyDescent="0.2">
      <c r="A19" s="1">
        <v>138</v>
      </c>
      <c r="B19" s="66" t="s">
        <v>24</v>
      </c>
      <c r="C19" s="1"/>
      <c r="D19" s="1"/>
      <c r="E19" s="1"/>
      <c r="F19" s="93"/>
      <c r="G19" s="6"/>
      <c r="H19" s="59">
        <v>28.58</v>
      </c>
      <c r="I19" s="1">
        <v>2</v>
      </c>
      <c r="J19" s="1">
        <v>475</v>
      </c>
      <c r="K19" s="72">
        <v>2500</v>
      </c>
      <c r="L19" s="71">
        <f t="shared" si="0"/>
        <v>1.556092875</v>
      </c>
      <c r="M19" s="20"/>
    </row>
    <row r="20" spans="1:14" ht="18.75" x14ac:dyDescent="0.2">
      <c r="A20" s="1">
        <v>10</v>
      </c>
      <c r="B20" s="66" t="s">
        <v>13</v>
      </c>
      <c r="C20" s="1"/>
      <c r="D20" s="1" t="s">
        <v>36</v>
      </c>
      <c r="E20" s="101">
        <v>1932730</v>
      </c>
      <c r="F20" s="1">
        <v>3</v>
      </c>
      <c r="H20" s="60">
        <v>50.8</v>
      </c>
      <c r="I20" s="9">
        <v>1.42</v>
      </c>
      <c r="J20" s="1">
        <v>737</v>
      </c>
      <c r="K20" s="72">
        <v>1200</v>
      </c>
      <c r="L20" s="71">
        <f t="shared" si="0"/>
        <v>1.5286395350159998</v>
      </c>
      <c r="M20" s="20"/>
    </row>
    <row r="21" spans="1:14" ht="18.75" x14ac:dyDescent="0.2">
      <c r="A21" s="1">
        <v>22</v>
      </c>
      <c r="B21" s="66" t="s">
        <v>13</v>
      </c>
      <c r="C21" s="1"/>
      <c r="D21" s="1" t="s">
        <v>36</v>
      </c>
      <c r="E21" s="114">
        <v>3557583</v>
      </c>
      <c r="F21" s="1">
        <v>5</v>
      </c>
      <c r="H21" s="60">
        <v>41.28</v>
      </c>
      <c r="I21" s="9">
        <v>2.41</v>
      </c>
      <c r="J21" s="1">
        <v>204.5</v>
      </c>
      <c r="K21" s="72"/>
      <c r="L21" s="71">
        <f t="shared" si="0"/>
        <v>0</v>
      </c>
      <c r="M21" s="20"/>
    </row>
    <row r="22" spans="1:14" x14ac:dyDescent="0.2">
      <c r="A22" s="1"/>
      <c r="B22" s="19"/>
      <c r="C22" s="19"/>
      <c r="D22" s="19"/>
      <c r="E22" s="19"/>
      <c r="F22" s="119"/>
      <c r="G22" t="s">
        <v>162</v>
      </c>
      <c r="H22" s="1">
        <v>44.5</v>
      </c>
      <c r="I22" s="19">
        <v>1.6</v>
      </c>
      <c r="J22" s="19">
        <v>400</v>
      </c>
      <c r="K22" s="19">
        <v>1680</v>
      </c>
      <c r="L22" s="71">
        <f t="shared" si="0"/>
        <v>1.1370078719999999</v>
      </c>
      <c r="M22" s="19"/>
    </row>
    <row r="23" spans="1:14" ht="18.75" x14ac:dyDescent="0.2">
      <c r="A23" s="75">
        <v>59</v>
      </c>
      <c r="B23" s="66" t="s">
        <v>78</v>
      </c>
      <c r="C23" s="1"/>
      <c r="D23" s="1" t="s">
        <v>37</v>
      </c>
      <c r="E23" s="101">
        <v>3506437</v>
      </c>
      <c r="F23" s="8">
        <v>25</v>
      </c>
      <c r="H23" s="60">
        <v>22.23</v>
      </c>
      <c r="I23" s="9">
        <v>1.6</v>
      </c>
      <c r="J23" s="1">
        <v>670</v>
      </c>
      <c r="K23" s="104">
        <v>1966</v>
      </c>
      <c r="L23" s="71">
        <f t="shared" si="0"/>
        <v>1.0717523647840002</v>
      </c>
      <c r="M23" s="20"/>
    </row>
    <row r="24" spans="1:14" ht="18.75" x14ac:dyDescent="0.2">
      <c r="A24" s="1">
        <v>39</v>
      </c>
      <c r="B24" s="75" t="s">
        <v>78</v>
      </c>
      <c r="C24" s="75"/>
      <c r="D24" s="75" t="s">
        <v>37</v>
      </c>
      <c r="E24" s="102">
        <v>2331952</v>
      </c>
      <c r="F24" s="84">
        <v>0</v>
      </c>
      <c r="H24" s="82">
        <v>28.58</v>
      </c>
      <c r="I24" s="82">
        <v>1.2</v>
      </c>
      <c r="J24" s="75">
        <v>610</v>
      </c>
      <c r="K24" s="77">
        <v>1920</v>
      </c>
      <c r="L24" s="78">
        <f t="shared" si="0"/>
        <v>0.94855534847999978</v>
      </c>
      <c r="M24" s="95"/>
    </row>
    <row r="25" spans="1:14" ht="18.75" x14ac:dyDescent="0.2">
      <c r="A25" s="1"/>
      <c r="B25" s="19"/>
      <c r="C25" s="19"/>
      <c r="D25" s="19"/>
      <c r="E25" s="19"/>
      <c r="F25" s="93"/>
      <c r="H25" s="60">
        <v>19.05</v>
      </c>
      <c r="I25" s="9">
        <v>2.2999999999999998</v>
      </c>
      <c r="J25" s="1">
        <v>281</v>
      </c>
      <c r="K25" s="72">
        <v>0</v>
      </c>
      <c r="L25" s="71">
        <f t="shared" si="0"/>
        <v>0</v>
      </c>
      <c r="M25" s="19"/>
    </row>
    <row r="26" spans="1:14" ht="18.75" x14ac:dyDescent="0.2">
      <c r="A26" s="75">
        <v>29</v>
      </c>
      <c r="B26" s="76" t="s">
        <v>78</v>
      </c>
      <c r="C26" s="76"/>
      <c r="D26" s="76" t="s">
        <v>37</v>
      </c>
      <c r="E26" s="101">
        <v>1940738</v>
      </c>
      <c r="F26" s="75">
        <v>0</v>
      </c>
      <c r="H26" s="75">
        <v>38.1</v>
      </c>
      <c r="I26" s="76">
        <v>2</v>
      </c>
      <c r="J26" s="76">
        <v>425</v>
      </c>
      <c r="K26" s="77">
        <v>1000</v>
      </c>
      <c r="L26" s="78">
        <f t="shared" si="0"/>
        <v>0.75638525000000001</v>
      </c>
      <c r="M26" s="76"/>
      <c r="N26" s="109"/>
    </row>
    <row r="27" spans="1:14" ht="18.75" x14ac:dyDescent="0.2">
      <c r="A27" s="75">
        <v>197</v>
      </c>
      <c r="B27" s="66" t="s">
        <v>81</v>
      </c>
      <c r="C27" s="1"/>
      <c r="D27" s="1"/>
      <c r="E27" s="1" t="s">
        <v>85</v>
      </c>
      <c r="F27" s="93"/>
      <c r="G27" s="6"/>
      <c r="H27" s="60">
        <v>19.05</v>
      </c>
      <c r="I27" s="9">
        <v>2.2999999999999998</v>
      </c>
      <c r="J27" s="1">
        <v>255</v>
      </c>
      <c r="K27" s="72">
        <v>3000</v>
      </c>
      <c r="L27" s="71">
        <f t="shared" si="0"/>
        <v>0.72647555624999993</v>
      </c>
      <c r="M27" s="5"/>
    </row>
    <row r="28" spans="1:14" ht="18.75" x14ac:dyDescent="0.2">
      <c r="A28" s="1">
        <v>3</v>
      </c>
      <c r="B28" s="66" t="s">
        <v>45</v>
      </c>
      <c r="C28" s="1"/>
      <c r="D28" s="1" t="s">
        <v>37</v>
      </c>
      <c r="E28" s="114">
        <v>2429059</v>
      </c>
      <c r="F28" s="1">
        <v>30</v>
      </c>
      <c r="H28" s="60">
        <v>63.5</v>
      </c>
      <c r="I28" s="9">
        <v>4</v>
      </c>
      <c r="J28" s="1">
        <v>236</v>
      </c>
      <c r="K28" s="72">
        <v>200</v>
      </c>
      <c r="L28" s="71">
        <f t="shared" si="0"/>
        <v>0.27690823999999997</v>
      </c>
      <c r="M28" s="98"/>
    </row>
    <row r="29" spans="1:14" ht="18.75" x14ac:dyDescent="0.2">
      <c r="A29" s="1">
        <v>191</v>
      </c>
      <c r="B29" s="66" t="s">
        <v>26</v>
      </c>
      <c r="C29" s="1"/>
      <c r="D29" s="1" t="s">
        <v>37</v>
      </c>
      <c r="E29" s="1"/>
      <c r="F29" s="93"/>
      <c r="G29" s="6">
        <v>0</v>
      </c>
      <c r="H29" s="60">
        <v>19.5</v>
      </c>
      <c r="I29" s="9">
        <v>2.2999999999999998</v>
      </c>
      <c r="J29" s="1">
        <v>236</v>
      </c>
      <c r="K29" s="72">
        <v>3000</v>
      </c>
      <c r="L29" s="71">
        <f t="shared" si="0"/>
        <v>0.69040903199999992</v>
      </c>
      <c r="M29" s="20"/>
    </row>
    <row r="30" spans="1:14" ht="18.75" x14ac:dyDescent="0.2">
      <c r="A30" s="1">
        <v>4</v>
      </c>
      <c r="B30" s="66" t="s">
        <v>19</v>
      </c>
      <c r="C30" s="1"/>
      <c r="D30" s="1" t="s">
        <v>38</v>
      </c>
      <c r="E30" s="101">
        <v>3746291</v>
      </c>
      <c r="F30" s="1">
        <v>0</v>
      </c>
      <c r="H30" s="60">
        <v>63.5</v>
      </c>
      <c r="I30" s="9">
        <v>4</v>
      </c>
      <c r="J30" s="1">
        <v>234</v>
      </c>
      <c r="K30" s="72"/>
      <c r="L30" s="71">
        <f t="shared" si="0"/>
        <v>0</v>
      </c>
      <c r="M30" s="20" t="s">
        <v>200</v>
      </c>
    </row>
    <row r="31" spans="1:14" ht="18.75" x14ac:dyDescent="0.2">
      <c r="A31" s="1">
        <v>42</v>
      </c>
      <c r="B31" s="80" t="s">
        <v>77</v>
      </c>
      <c r="C31" s="83"/>
      <c r="D31" s="80" t="s">
        <v>61</v>
      </c>
      <c r="E31" s="101">
        <v>3775636</v>
      </c>
      <c r="F31" s="81">
        <v>13</v>
      </c>
      <c r="H31" s="83">
        <v>25.4</v>
      </c>
      <c r="I31" s="81">
        <v>2.5</v>
      </c>
      <c r="J31" s="81">
        <v>783</v>
      </c>
      <c r="K31" s="77">
        <v>560</v>
      </c>
      <c r="L31" s="78">
        <f t="shared" si="0"/>
        <v>0.61878845700000007</v>
      </c>
      <c r="M31" s="94"/>
    </row>
    <row r="32" spans="1:14" ht="18.75" x14ac:dyDescent="0.2">
      <c r="A32" s="1">
        <v>57</v>
      </c>
      <c r="B32" s="75" t="s">
        <v>18</v>
      </c>
      <c r="C32" s="75"/>
      <c r="D32" s="75" t="s">
        <v>168</v>
      </c>
      <c r="E32" s="114">
        <v>1940466</v>
      </c>
      <c r="F32" s="75">
        <v>18</v>
      </c>
      <c r="H32" s="75">
        <v>22.23</v>
      </c>
      <c r="I32" s="75">
        <v>2</v>
      </c>
      <c r="J32" s="75">
        <v>809</v>
      </c>
      <c r="K32" s="77">
        <v>750</v>
      </c>
      <c r="L32" s="78">
        <f t="shared" si="0"/>
        <v>0.60513543825000005</v>
      </c>
      <c r="M32" s="95"/>
    </row>
    <row r="33" spans="1:13" ht="18.75" x14ac:dyDescent="0.2">
      <c r="A33" s="1">
        <v>58</v>
      </c>
      <c r="B33" s="75" t="s">
        <v>18</v>
      </c>
      <c r="C33" s="75"/>
      <c r="D33" s="75" t="s">
        <v>168</v>
      </c>
      <c r="E33" s="101">
        <v>1940437</v>
      </c>
      <c r="F33" s="75">
        <v>85</v>
      </c>
      <c r="H33" s="75">
        <v>22.23</v>
      </c>
      <c r="I33" s="75">
        <v>2</v>
      </c>
      <c r="J33" s="75">
        <v>394</v>
      </c>
      <c r="K33" s="77">
        <v>1500</v>
      </c>
      <c r="L33" s="78">
        <f t="shared" si="0"/>
        <v>0.58942734900000004</v>
      </c>
      <c r="M33" s="94"/>
    </row>
    <row r="34" spans="1:13" ht="18.75" x14ac:dyDescent="0.2">
      <c r="A34" s="1">
        <v>45</v>
      </c>
      <c r="B34" s="75" t="s">
        <v>33</v>
      </c>
      <c r="C34" s="75"/>
      <c r="D34" s="75" t="s">
        <v>168</v>
      </c>
      <c r="E34" s="101">
        <v>3863819</v>
      </c>
      <c r="F34" s="75">
        <v>120</v>
      </c>
      <c r="H34" s="82">
        <v>25.4</v>
      </c>
      <c r="I34" s="82">
        <v>2</v>
      </c>
      <c r="J34" s="75">
        <v>412</v>
      </c>
      <c r="K34" s="77">
        <v>1200</v>
      </c>
      <c r="L34" s="78">
        <f t="shared" si="0"/>
        <v>0.57034972800000006</v>
      </c>
      <c r="M34" s="94"/>
    </row>
    <row r="35" spans="1:13" ht="18.75" x14ac:dyDescent="0.2">
      <c r="A35" s="75">
        <v>56</v>
      </c>
      <c r="B35" s="69" t="s">
        <v>163</v>
      </c>
      <c r="C35" s="1"/>
      <c r="D35" s="1" t="s">
        <v>171</v>
      </c>
      <c r="E35" s="101">
        <v>2413708</v>
      </c>
      <c r="F35" s="1"/>
      <c r="H35" s="58">
        <v>22.23</v>
      </c>
      <c r="I35" s="1">
        <v>2</v>
      </c>
      <c r="J35" s="1">
        <v>815</v>
      </c>
      <c r="K35" s="72">
        <v>700</v>
      </c>
      <c r="L35" s="71">
        <f t="shared" si="0"/>
        <v>0.56898189949999989</v>
      </c>
      <c r="M35" s="5"/>
    </row>
    <row r="36" spans="1:13" ht="18.75" x14ac:dyDescent="0.2">
      <c r="A36" s="1">
        <v>25</v>
      </c>
      <c r="B36" s="66" t="s">
        <v>15</v>
      </c>
      <c r="C36" s="1"/>
      <c r="D36" s="1" t="s">
        <v>48</v>
      </c>
      <c r="E36" s="114">
        <v>1938125</v>
      </c>
      <c r="F36" s="1">
        <v>2</v>
      </c>
      <c r="H36" s="60">
        <v>39</v>
      </c>
      <c r="I36" s="9">
        <v>2.5</v>
      </c>
      <c r="J36" s="1">
        <v>271.5</v>
      </c>
      <c r="K36" s="72">
        <v>900</v>
      </c>
      <c r="L36" s="71">
        <f t="shared" si="0"/>
        <v>0.54961950937499993</v>
      </c>
      <c r="M36" s="20"/>
    </row>
    <row r="37" spans="1:13" ht="18.75" x14ac:dyDescent="0.2">
      <c r="A37" s="75">
        <v>77</v>
      </c>
      <c r="B37" s="66" t="s">
        <v>29</v>
      </c>
      <c r="C37" s="1"/>
      <c r="D37" s="1" t="s">
        <v>176</v>
      </c>
      <c r="E37" s="101">
        <v>1938119</v>
      </c>
      <c r="F37" s="12">
        <v>5</v>
      </c>
      <c r="H37" s="60">
        <v>17.3</v>
      </c>
      <c r="I37" s="9">
        <v>1.6</v>
      </c>
      <c r="J37" s="9">
        <v>400</v>
      </c>
      <c r="K37" s="72">
        <v>2100</v>
      </c>
      <c r="L37" s="71">
        <f t="shared" si="0"/>
        <v>0.52013472000000005</v>
      </c>
      <c r="M37" s="99"/>
    </row>
    <row r="38" spans="1:13" ht="18.75" x14ac:dyDescent="0.2">
      <c r="A38" s="1">
        <v>55</v>
      </c>
      <c r="B38" s="65" t="s">
        <v>79</v>
      </c>
      <c r="C38" s="3" t="s">
        <v>68</v>
      </c>
      <c r="D38" s="2" t="s">
        <v>37</v>
      </c>
      <c r="E38" s="102">
        <v>3484652</v>
      </c>
      <c r="F38" s="1"/>
      <c r="H38" s="61">
        <v>22.23</v>
      </c>
      <c r="I38" s="4">
        <v>2.2999999999999998</v>
      </c>
      <c r="J38" s="4">
        <v>225</v>
      </c>
      <c r="K38" s="72">
        <v>2000</v>
      </c>
      <c r="L38" s="71">
        <f t="shared" si="0"/>
        <v>0.50846910749999996</v>
      </c>
      <c r="M38" s="5"/>
    </row>
    <row r="39" spans="1:13" ht="18.75" x14ac:dyDescent="0.2">
      <c r="A39" s="75">
        <v>220</v>
      </c>
      <c r="B39" s="66" t="s">
        <v>23</v>
      </c>
      <c r="C39" s="3"/>
      <c r="D39" s="1"/>
      <c r="E39" s="1"/>
      <c r="F39" s="93"/>
      <c r="G39" s="6"/>
      <c r="H39" s="60">
        <v>15.88</v>
      </c>
      <c r="I39" s="9">
        <v>2</v>
      </c>
      <c r="J39" s="1">
        <v>291</v>
      </c>
      <c r="K39" s="72">
        <v>2500</v>
      </c>
      <c r="L39" s="71">
        <f t="shared" si="0"/>
        <v>0.49781660999999999</v>
      </c>
      <c r="M39" s="5"/>
    </row>
    <row r="40" spans="1:13" ht="18.75" x14ac:dyDescent="0.2">
      <c r="A40" s="1">
        <v>16</v>
      </c>
      <c r="B40" s="76" t="s">
        <v>181</v>
      </c>
      <c r="C40" s="76"/>
      <c r="D40" s="76" t="s">
        <v>38</v>
      </c>
      <c r="E40" s="114">
        <v>1940838</v>
      </c>
      <c r="F40" s="76">
        <v>50</v>
      </c>
      <c r="G40" t="s">
        <v>162</v>
      </c>
      <c r="H40" s="75">
        <v>43.8</v>
      </c>
      <c r="I40" s="76">
        <v>2</v>
      </c>
      <c r="J40" s="76">
        <v>880</v>
      </c>
      <c r="K40" s="77">
        <v>260</v>
      </c>
      <c r="L40" s="78">
        <f t="shared" si="0"/>
        <v>0.47149731199999984</v>
      </c>
      <c r="M40" s="76"/>
    </row>
    <row r="41" spans="1:13" ht="18.75" x14ac:dyDescent="0.2">
      <c r="A41" s="75">
        <v>129</v>
      </c>
      <c r="B41" s="66" t="s">
        <v>32</v>
      </c>
      <c r="C41" s="1"/>
      <c r="D41" s="2" t="s">
        <v>41</v>
      </c>
      <c r="E41" s="1" t="s">
        <v>91</v>
      </c>
      <c r="F41" s="93"/>
      <c r="G41" s="107">
        <v>5</v>
      </c>
      <c r="H41" s="58">
        <v>30</v>
      </c>
      <c r="I41" s="1">
        <v>2.25</v>
      </c>
      <c r="J41" s="1">
        <v>485</v>
      </c>
      <c r="K41" s="72">
        <v>3000</v>
      </c>
      <c r="L41" s="71">
        <f t="shared" si="0"/>
        <v>2.2393677656250004</v>
      </c>
      <c r="M41" s="20" t="s">
        <v>195</v>
      </c>
    </row>
    <row r="42" spans="1:13" ht="18.75" x14ac:dyDescent="0.2">
      <c r="A42" s="1">
        <v>46</v>
      </c>
      <c r="B42" s="75" t="s">
        <v>181</v>
      </c>
      <c r="C42" s="75"/>
      <c r="D42" s="76" t="s">
        <v>96</v>
      </c>
      <c r="E42" s="102">
        <v>3732180</v>
      </c>
      <c r="F42" s="84">
        <v>60</v>
      </c>
      <c r="H42" s="82">
        <v>25.4</v>
      </c>
      <c r="I42" s="82">
        <v>1.5</v>
      </c>
      <c r="J42" s="75">
        <v>208</v>
      </c>
      <c r="K42" s="77">
        <v>2100</v>
      </c>
      <c r="L42" s="78">
        <f t="shared" si="0"/>
        <v>0.38600125199999991</v>
      </c>
      <c r="M42" s="95"/>
    </row>
    <row r="43" spans="1:13" ht="18.75" x14ac:dyDescent="0.2">
      <c r="A43" s="1">
        <v>63</v>
      </c>
      <c r="B43" s="66" t="s">
        <v>73</v>
      </c>
      <c r="C43" s="1"/>
      <c r="D43" s="1" t="s">
        <v>74</v>
      </c>
      <c r="E43" s="114">
        <v>3228788</v>
      </c>
      <c r="F43" s="7">
        <v>5</v>
      </c>
      <c r="H43" s="58">
        <v>20</v>
      </c>
      <c r="I43" s="1">
        <v>1.42</v>
      </c>
      <c r="J43" s="1">
        <v>273</v>
      </c>
      <c r="K43" s="72"/>
      <c r="L43" s="71">
        <f t="shared" si="0"/>
        <v>0</v>
      </c>
      <c r="M43" s="20"/>
    </row>
    <row r="44" spans="1:13" ht="18.75" x14ac:dyDescent="0.2">
      <c r="A44" s="75">
        <v>232</v>
      </c>
      <c r="B44" s="70"/>
      <c r="C44" s="19" t="s">
        <v>161</v>
      </c>
      <c r="D44" s="19"/>
      <c r="E44" s="2">
        <v>2404903</v>
      </c>
      <c r="F44" s="93"/>
      <c r="H44" s="58">
        <v>12.7</v>
      </c>
      <c r="I44" s="4">
        <v>1.6</v>
      </c>
      <c r="J44" s="4">
        <v>255</v>
      </c>
      <c r="K44" s="72">
        <v>3000</v>
      </c>
      <c r="L44" s="71">
        <f t="shared" si="0"/>
        <v>0.33490476000000002</v>
      </c>
      <c r="M44" s="19"/>
    </row>
    <row r="45" spans="1:13" ht="18.75" x14ac:dyDescent="0.2">
      <c r="A45" s="75">
        <v>47</v>
      </c>
      <c r="B45" s="66" t="s">
        <v>27</v>
      </c>
      <c r="C45" s="1"/>
      <c r="D45" s="1" t="s">
        <v>36</v>
      </c>
      <c r="E45" s="101">
        <v>2371410</v>
      </c>
      <c r="F45" s="1">
        <v>10</v>
      </c>
      <c r="H45" s="59">
        <v>25.4</v>
      </c>
      <c r="I45" s="1">
        <v>1.4</v>
      </c>
      <c r="J45" s="1">
        <v>783</v>
      </c>
      <c r="K45" s="72">
        <v>2500</v>
      </c>
      <c r="L45" s="71">
        <f t="shared" si="0"/>
        <v>1.6212797999999995</v>
      </c>
      <c r="M45" s="20"/>
    </row>
    <row r="46" spans="1:13" ht="18.75" x14ac:dyDescent="0.2">
      <c r="A46" s="75">
        <v>173</v>
      </c>
      <c r="B46" s="66" t="s">
        <v>82</v>
      </c>
      <c r="C46" s="1"/>
      <c r="D46" s="1"/>
      <c r="E46" s="1" t="s">
        <v>87</v>
      </c>
      <c r="F46" s="93"/>
      <c r="G46" s="6">
        <v>0</v>
      </c>
      <c r="H46" s="60">
        <v>22.23</v>
      </c>
      <c r="I46" s="9">
        <v>1.6</v>
      </c>
      <c r="J46" s="1">
        <v>640</v>
      </c>
      <c r="K46" s="72">
        <v>615</v>
      </c>
      <c r="L46" s="71">
        <f t="shared" si="0"/>
        <v>0.32025153792</v>
      </c>
      <c r="M46" s="20"/>
    </row>
    <row r="47" spans="1:13" ht="18.75" x14ac:dyDescent="0.2">
      <c r="A47" s="75">
        <v>26</v>
      </c>
      <c r="B47" s="66" t="s">
        <v>163</v>
      </c>
      <c r="C47" s="1"/>
      <c r="D47" s="1" t="s">
        <v>165</v>
      </c>
      <c r="E47" s="101">
        <v>1940743</v>
      </c>
      <c r="F47" s="1">
        <v>2</v>
      </c>
      <c r="H47" s="58">
        <v>38.1</v>
      </c>
      <c r="I47" s="1">
        <v>2</v>
      </c>
      <c r="J47" s="1">
        <v>812</v>
      </c>
      <c r="K47" s="88">
        <v>200</v>
      </c>
      <c r="L47" s="71">
        <f t="shared" si="0"/>
        <v>0.28902815199999998</v>
      </c>
      <c r="M47" s="5"/>
    </row>
    <row r="48" spans="1:13" ht="18.75" x14ac:dyDescent="0.2">
      <c r="A48" s="1">
        <v>218</v>
      </c>
      <c r="B48" s="66" t="s">
        <v>24</v>
      </c>
      <c r="C48" s="1"/>
      <c r="D48" s="1"/>
      <c r="E48" s="1" t="s">
        <v>83</v>
      </c>
      <c r="F48" s="93"/>
      <c r="G48" s="111"/>
      <c r="H48" s="60">
        <v>17.3</v>
      </c>
      <c r="I48" s="9">
        <v>1.6</v>
      </c>
      <c r="J48" s="9">
        <v>385</v>
      </c>
      <c r="K48" s="72">
        <v>1070</v>
      </c>
      <c r="L48" s="71">
        <f t="shared" si="0"/>
        <v>0.25508273560000005</v>
      </c>
      <c r="M48" s="20"/>
    </row>
    <row r="49" spans="1:13" ht="18.75" x14ac:dyDescent="0.2">
      <c r="A49" s="75">
        <v>62</v>
      </c>
      <c r="B49" s="66" t="s">
        <v>15</v>
      </c>
      <c r="C49" s="1"/>
      <c r="D49" s="1" t="s">
        <v>48</v>
      </c>
      <c r="E49" s="101">
        <v>3781669</v>
      </c>
      <c r="F49" s="12"/>
      <c r="H49" s="59">
        <v>22.2</v>
      </c>
      <c r="I49" s="7">
        <v>2</v>
      </c>
      <c r="J49" s="1">
        <v>236</v>
      </c>
      <c r="K49" s="72">
        <v>1000</v>
      </c>
      <c r="L49" s="71">
        <f t="shared" si="0"/>
        <v>0.23502295999999995</v>
      </c>
      <c r="M49" s="20"/>
    </row>
    <row r="50" spans="1:13" ht="18.75" x14ac:dyDescent="0.2">
      <c r="A50" s="1">
        <v>43</v>
      </c>
      <c r="B50" s="79" t="s">
        <v>79</v>
      </c>
      <c r="C50" s="75"/>
      <c r="D50" s="80" t="s">
        <v>37</v>
      </c>
      <c r="E50" s="102">
        <v>4095196</v>
      </c>
      <c r="F50" s="75">
        <v>63</v>
      </c>
      <c r="H50" s="81">
        <v>25.4</v>
      </c>
      <c r="I50" s="81">
        <v>2.5</v>
      </c>
      <c r="J50" s="81">
        <v>273</v>
      </c>
      <c r="K50" s="77">
        <v>375</v>
      </c>
      <c r="L50" s="78">
        <f t="shared" si="0"/>
        <v>0.1444728796875</v>
      </c>
      <c r="M50" s="94"/>
    </row>
    <row r="51" spans="1:13" ht="18.75" x14ac:dyDescent="0.2">
      <c r="A51" s="1">
        <v>215</v>
      </c>
      <c r="B51" s="66" t="s">
        <v>22</v>
      </c>
      <c r="C51" s="1"/>
      <c r="D51" s="1"/>
      <c r="E51" s="1"/>
      <c r="F51" s="93"/>
      <c r="G51" s="6"/>
      <c r="H51" s="58">
        <v>19</v>
      </c>
      <c r="I51" s="1">
        <v>3.2</v>
      </c>
      <c r="J51" s="1">
        <v>180</v>
      </c>
      <c r="K51" s="72">
        <v>500</v>
      </c>
      <c r="L51" s="71">
        <f t="shared" si="0"/>
        <v>0.11216736000000001</v>
      </c>
      <c r="M51" s="20"/>
    </row>
    <row r="52" spans="1:13" ht="18.75" x14ac:dyDescent="0.2">
      <c r="A52" s="75">
        <v>180</v>
      </c>
      <c r="B52" s="70"/>
      <c r="C52" s="19"/>
      <c r="D52" s="19"/>
      <c r="E52" s="19"/>
      <c r="F52" s="93"/>
      <c r="G52">
        <v>0</v>
      </c>
      <c r="H52" s="58">
        <v>22.23</v>
      </c>
      <c r="I52" s="19">
        <v>1.2</v>
      </c>
      <c r="J52" s="19">
        <v>297</v>
      </c>
      <c r="K52" s="72">
        <v>500</v>
      </c>
      <c r="L52" s="71">
        <f t="shared" si="0"/>
        <v>9.2377008899999988E-2</v>
      </c>
      <c r="M52" s="19"/>
    </row>
    <row r="53" spans="1:13" ht="18.75" x14ac:dyDescent="0.2">
      <c r="A53" s="75">
        <v>161</v>
      </c>
      <c r="B53" s="66"/>
      <c r="C53" s="1"/>
      <c r="D53" s="1"/>
      <c r="E53" s="6" t="s">
        <v>88</v>
      </c>
      <c r="F53" s="93"/>
      <c r="G53" s="6"/>
      <c r="H53" s="60">
        <v>22.23</v>
      </c>
      <c r="I53" s="9">
        <v>2</v>
      </c>
      <c r="J53" s="1">
        <v>855</v>
      </c>
      <c r="K53" s="72">
        <v>100</v>
      </c>
      <c r="L53" s="71">
        <f t="shared" si="0"/>
        <v>8.5272484499999995E-2</v>
      </c>
      <c r="M53" s="5"/>
    </row>
    <row r="54" spans="1:13" ht="18.75" x14ac:dyDescent="0.2">
      <c r="A54" s="1">
        <v>70</v>
      </c>
      <c r="B54" s="83" t="s">
        <v>59</v>
      </c>
      <c r="C54" s="83" t="s">
        <v>68</v>
      </c>
      <c r="D54" s="80" t="s">
        <v>37</v>
      </c>
      <c r="E54" s="102">
        <v>1940189</v>
      </c>
      <c r="F54" s="81"/>
      <c r="H54" s="81">
        <v>19.05</v>
      </c>
      <c r="I54" s="81">
        <v>1.2</v>
      </c>
      <c r="J54" s="81">
        <v>680</v>
      </c>
      <c r="K54" s="77">
        <v>200</v>
      </c>
      <c r="L54" s="78">
        <f t="shared" si="0"/>
        <v>7.1808408000000004E-2</v>
      </c>
      <c r="M54" s="94"/>
    </row>
    <row r="55" spans="1:13" ht="18.75" x14ac:dyDescent="0.2">
      <c r="A55" s="75">
        <v>184</v>
      </c>
      <c r="B55" s="75" t="s">
        <v>183</v>
      </c>
      <c r="C55" s="75"/>
      <c r="D55" s="75" t="s">
        <v>182</v>
      </c>
      <c r="E55" s="107">
        <v>1940430</v>
      </c>
      <c r="F55" s="93"/>
      <c r="G55" s="108">
        <v>25</v>
      </c>
      <c r="H55" s="75">
        <v>22.2</v>
      </c>
      <c r="I55" s="75">
        <v>2</v>
      </c>
      <c r="J55" s="75">
        <v>220</v>
      </c>
      <c r="K55" s="77">
        <v>300</v>
      </c>
      <c r="L55" s="78">
        <f t="shared" si="0"/>
        <v>6.5726759999999995E-2</v>
      </c>
      <c r="M55" s="97"/>
    </row>
    <row r="56" spans="1:13" ht="18.75" x14ac:dyDescent="0.2">
      <c r="A56" s="1">
        <v>76</v>
      </c>
      <c r="B56" s="75" t="s">
        <v>18</v>
      </c>
      <c r="C56" s="75"/>
      <c r="D56" s="75" t="s">
        <v>168</v>
      </c>
      <c r="E56" s="101">
        <v>1938117</v>
      </c>
      <c r="F56" s="75">
        <v>105</v>
      </c>
      <c r="H56" s="75">
        <v>18.2</v>
      </c>
      <c r="I56" s="75">
        <v>1</v>
      </c>
      <c r="J56" s="75">
        <v>145</v>
      </c>
      <c r="K56" s="77">
        <v>1000</v>
      </c>
      <c r="L56" s="78">
        <f t="shared" si="0"/>
        <v>6.1477099999999993E-2</v>
      </c>
      <c r="M56" s="95"/>
    </row>
    <row r="57" spans="1:13" ht="18.75" x14ac:dyDescent="0.2">
      <c r="A57" s="75">
        <v>100</v>
      </c>
      <c r="B57" s="66" t="s">
        <v>22</v>
      </c>
      <c r="C57" s="1" t="s">
        <v>94</v>
      </c>
      <c r="D57" s="1"/>
      <c r="E57" s="1">
        <v>3500714</v>
      </c>
      <c r="F57" s="93"/>
      <c r="G57" s="107">
        <v>0</v>
      </c>
      <c r="H57" s="59">
        <v>42.7</v>
      </c>
      <c r="I57" s="10">
        <v>4</v>
      </c>
      <c r="J57" s="7">
        <v>235</v>
      </c>
      <c r="K57" s="72">
        <v>60</v>
      </c>
      <c r="L57" s="71">
        <f t="shared" si="0"/>
        <v>5.3803062000000006E-2</v>
      </c>
      <c r="M57" s="20"/>
    </row>
    <row r="58" spans="1:13" ht="18.75" x14ac:dyDescent="0.2">
      <c r="A58" s="75">
        <v>157</v>
      </c>
      <c r="B58" s="76" t="s">
        <v>184</v>
      </c>
      <c r="C58" s="76"/>
      <c r="D58" s="76" t="s">
        <v>168</v>
      </c>
      <c r="E58" s="19">
        <v>3673948</v>
      </c>
      <c r="F58" s="93"/>
      <c r="G58" s="106"/>
      <c r="H58" s="75">
        <v>22.23</v>
      </c>
      <c r="I58" s="76">
        <v>2.2999999999999998</v>
      </c>
      <c r="J58" s="76">
        <v>245</v>
      </c>
      <c r="K58" s="77">
        <v>125</v>
      </c>
      <c r="L58" s="78">
        <f t="shared" si="0"/>
        <v>3.4604147593750002E-2</v>
      </c>
      <c r="M58" s="76"/>
    </row>
    <row r="59" spans="1:13" ht="18.75" x14ac:dyDescent="0.2">
      <c r="A59" s="75">
        <v>38</v>
      </c>
      <c r="B59" s="66" t="s">
        <v>75</v>
      </c>
      <c r="C59" s="1"/>
      <c r="D59" s="1" t="s">
        <v>168</v>
      </c>
      <c r="E59" s="101">
        <v>3617058</v>
      </c>
      <c r="F59" s="1">
        <v>0</v>
      </c>
      <c r="H59" s="60">
        <v>28.6</v>
      </c>
      <c r="I59" s="9">
        <v>2.65</v>
      </c>
      <c r="J59" s="9">
        <v>209</v>
      </c>
      <c r="K59" s="72">
        <v>50</v>
      </c>
      <c r="L59" s="71">
        <f t="shared" si="0"/>
        <v>1.7713992243750001E-2</v>
      </c>
      <c r="M59" s="20"/>
    </row>
    <row r="60" spans="1:13" ht="18.75" x14ac:dyDescent="0.2">
      <c r="A60" s="1">
        <v>15</v>
      </c>
      <c r="B60" s="66" t="s">
        <v>14</v>
      </c>
      <c r="C60" s="1"/>
      <c r="D60" s="1" t="s">
        <v>36</v>
      </c>
      <c r="E60" s="101">
        <v>3614493</v>
      </c>
      <c r="F60" s="1">
        <v>0</v>
      </c>
      <c r="H60" s="58">
        <v>47.6</v>
      </c>
      <c r="I60" s="1">
        <v>4</v>
      </c>
      <c r="J60" s="1">
        <v>215</v>
      </c>
      <c r="K60" s="72">
        <v>520</v>
      </c>
      <c r="L60" s="71">
        <f t="shared" si="0"/>
        <v>0.48062372800000008</v>
      </c>
      <c r="M60" s="96"/>
    </row>
    <row r="61" spans="1:13" ht="18.75" x14ac:dyDescent="0.2">
      <c r="A61" s="1">
        <v>67</v>
      </c>
      <c r="B61" s="66" t="s">
        <v>26</v>
      </c>
      <c r="C61" s="1"/>
      <c r="D61" s="1" t="s">
        <v>37</v>
      </c>
      <c r="E61" s="101">
        <v>3781637</v>
      </c>
      <c r="F61" s="8">
        <v>0</v>
      </c>
      <c r="H61" s="60">
        <v>19.05</v>
      </c>
      <c r="I61" s="9">
        <v>2.2999999999999998</v>
      </c>
      <c r="J61" s="1">
        <v>295</v>
      </c>
      <c r="K61" s="72">
        <v>0</v>
      </c>
      <c r="L61" s="71">
        <f t="shared" si="0"/>
        <v>0</v>
      </c>
      <c r="M61" s="20"/>
    </row>
    <row r="62" spans="1:13" ht="18.75" x14ac:dyDescent="0.2">
      <c r="A62" s="75">
        <v>237</v>
      </c>
      <c r="B62" s="70"/>
      <c r="C62" s="19"/>
      <c r="D62" s="19"/>
      <c r="E62" s="19"/>
      <c r="F62" s="93"/>
      <c r="H62" s="58">
        <v>57.15</v>
      </c>
      <c r="I62" s="19">
        <v>2</v>
      </c>
      <c r="J62" s="19">
        <v>409</v>
      </c>
      <c r="K62" s="72">
        <v>0</v>
      </c>
      <c r="L62" s="71">
        <f t="shared" si="0"/>
        <v>0</v>
      </c>
      <c r="M62" s="19"/>
    </row>
    <row r="63" spans="1:13" ht="18.75" x14ac:dyDescent="0.2">
      <c r="A63" s="1">
        <v>95</v>
      </c>
      <c r="B63" s="76" t="s">
        <v>25</v>
      </c>
      <c r="C63" s="76"/>
      <c r="D63" s="76" t="s">
        <v>36</v>
      </c>
      <c r="E63" s="76"/>
      <c r="F63" s="93"/>
      <c r="G63" s="106"/>
      <c r="H63" s="75">
        <v>44.45</v>
      </c>
      <c r="I63" s="76">
        <v>4</v>
      </c>
      <c r="J63" s="76">
        <v>343</v>
      </c>
      <c r="K63" s="77">
        <v>0</v>
      </c>
      <c r="L63" s="78">
        <f t="shared" si="0"/>
        <v>0</v>
      </c>
      <c r="M63" s="76"/>
    </row>
    <row r="64" spans="1:13" ht="18.75" x14ac:dyDescent="0.2">
      <c r="A64" s="1">
        <v>73</v>
      </c>
      <c r="B64" s="66" t="s">
        <v>15</v>
      </c>
      <c r="C64" s="1"/>
      <c r="D64" s="1" t="s">
        <v>48</v>
      </c>
      <c r="E64" s="101">
        <v>1938191</v>
      </c>
      <c r="F64" s="1">
        <v>5</v>
      </c>
      <c r="H64" s="58">
        <v>19</v>
      </c>
      <c r="I64" s="1">
        <v>3.25</v>
      </c>
      <c r="J64" s="1">
        <v>588</v>
      </c>
      <c r="K64" s="72">
        <v>0</v>
      </c>
      <c r="L64" s="71">
        <f t="shared" si="0"/>
        <v>0</v>
      </c>
      <c r="M64" s="20"/>
    </row>
    <row r="65" spans="1:14" ht="18.75" x14ac:dyDescent="0.2">
      <c r="A65" s="1"/>
      <c r="B65" s="19"/>
      <c r="C65" s="19"/>
      <c r="D65" s="19"/>
      <c r="E65" s="19"/>
      <c r="F65" s="93"/>
      <c r="H65" s="1">
        <v>50.8</v>
      </c>
      <c r="I65" s="9">
        <v>2.6</v>
      </c>
      <c r="J65" s="1">
        <v>142</v>
      </c>
      <c r="K65" s="72">
        <v>0</v>
      </c>
      <c r="L65" s="71">
        <f t="shared" si="0"/>
        <v>0</v>
      </c>
      <c r="M65" s="19"/>
    </row>
    <row r="66" spans="1:14" ht="18.75" x14ac:dyDescent="0.2">
      <c r="A66" s="75">
        <v>149</v>
      </c>
      <c r="B66" s="75" t="s">
        <v>31</v>
      </c>
      <c r="C66" s="75"/>
      <c r="D66" s="75"/>
      <c r="E66" s="7">
        <v>1940588</v>
      </c>
      <c r="F66" s="93"/>
      <c r="G66" s="108">
        <v>12</v>
      </c>
      <c r="H66" s="82">
        <v>25.4</v>
      </c>
      <c r="I66" s="82">
        <v>2</v>
      </c>
      <c r="J66" s="75">
        <v>355</v>
      </c>
      <c r="K66" s="77">
        <v>0</v>
      </c>
      <c r="L66" s="78">
        <f t="shared" si="0"/>
        <v>0</v>
      </c>
      <c r="M66" s="94"/>
    </row>
    <row r="67" spans="1:14" ht="18.75" x14ac:dyDescent="0.2">
      <c r="A67" s="1"/>
      <c r="B67" s="70"/>
      <c r="C67" s="19"/>
      <c r="D67" s="19" t="s">
        <v>41</v>
      </c>
      <c r="E67" s="19"/>
      <c r="F67" s="93"/>
      <c r="H67" s="58">
        <v>48.6</v>
      </c>
      <c r="I67" s="19">
        <v>1.2</v>
      </c>
      <c r="J67" s="19">
        <v>336</v>
      </c>
      <c r="K67" s="72">
        <v>0</v>
      </c>
      <c r="L67" s="71">
        <f t="shared" ref="L67:L130" si="1">(H67-I67)*I67*0.02465*J67*K67/1000/1000</f>
        <v>0</v>
      </c>
      <c r="M67" s="19"/>
    </row>
    <row r="68" spans="1:14" ht="18.75" x14ac:dyDescent="0.2">
      <c r="A68" s="75">
        <v>23</v>
      </c>
      <c r="B68" s="66" t="s">
        <v>15</v>
      </c>
      <c r="C68" s="1"/>
      <c r="D68" s="1" t="s">
        <v>61</v>
      </c>
      <c r="E68" s="101">
        <v>3712521</v>
      </c>
      <c r="F68" s="1">
        <v>60</v>
      </c>
      <c r="G68" t="s">
        <v>162</v>
      </c>
      <c r="H68" s="60">
        <v>41.28</v>
      </c>
      <c r="I68" s="9">
        <v>1.6</v>
      </c>
      <c r="J68" s="1">
        <v>835</v>
      </c>
      <c r="K68" s="72">
        <v>0</v>
      </c>
      <c r="L68" s="71">
        <f t="shared" si="1"/>
        <v>0</v>
      </c>
      <c r="M68" s="98"/>
    </row>
    <row r="69" spans="1:14" ht="18.75" x14ac:dyDescent="0.2">
      <c r="A69" s="1">
        <v>13</v>
      </c>
      <c r="B69" s="66" t="s">
        <v>53</v>
      </c>
      <c r="C69" s="1"/>
      <c r="D69" s="1" t="s">
        <v>54</v>
      </c>
      <c r="E69" s="101">
        <v>2244441</v>
      </c>
      <c r="F69" s="1">
        <v>30</v>
      </c>
      <c r="H69" s="58">
        <v>48.6</v>
      </c>
      <c r="I69" s="1">
        <v>2</v>
      </c>
      <c r="J69" s="1">
        <v>310</v>
      </c>
      <c r="K69" s="72">
        <v>0</v>
      </c>
      <c r="L69" s="71">
        <f t="shared" si="1"/>
        <v>0</v>
      </c>
      <c r="M69" s="5"/>
    </row>
    <row r="70" spans="1:14" ht="18.75" x14ac:dyDescent="0.2">
      <c r="A70" s="75">
        <v>32</v>
      </c>
      <c r="B70" s="64" t="s">
        <v>179</v>
      </c>
      <c r="C70" s="1"/>
      <c r="D70" s="2" t="s">
        <v>37</v>
      </c>
      <c r="E70" s="101">
        <v>3911992</v>
      </c>
      <c r="F70" s="1">
        <v>200</v>
      </c>
      <c r="H70" s="61">
        <v>34.93</v>
      </c>
      <c r="I70" s="4">
        <v>2.2999999999999998</v>
      </c>
      <c r="J70" s="4">
        <v>333</v>
      </c>
      <c r="K70" s="72">
        <v>0</v>
      </c>
      <c r="L70" s="71">
        <f t="shared" si="1"/>
        <v>0</v>
      </c>
      <c r="M70" s="5"/>
    </row>
    <row r="71" spans="1:14" ht="18.75" x14ac:dyDescent="0.2">
      <c r="A71" s="75">
        <v>196</v>
      </c>
      <c r="B71" s="66" t="s">
        <v>81</v>
      </c>
      <c r="C71" s="1"/>
      <c r="D71" s="1"/>
      <c r="E71" s="6" t="s">
        <v>85</v>
      </c>
      <c r="F71" s="93"/>
      <c r="G71" s="6"/>
      <c r="H71" s="60">
        <v>19.05</v>
      </c>
      <c r="I71" s="9">
        <v>2.2999999999999998</v>
      </c>
      <c r="J71" s="1">
        <v>303</v>
      </c>
      <c r="K71" s="72">
        <v>0</v>
      </c>
      <c r="L71" s="71">
        <f t="shared" si="1"/>
        <v>0</v>
      </c>
      <c r="M71" s="5"/>
    </row>
    <row r="72" spans="1:14" ht="18.75" x14ac:dyDescent="0.2">
      <c r="A72" s="1">
        <v>54</v>
      </c>
      <c r="B72" s="79" t="s">
        <v>79</v>
      </c>
      <c r="C72" s="75"/>
      <c r="D72" s="80" t="s">
        <v>37</v>
      </c>
      <c r="E72" s="102">
        <v>1241174</v>
      </c>
      <c r="F72" s="75">
        <v>0</v>
      </c>
      <c r="H72" s="81">
        <v>22.23</v>
      </c>
      <c r="I72" s="81">
        <v>2.2999999999999998</v>
      </c>
      <c r="J72" s="81">
        <v>370</v>
      </c>
      <c r="K72" s="77">
        <v>0</v>
      </c>
      <c r="L72" s="78">
        <f t="shared" si="1"/>
        <v>0</v>
      </c>
      <c r="M72" s="94"/>
    </row>
    <row r="73" spans="1:14" ht="18.75" x14ac:dyDescent="0.2">
      <c r="A73" s="75">
        <v>140</v>
      </c>
      <c r="B73" s="64"/>
      <c r="C73" s="1"/>
      <c r="D73" s="2"/>
      <c r="E73" s="2">
        <v>3929642</v>
      </c>
      <c r="F73" s="93"/>
      <c r="G73" s="6"/>
      <c r="H73" s="61">
        <v>28.5</v>
      </c>
      <c r="I73" s="4">
        <v>1.6</v>
      </c>
      <c r="J73" s="4">
        <v>414</v>
      </c>
      <c r="K73" s="72">
        <v>0</v>
      </c>
      <c r="L73" s="71">
        <f t="shared" si="1"/>
        <v>0</v>
      </c>
      <c r="M73" s="5"/>
    </row>
    <row r="74" spans="1:14" ht="18.75" x14ac:dyDescent="0.2">
      <c r="A74" s="1">
        <v>111</v>
      </c>
      <c r="B74" s="66" t="s">
        <v>76</v>
      </c>
      <c r="C74" s="1"/>
      <c r="D74" s="1" t="s">
        <v>168</v>
      </c>
      <c r="E74" s="93">
        <v>1938125</v>
      </c>
      <c r="F74" s="93"/>
      <c r="G74" s="107">
        <v>0</v>
      </c>
      <c r="H74" s="59">
        <v>39</v>
      </c>
      <c r="I74" s="10">
        <v>2.5</v>
      </c>
      <c r="J74" s="7">
        <v>272.5</v>
      </c>
      <c r="K74" s="72">
        <v>0</v>
      </c>
      <c r="L74" s="71">
        <f t="shared" si="1"/>
        <v>0</v>
      </c>
      <c r="M74" s="20"/>
    </row>
    <row r="75" spans="1:14" ht="18.75" x14ac:dyDescent="0.2">
      <c r="A75" s="75">
        <v>113</v>
      </c>
      <c r="B75" s="66"/>
      <c r="C75" s="1"/>
      <c r="D75" s="1"/>
      <c r="E75" s="1"/>
      <c r="F75" s="93"/>
      <c r="G75" s="6">
        <v>0</v>
      </c>
      <c r="H75" s="58">
        <v>38.1</v>
      </c>
      <c r="I75" s="1">
        <v>3.2</v>
      </c>
      <c r="J75" s="1">
        <v>319</v>
      </c>
      <c r="K75" s="72">
        <v>0</v>
      </c>
      <c r="L75" s="71">
        <f t="shared" si="1"/>
        <v>0</v>
      </c>
      <c r="M75" s="5" t="s">
        <v>161</v>
      </c>
    </row>
    <row r="76" spans="1:14" ht="18.75" x14ac:dyDescent="0.2">
      <c r="A76" s="1">
        <v>78</v>
      </c>
      <c r="B76" s="66" t="s">
        <v>30</v>
      </c>
      <c r="C76" s="1"/>
      <c r="D76" s="1" t="s">
        <v>168</v>
      </c>
      <c r="E76" s="101">
        <v>1938118</v>
      </c>
      <c r="F76" s="1">
        <v>0</v>
      </c>
      <c r="H76" s="58">
        <v>17.3</v>
      </c>
      <c r="I76" s="1">
        <v>1.6</v>
      </c>
      <c r="J76" s="1">
        <v>355</v>
      </c>
      <c r="K76" s="72"/>
      <c r="L76" s="71">
        <f t="shared" si="1"/>
        <v>0</v>
      </c>
      <c r="M76" s="20"/>
    </row>
    <row r="77" spans="1:14" ht="18.75" x14ac:dyDescent="0.2">
      <c r="A77" s="75">
        <v>17</v>
      </c>
      <c r="B77" s="66" t="s">
        <v>174</v>
      </c>
      <c r="C77" s="1"/>
      <c r="D77" s="1" t="s">
        <v>41</v>
      </c>
      <c r="E77" s="101">
        <v>1938358</v>
      </c>
      <c r="F77" s="1">
        <v>12</v>
      </c>
      <c r="H77" s="58">
        <v>42.7</v>
      </c>
      <c r="I77" s="1">
        <v>4</v>
      </c>
      <c r="J77" s="1">
        <v>254.5</v>
      </c>
      <c r="K77" s="72">
        <v>0</v>
      </c>
      <c r="L77" s="71">
        <f t="shared" si="1"/>
        <v>0</v>
      </c>
      <c r="M77" s="20"/>
      <c r="N77">
        <f>1800+350+3500+2000+410</f>
        <v>8060</v>
      </c>
    </row>
    <row r="78" spans="1:14" ht="18.75" x14ac:dyDescent="0.2">
      <c r="A78" s="75">
        <v>104</v>
      </c>
      <c r="B78" s="70"/>
      <c r="C78" s="19"/>
      <c r="D78" s="19" t="s">
        <v>37</v>
      </c>
      <c r="E78" s="19"/>
      <c r="F78" s="93"/>
      <c r="G78" s="6"/>
      <c r="H78" s="58">
        <v>42.7</v>
      </c>
      <c r="I78" s="19">
        <v>3.5</v>
      </c>
      <c r="J78" s="19">
        <v>204.5</v>
      </c>
      <c r="K78" s="72">
        <v>0</v>
      </c>
      <c r="L78" s="71">
        <f t="shared" si="1"/>
        <v>0</v>
      </c>
      <c r="M78" s="19"/>
    </row>
    <row r="79" spans="1:14" ht="18.75" x14ac:dyDescent="0.2">
      <c r="A79" s="1">
        <v>36</v>
      </c>
      <c r="B79" s="80" t="s">
        <v>62</v>
      </c>
      <c r="C79" s="80"/>
      <c r="D79" s="80" t="s">
        <v>61</v>
      </c>
      <c r="E79" s="114">
        <v>2256593</v>
      </c>
      <c r="F79" s="81">
        <v>50</v>
      </c>
      <c r="H79" s="81">
        <v>31.75</v>
      </c>
      <c r="I79" s="81">
        <v>1.2</v>
      </c>
      <c r="J79" s="81">
        <v>210</v>
      </c>
      <c r="K79" s="104"/>
      <c r="L79" s="78">
        <f t="shared" si="1"/>
        <v>0</v>
      </c>
      <c r="M79" s="94"/>
    </row>
    <row r="80" spans="1:14" ht="18.75" x14ac:dyDescent="0.2">
      <c r="A80" s="1">
        <v>106</v>
      </c>
      <c r="B80" s="66"/>
      <c r="C80" s="1"/>
      <c r="D80" s="1"/>
      <c r="E80" s="118">
        <v>3499828</v>
      </c>
      <c r="F80" s="93"/>
      <c r="G80" s="6"/>
      <c r="H80" s="60">
        <v>41.28</v>
      </c>
      <c r="I80" s="9">
        <v>3.15</v>
      </c>
      <c r="J80" s="1">
        <v>230</v>
      </c>
      <c r="K80" s="72">
        <v>0</v>
      </c>
      <c r="L80" s="71">
        <f t="shared" si="1"/>
        <v>0</v>
      </c>
      <c r="M80" s="5"/>
    </row>
    <row r="81" spans="1:13" ht="18.75" x14ac:dyDescent="0.2">
      <c r="A81" s="75">
        <v>84</v>
      </c>
      <c r="B81" s="66" t="s">
        <v>14</v>
      </c>
      <c r="C81" s="1"/>
      <c r="D81" s="1" t="s">
        <v>36</v>
      </c>
      <c r="E81" s="1"/>
      <c r="F81" s="93"/>
      <c r="G81" s="6">
        <v>0</v>
      </c>
      <c r="H81" s="60">
        <v>50.8</v>
      </c>
      <c r="I81" s="9">
        <v>2.6</v>
      </c>
      <c r="J81" s="1">
        <v>130</v>
      </c>
      <c r="K81" s="72">
        <v>700</v>
      </c>
      <c r="L81" s="71">
        <f t="shared" si="1"/>
        <v>0.28111155799999993</v>
      </c>
      <c r="M81" s="5"/>
    </row>
    <row r="82" spans="1:13" ht="18.75" x14ac:dyDescent="0.2">
      <c r="A82" s="1"/>
      <c r="B82" s="19"/>
      <c r="C82" s="19"/>
      <c r="D82" s="19"/>
      <c r="E82" s="19"/>
      <c r="F82" s="93"/>
      <c r="H82" s="60">
        <v>39</v>
      </c>
      <c r="I82" s="9">
        <v>2.5</v>
      </c>
      <c r="J82" s="1">
        <v>272.5</v>
      </c>
      <c r="K82" s="72">
        <v>0</v>
      </c>
      <c r="L82" s="71">
        <f t="shared" si="1"/>
        <v>0</v>
      </c>
      <c r="M82" s="19"/>
    </row>
    <row r="83" spans="1:13" ht="18.75" x14ac:dyDescent="0.2">
      <c r="A83" s="1">
        <v>130</v>
      </c>
      <c r="B83" s="66" t="s">
        <v>15</v>
      </c>
      <c r="C83" s="1"/>
      <c r="D83" s="2" t="s">
        <v>41</v>
      </c>
      <c r="E83" s="1" t="s">
        <v>91</v>
      </c>
      <c r="F83" s="93"/>
      <c r="G83" s="107">
        <v>35</v>
      </c>
      <c r="H83" s="59">
        <v>30</v>
      </c>
      <c r="I83" s="10">
        <v>2.25</v>
      </c>
      <c r="J83" s="7">
        <v>465</v>
      </c>
      <c r="K83" s="72">
        <v>0</v>
      </c>
      <c r="L83" s="71">
        <f t="shared" si="1"/>
        <v>0</v>
      </c>
      <c r="M83" s="100"/>
    </row>
    <row r="84" spans="1:13" ht="18.75" x14ac:dyDescent="0.2">
      <c r="A84" s="1">
        <v>34</v>
      </c>
      <c r="B84" s="70" t="s">
        <v>16</v>
      </c>
      <c r="C84" s="19"/>
      <c r="D84" s="19" t="s">
        <v>36</v>
      </c>
      <c r="E84" s="101">
        <v>2385283</v>
      </c>
      <c r="F84" s="1">
        <v>0</v>
      </c>
      <c r="G84" s="19"/>
      <c r="H84" s="58">
        <v>31.75</v>
      </c>
      <c r="I84" s="1">
        <v>2</v>
      </c>
      <c r="J84" s="1">
        <v>485</v>
      </c>
      <c r="K84" s="72">
        <v>0</v>
      </c>
      <c r="L84" s="71">
        <f t="shared" si="1"/>
        <v>0</v>
      </c>
      <c r="M84" s="19"/>
    </row>
    <row r="85" spans="1:13" ht="18.75" x14ac:dyDescent="0.2">
      <c r="A85" s="1"/>
      <c r="B85" s="70" t="s">
        <v>93</v>
      </c>
      <c r="C85" s="19"/>
      <c r="D85" s="1" t="s">
        <v>36</v>
      </c>
      <c r="E85" s="19"/>
      <c r="F85" s="93"/>
      <c r="G85" s="19"/>
      <c r="H85" s="58">
        <v>22.23</v>
      </c>
      <c r="I85" s="19">
        <v>2</v>
      </c>
      <c r="J85" s="19">
        <v>136</v>
      </c>
      <c r="K85" s="72">
        <v>0</v>
      </c>
      <c r="L85" s="71">
        <f t="shared" si="1"/>
        <v>0</v>
      </c>
      <c r="M85" s="19"/>
    </row>
    <row r="86" spans="1:13" ht="18.75" x14ac:dyDescent="0.2">
      <c r="A86" s="1">
        <v>69</v>
      </c>
      <c r="B86" s="66" t="s">
        <v>26</v>
      </c>
      <c r="C86" s="1"/>
      <c r="D86" s="1" t="s">
        <v>37</v>
      </c>
      <c r="E86" s="101">
        <v>3783914</v>
      </c>
      <c r="F86" s="8">
        <v>0</v>
      </c>
      <c r="G86" s="19"/>
      <c r="H86" s="60">
        <v>19.05</v>
      </c>
      <c r="I86" s="9">
        <v>2.2999999999999998</v>
      </c>
      <c r="J86" s="1">
        <v>252</v>
      </c>
      <c r="K86" s="72">
        <v>0</v>
      </c>
      <c r="L86" s="71">
        <f t="shared" si="1"/>
        <v>0</v>
      </c>
      <c r="M86" s="20"/>
    </row>
    <row r="87" spans="1:13" ht="18.75" x14ac:dyDescent="0.2">
      <c r="A87" s="1">
        <v>52</v>
      </c>
      <c r="B87" s="80" t="s">
        <v>26</v>
      </c>
      <c r="C87" s="83" t="s">
        <v>68</v>
      </c>
      <c r="D87" s="80" t="s">
        <v>37</v>
      </c>
      <c r="E87" s="101">
        <v>3629057</v>
      </c>
      <c r="F87" s="81">
        <v>60</v>
      </c>
      <c r="G87" s="19"/>
      <c r="H87" s="81">
        <v>22.23</v>
      </c>
      <c r="I87" s="81">
        <v>2.2999999999999998</v>
      </c>
      <c r="J87" s="81">
        <v>427</v>
      </c>
      <c r="K87" s="77">
        <v>0</v>
      </c>
      <c r="L87" s="78">
        <f t="shared" si="1"/>
        <v>0</v>
      </c>
      <c r="M87" s="94"/>
    </row>
    <row r="88" spans="1:13" ht="18.75" x14ac:dyDescent="0.2">
      <c r="A88" s="1">
        <v>182</v>
      </c>
      <c r="B88" s="75" t="s">
        <v>26</v>
      </c>
      <c r="C88" s="75"/>
      <c r="D88" s="75" t="s">
        <v>168</v>
      </c>
      <c r="E88" s="7">
        <v>1940498</v>
      </c>
      <c r="F88" s="93"/>
      <c r="G88" s="75">
        <v>0</v>
      </c>
      <c r="H88" s="82">
        <v>22.2</v>
      </c>
      <c r="I88" s="82">
        <v>2.2999999999999998</v>
      </c>
      <c r="J88" s="75">
        <v>281</v>
      </c>
      <c r="K88" s="77">
        <v>0</v>
      </c>
      <c r="L88" s="78">
        <f t="shared" si="1"/>
        <v>0</v>
      </c>
      <c r="M88" s="95"/>
    </row>
    <row r="89" spans="1:13" ht="18.75" x14ac:dyDescent="0.2">
      <c r="A89" s="75">
        <v>68</v>
      </c>
      <c r="B89" s="66" t="s">
        <v>26</v>
      </c>
      <c r="C89" s="1"/>
      <c r="D89" s="1" t="s">
        <v>37</v>
      </c>
      <c r="E89" s="101">
        <v>3507718</v>
      </c>
      <c r="F89" s="8"/>
      <c r="G89" s="19"/>
      <c r="H89" s="60">
        <v>19.05</v>
      </c>
      <c r="I89" s="9">
        <v>2.2999999999999998</v>
      </c>
      <c r="J89" s="1">
        <v>265</v>
      </c>
      <c r="K89" s="72">
        <v>0</v>
      </c>
      <c r="L89" s="71">
        <f t="shared" si="1"/>
        <v>0</v>
      </c>
      <c r="M89" s="20"/>
    </row>
    <row r="90" spans="1:13" ht="18.75" x14ac:dyDescent="0.2">
      <c r="A90" s="75">
        <v>217</v>
      </c>
      <c r="B90" s="66" t="s">
        <v>26</v>
      </c>
      <c r="C90" s="1"/>
      <c r="D90" s="1" t="s">
        <v>37</v>
      </c>
      <c r="E90" s="1" t="s">
        <v>83</v>
      </c>
      <c r="F90" s="93"/>
      <c r="G90" s="8">
        <v>12</v>
      </c>
      <c r="H90" s="60">
        <v>17.3</v>
      </c>
      <c r="I90" s="9">
        <v>1.6</v>
      </c>
      <c r="J90" s="1">
        <v>640</v>
      </c>
      <c r="K90" s="72">
        <v>0</v>
      </c>
      <c r="L90" s="71">
        <f t="shared" si="1"/>
        <v>0</v>
      </c>
      <c r="M90" s="20"/>
    </row>
    <row r="91" spans="1:13" ht="18.75" x14ac:dyDescent="0.2">
      <c r="A91" s="1"/>
      <c r="B91" s="70" t="s">
        <v>192</v>
      </c>
      <c r="C91" s="19"/>
      <c r="D91" s="2" t="s">
        <v>37</v>
      </c>
      <c r="E91" s="19"/>
      <c r="F91" s="93"/>
      <c r="G91" s="19"/>
      <c r="H91" s="58">
        <v>25.4</v>
      </c>
      <c r="I91" s="19">
        <v>2</v>
      </c>
      <c r="J91" s="19">
        <v>350</v>
      </c>
      <c r="K91" s="72">
        <v>0</v>
      </c>
      <c r="L91" s="71">
        <f t="shared" si="1"/>
        <v>0</v>
      </c>
      <c r="M91" s="19"/>
    </row>
    <row r="92" spans="1:13" x14ac:dyDescent="0.2">
      <c r="A92" s="1"/>
      <c r="B92" s="19"/>
      <c r="C92" s="19"/>
      <c r="D92" s="19"/>
      <c r="E92" s="19"/>
      <c r="F92" s="93"/>
      <c r="G92" s="19"/>
      <c r="H92" s="1">
        <v>41.28</v>
      </c>
      <c r="I92" s="19">
        <v>3.15</v>
      </c>
      <c r="J92" s="19">
        <v>291</v>
      </c>
      <c r="K92" s="19">
        <v>0</v>
      </c>
      <c r="L92" s="19">
        <f t="shared" si="1"/>
        <v>0</v>
      </c>
      <c r="M92" s="19"/>
    </row>
    <row r="93" spans="1:13" ht="18.75" x14ac:dyDescent="0.2">
      <c r="A93" s="1">
        <v>142</v>
      </c>
      <c r="B93" s="66"/>
      <c r="C93" s="1"/>
      <c r="D93" s="1"/>
      <c r="E93" s="1">
        <v>2418610</v>
      </c>
      <c r="F93" s="93"/>
      <c r="G93" s="1"/>
      <c r="H93" s="58">
        <v>25.4</v>
      </c>
      <c r="I93" s="1">
        <v>3.5</v>
      </c>
      <c r="J93" s="1">
        <v>247</v>
      </c>
      <c r="K93" s="72">
        <v>0</v>
      </c>
      <c r="L93" s="71">
        <f t="shared" si="1"/>
        <v>0</v>
      </c>
      <c r="M93" s="5"/>
    </row>
    <row r="94" spans="1:13" ht="18.75" x14ac:dyDescent="0.2">
      <c r="A94" s="1">
        <v>1</v>
      </c>
      <c r="B94" s="70" t="s">
        <v>180</v>
      </c>
      <c r="C94" s="19"/>
      <c r="D94" s="19" t="s">
        <v>38</v>
      </c>
      <c r="E94" s="101">
        <v>3801263</v>
      </c>
      <c r="F94" s="19"/>
      <c r="G94" s="19"/>
      <c r="H94" s="58">
        <v>70</v>
      </c>
      <c r="I94" s="19">
        <v>3.2</v>
      </c>
      <c r="J94" s="19">
        <v>512</v>
      </c>
      <c r="K94" s="72">
        <v>0</v>
      </c>
      <c r="L94" s="71">
        <f t="shared" si="1"/>
        <v>0</v>
      </c>
      <c r="M94" s="19"/>
    </row>
    <row r="95" spans="1:13" ht="18.75" x14ac:dyDescent="0.2">
      <c r="A95" s="75">
        <v>2</v>
      </c>
      <c r="B95" s="76" t="s">
        <v>180</v>
      </c>
      <c r="C95" s="76"/>
      <c r="D95" s="76" t="s">
        <v>38</v>
      </c>
      <c r="E95" s="101"/>
      <c r="F95" s="76"/>
      <c r="G95" s="19"/>
      <c r="H95" s="75">
        <v>63.5</v>
      </c>
      <c r="I95" s="76">
        <v>4</v>
      </c>
      <c r="J95" s="76">
        <v>263</v>
      </c>
      <c r="K95" s="77">
        <v>0</v>
      </c>
      <c r="L95" s="78">
        <f t="shared" si="1"/>
        <v>0</v>
      </c>
      <c r="M95" s="76"/>
    </row>
    <row r="96" spans="1:13" ht="18.75" x14ac:dyDescent="0.2">
      <c r="A96" s="1"/>
      <c r="B96" s="70"/>
      <c r="C96" s="19"/>
      <c r="D96" s="19"/>
      <c r="E96" s="19"/>
      <c r="F96" s="93"/>
      <c r="G96" s="19"/>
      <c r="H96" s="58">
        <v>41.28</v>
      </c>
      <c r="I96" s="19">
        <v>3.2</v>
      </c>
      <c r="J96" s="19">
        <v>246</v>
      </c>
      <c r="K96" s="72">
        <v>0</v>
      </c>
      <c r="L96" s="71">
        <f t="shared" si="1"/>
        <v>0</v>
      </c>
      <c r="M96" s="19"/>
    </row>
    <row r="97" spans="1:13" ht="18.75" x14ac:dyDescent="0.2">
      <c r="A97" s="1"/>
      <c r="B97" s="70" t="s">
        <v>93</v>
      </c>
      <c r="C97" s="19"/>
      <c r="D97" s="1" t="s">
        <v>36</v>
      </c>
      <c r="E97" s="19"/>
      <c r="F97" s="93"/>
      <c r="G97" s="19"/>
      <c r="H97" s="58">
        <v>22.23</v>
      </c>
      <c r="I97" s="19">
        <v>2</v>
      </c>
      <c r="J97" s="19">
        <v>166</v>
      </c>
      <c r="K97" s="88">
        <v>0</v>
      </c>
      <c r="L97" s="71">
        <f t="shared" si="1"/>
        <v>0</v>
      </c>
      <c r="M97" s="19"/>
    </row>
    <row r="98" spans="1:13" ht="18.75" x14ac:dyDescent="0.2">
      <c r="A98" s="1">
        <v>37</v>
      </c>
      <c r="B98" s="66" t="s">
        <v>175</v>
      </c>
      <c r="C98" s="1" t="s">
        <v>58</v>
      </c>
      <c r="D98" s="1" t="s">
        <v>38</v>
      </c>
      <c r="E98" s="101">
        <v>1939285</v>
      </c>
      <c r="F98" s="1">
        <v>0</v>
      </c>
      <c r="G98" s="19"/>
      <c r="H98" s="58">
        <v>29.4</v>
      </c>
      <c r="I98" s="1">
        <v>4.5</v>
      </c>
      <c r="J98" s="1">
        <v>361</v>
      </c>
      <c r="K98" s="72">
        <v>0</v>
      </c>
      <c r="L98" s="71">
        <f t="shared" si="1"/>
        <v>0</v>
      </c>
      <c r="M98" s="20"/>
    </row>
    <row r="99" spans="1:13" ht="18.75" x14ac:dyDescent="0.2">
      <c r="A99" s="75">
        <v>35</v>
      </c>
      <c r="B99" s="70" t="s">
        <v>93</v>
      </c>
      <c r="C99" s="19"/>
      <c r="D99" s="19" t="s">
        <v>36</v>
      </c>
      <c r="E99" s="101">
        <v>3181171</v>
      </c>
      <c r="F99" s="19">
        <v>5</v>
      </c>
      <c r="G99" s="19"/>
      <c r="H99" s="58">
        <v>31.75</v>
      </c>
      <c r="I99" s="19">
        <v>2</v>
      </c>
      <c r="J99" s="19">
        <v>483</v>
      </c>
      <c r="K99" s="72">
        <v>0</v>
      </c>
      <c r="L99" s="71">
        <f t="shared" si="1"/>
        <v>0</v>
      </c>
      <c r="M99" s="103"/>
    </row>
    <row r="100" spans="1:13" ht="18.75" x14ac:dyDescent="0.2">
      <c r="A100" s="1"/>
      <c r="B100" s="70"/>
      <c r="C100" s="19"/>
      <c r="D100" s="19"/>
      <c r="E100" s="19"/>
      <c r="F100" s="93"/>
      <c r="G100" s="19"/>
      <c r="H100" s="58">
        <v>29.4</v>
      </c>
      <c r="I100" s="19">
        <v>4.5</v>
      </c>
      <c r="J100" s="19">
        <v>385</v>
      </c>
      <c r="K100" s="72">
        <v>0</v>
      </c>
      <c r="L100" s="71">
        <f t="shared" si="1"/>
        <v>0</v>
      </c>
      <c r="M100" s="19"/>
    </row>
    <row r="101" spans="1:13" ht="18.75" x14ac:dyDescent="0.2">
      <c r="A101" s="1">
        <v>131</v>
      </c>
      <c r="B101" s="70"/>
      <c r="C101" s="19" t="s">
        <v>57</v>
      </c>
      <c r="D101" s="19" t="s">
        <v>38</v>
      </c>
      <c r="E101" s="19">
        <v>3770394</v>
      </c>
      <c r="F101" s="93"/>
      <c r="G101" s="1">
        <v>0</v>
      </c>
      <c r="H101" s="58">
        <v>29.4</v>
      </c>
      <c r="I101" s="1">
        <v>4.5</v>
      </c>
      <c r="J101" s="1">
        <v>450</v>
      </c>
      <c r="K101" s="72">
        <v>0</v>
      </c>
      <c r="L101" s="71">
        <f t="shared" si="1"/>
        <v>0</v>
      </c>
      <c r="M101" s="19"/>
    </row>
    <row r="102" spans="1:13" ht="18.75" x14ac:dyDescent="0.2">
      <c r="A102" s="75">
        <v>133</v>
      </c>
      <c r="B102" s="66" t="s">
        <v>21</v>
      </c>
      <c r="C102" s="1" t="s">
        <v>57</v>
      </c>
      <c r="D102" s="1" t="s">
        <v>38</v>
      </c>
      <c r="E102" s="1">
        <v>3770394</v>
      </c>
      <c r="F102" s="93"/>
      <c r="G102" s="7">
        <v>0</v>
      </c>
      <c r="H102" s="59">
        <v>29.4</v>
      </c>
      <c r="I102" s="7">
        <v>4.5</v>
      </c>
      <c r="J102" s="7">
        <v>376</v>
      </c>
      <c r="K102" s="72">
        <v>0</v>
      </c>
      <c r="L102" s="71">
        <f t="shared" si="1"/>
        <v>0</v>
      </c>
      <c r="M102" s="20"/>
    </row>
    <row r="103" spans="1:13" ht="18.75" x14ac:dyDescent="0.2">
      <c r="A103" s="75">
        <v>41</v>
      </c>
      <c r="B103" s="1" t="s">
        <v>28</v>
      </c>
      <c r="C103" s="1"/>
      <c r="D103" s="1" t="s">
        <v>38</v>
      </c>
      <c r="E103" s="101">
        <v>1939284</v>
      </c>
      <c r="F103" s="1">
        <v>0</v>
      </c>
      <c r="G103" s="19"/>
      <c r="H103" s="1">
        <v>25.4</v>
      </c>
      <c r="I103" s="1">
        <v>3.5</v>
      </c>
      <c r="J103" s="1">
        <v>247.5</v>
      </c>
      <c r="K103" s="88">
        <v>0</v>
      </c>
      <c r="L103" s="89">
        <f t="shared" si="1"/>
        <v>0</v>
      </c>
      <c r="M103" s="20" t="s">
        <v>197</v>
      </c>
    </row>
    <row r="104" spans="1:13" ht="18.75" x14ac:dyDescent="0.2">
      <c r="A104" s="1">
        <v>18</v>
      </c>
      <c r="B104" s="66" t="s">
        <v>20</v>
      </c>
      <c r="C104" s="1"/>
      <c r="D104" s="1" t="s">
        <v>41</v>
      </c>
      <c r="E104" s="101">
        <v>3901714</v>
      </c>
      <c r="F104" s="1">
        <v>5</v>
      </c>
      <c r="G104" s="19"/>
      <c r="H104" s="59">
        <v>42.7</v>
      </c>
      <c r="I104" s="7">
        <v>4</v>
      </c>
      <c r="J104" s="7">
        <v>215</v>
      </c>
      <c r="K104" s="72"/>
      <c r="L104" s="71">
        <f t="shared" si="1"/>
        <v>0</v>
      </c>
      <c r="M104" s="20"/>
    </row>
    <row r="105" spans="1:13" ht="18.75" x14ac:dyDescent="0.2">
      <c r="A105" s="1">
        <v>61</v>
      </c>
      <c r="B105" s="75" t="s">
        <v>15</v>
      </c>
      <c r="C105" s="75"/>
      <c r="D105" s="75" t="s">
        <v>48</v>
      </c>
      <c r="E105" s="101"/>
      <c r="F105" s="75">
        <v>45</v>
      </c>
      <c r="G105" s="19"/>
      <c r="H105" s="75">
        <v>22.2</v>
      </c>
      <c r="I105" s="75">
        <v>2</v>
      </c>
      <c r="J105" s="75">
        <v>505</v>
      </c>
      <c r="K105" s="77">
        <v>0</v>
      </c>
      <c r="L105" s="78">
        <f t="shared" si="1"/>
        <v>0</v>
      </c>
      <c r="M105" s="95"/>
    </row>
    <row r="106" spans="1:13" ht="18.75" x14ac:dyDescent="0.2">
      <c r="A106" s="1">
        <v>48</v>
      </c>
      <c r="B106" s="75" t="s">
        <v>34</v>
      </c>
      <c r="C106" s="75"/>
      <c r="D106" s="75" t="s">
        <v>36</v>
      </c>
      <c r="E106" s="102">
        <v>3509537</v>
      </c>
      <c r="F106" s="75"/>
      <c r="G106" s="19"/>
      <c r="H106" s="75">
        <v>25.4</v>
      </c>
      <c r="I106" s="75">
        <v>1.4</v>
      </c>
      <c r="J106" s="75">
        <v>778</v>
      </c>
      <c r="K106" s="104">
        <v>0</v>
      </c>
      <c r="L106" s="78">
        <f t="shared" si="1"/>
        <v>0</v>
      </c>
      <c r="M106" s="95"/>
    </row>
    <row r="107" spans="1:13" ht="18.75" x14ac:dyDescent="0.2">
      <c r="A107" s="1">
        <v>118</v>
      </c>
      <c r="B107" s="64" t="s">
        <v>22</v>
      </c>
      <c r="C107" s="1"/>
      <c r="D107" s="2" t="s">
        <v>38</v>
      </c>
      <c r="E107" s="2">
        <v>3929635</v>
      </c>
      <c r="F107" s="93"/>
      <c r="G107" s="1"/>
      <c r="H107" s="61">
        <v>38.1</v>
      </c>
      <c r="I107" s="4">
        <v>1.6</v>
      </c>
      <c r="J107" s="4">
        <v>821</v>
      </c>
      <c r="K107" s="72">
        <v>0</v>
      </c>
      <c r="L107" s="71">
        <f t="shared" si="1"/>
        <v>0</v>
      </c>
      <c r="M107" s="5"/>
    </row>
    <row r="108" spans="1:13" ht="18.75" x14ac:dyDescent="0.2">
      <c r="A108" s="1"/>
      <c r="B108" s="70" t="s">
        <v>25</v>
      </c>
      <c r="C108" s="19"/>
      <c r="D108" s="19" t="s">
        <v>36</v>
      </c>
      <c r="E108" s="19"/>
      <c r="F108" s="93"/>
      <c r="G108" s="19"/>
      <c r="H108" s="58">
        <v>22.23</v>
      </c>
      <c r="I108" s="19">
        <v>2</v>
      </c>
      <c r="J108" s="19">
        <v>468</v>
      </c>
      <c r="K108" s="72">
        <v>0</v>
      </c>
      <c r="L108" s="71">
        <f t="shared" si="1"/>
        <v>0</v>
      </c>
      <c r="M108" s="19"/>
    </row>
    <row r="109" spans="1:13" ht="18.75" x14ac:dyDescent="0.2">
      <c r="A109" s="75">
        <v>50</v>
      </c>
      <c r="B109" s="75" t="s">
        <v>13</v>
      </c>
      <c r="C109" s="75"/>
      <c r="D109" s="75" t="s">
        <v>36</v>
      </c>
      <c r="E109" s="102">
        <v>3509536</v>
      </c>
      <c r="F109" s="79">
        <v>0</v>
      </c>
      <c r="G109" s="19"/>
      <c r="H109" s="79">
        <v>25.4</v>
      </c>
      <c r="I109" s="85">
        <v>1.4</v>
      </c>
      <c r="J109" s="79">
        <v>460</v>
      </c>
      <c r="K109" s="77">
        <v>0</v>
      </c>
      <c r="L109" s="78">
        <f t="shared" si="1"/>
        <v>0</v>
      </c>
      <c r="M109" s="95"/>
    </row>
    <row r="110" spans="1:13" ht="18.75" x14ac:dyDescent="0.2">
      <c r="A110" s="75">
        <v>74</v>
      </c>
      <c r="B110" s="66" t="s">
        <v>22</v>
      </c>
      <c r="C110" s="1"/>
      <c r="D110" s="1" t="s">
        <v>38</v>
      </c>
      <c r="E110" s="101">
        <v>3545492</v>
      </c>
      <c r="F110" s="1"/>
      <c r="G110" s="19"/>
      <c r="H110" s="60">
        <v>19</v>
      </c>
      <c r="I110" s="9">
        <v>3.25</v>
      </c>
      <c r="J110" s="1">
        <v>195</v>
      </c>
      <c r="K110" s="72">
        <v>0</v>
      </c>
      <c r="L110" s="71">
        <f t="shared" si="1"/>
        <v>0</v>
      </c>
      <c r="M110" s="74"/>
    </row>
    <row r="111" spans="1:13" ht="18.75" x14ac:dyDescent="0.2">
      <c r="A111" s="75">
        <v>228</v>
      </c>
      <c r="B111" s="70"/>
      <c r="C111" s="19"/>
      <c r="D111" s="19"/>
      <c r="E111" s="2">
        <v>2404903</v>
      </c>
      <c r="F111" s="93"/>
      <c r="G111" s="19"/>
      <c r="H111" s="58">
        <v>12.7</v>
      </c>
      <c r="I111" s="19">
        <v>1.6</v>
      </c>
      <c r="J111" s="19">
        <v>295</v>
      </c>
      <c r="K111" s="72">
        <v>0</v>
      </c>
      <c r="L111" s="71">
        <f t="shared" si="1"/>
        <v>0</v>
      </c>
      <c r="M111" s="19"/>
    </row>
    <row r="112" spans="1:13" ht="18.75" x14ac:dyDescent="0.2">
      <c r="A112" s="75">
        <v>80</v>
      </c>
      <c r="B112" s="83" t="s">
        <v>65</v>
      </c>
      <c r="C112" s="83">
        <v>3701579</v>
      </c>
      <c r="D112" s="80" t="s">
        <v>38</v>
      </c>
      <c r="E112" s="101">
        <v>1940034</v>
      </c>
      <c r="F112" s="81">
        <v>0</v>
      </c>
      <c r="G112" s="19"/>
      <c r="H112" s="81">
        <v>15.88</v>
      </c>
      <c r="I112" s="81">
        <v>1.2</v>
      </c>
      <c r="J112" s="81">
        <v>540</v>
      </c>
      <c r="K112" s="77">
        <v>0</v>
      </c>
      <c r="L112" s="78">
        <f t="shared" si="1"/>
        <v>0</v>
      </c>
      <c r="M112" s="94"/>
    </row>
    <row r="113" spans="1:13" ht="18.75" x14ac:dyDescent="0.2">
      <c r="A113" s="1">
        <v>72</v>
      </c>
      <c r="B113" s="76" t="s">
        <v>95</v>
      </c>
      <c r="C113" s="76"/>
      <c r="D113" s="76" t="s">
        <v>38</v>
      </c>
      <c r="E113" s="101">
        <v>3929662</v>
      </c>
      <c r="F113" s="75">
        <v>32</v>
      </c>
      <c r="G113" s="19"/>
      <c r="H113" s="75">
        <v>19.05</v>
      </c>
      <c r="I113" s="75">
        <v>1.2</v>
      </c>
      <c r="J113" s="75">
        <v>403</v>
      </c>
      <c r="K113" s="77">
        <v>0</v>
      </c>
      <c r="L113" s="78">
        <f t="shared" si="1"/>
        <v>0</v>
      </c>
      <c r="M113" s="76"/>
    </row>
    <row r="114" spans="1:13" ht="18.75" x14ac:dyDescent="0.2">
      <c r="A114" s="75">
        <v>53</v>
      </c>
      <c r="B114" s="80" t="s">
        <v>69</v>
      </c>
      <c r="C114" s="83" t="s">
        <v>68</v>
      </c>
      <c r="D114" s="80" t="s">
        <v>61</v>
      </c>
      <c r="E114" s="101">
        <v>1940738</v>
      </c>
      <c r="F114" s="81">
        <v>10</v>
      </c>
      <c r="G114" s="19"/>
      <c r="H114" s="81">
        <v>22.23</v>
      </c>
      <c r="I114" s="81">
        <v>2.2999999999999998</v>
      </c>
      <c r="J114" s="81">
        <v>425</v>
      </c>
      <c r="K114" s="77">
        <v>0</v>
      </c>
      <c r="L114" s="78">
        <f t="shared" si="1"/>
        <v>0</v>
      </c>
      <c r="M114" s="94"/>
    </row>
    <row r="115" spans="1:13" ht="18.75" x14ac:dyDescent="0.2">
      <c r="A115" s="1">
        <v>79</v>
      </c>
      <c r="B115" s="83" t="s">
        <v>65</v>
      </c>
      <c r="C115" s="83">
        <v>3701579</v>
      </c>
      <c r="D115" s="80" t="s">
        <v>38</v>
      </c>
      <c r="E115" s="101">
        <v>3819143</v>
      </c>
      <c r="F115" s="81">
        <v>13</v>
      </c>
      <c r="G115" s="19"/>
      <c r="H115" s="81">
        <v>15.88</v>
      </c>
      <c r="I115" s="81">
        <v>1.2</v>
      </c>
      <c r="J115" s="81">
        <v>680</v>
      </c>
      <c r="K115" s="77">
        <v>0</v>
      </c>
      <c r="L115" s="78">
        <f t="shared" si="1"/>
        <v>0</v>
      </c>
      <c r="M115" s="94"/>
    </row>
    <row r="116" spans="1:13" ht="18.75" x14ac:dyDescent="0.2">
      <c r="A116" s="1">
        <v>28</v>
      </c>
      <c r="B116" s="70" t="s">
        <v>170</v>
      </c>
      <c r="C116" s="19"/>
      <c r="D116" s="19" t="s">
        <v>61</v>
      </c>
      <c r="E116" s="101">
        <v>1903849</v>
      </c>
      <c r="F116" s="1">
        <v>15</v>
      </c>
      <c r="G116" s="19"/>
      <c r="H116" s="58">
        <v>38.1</v>
      </c>
      <c r="I116" s="1">
        <v>2</v>
      </c>
      <c r="J116" s="1">
        <v>432</v>
      </c>
      <c r="K116" s="72">
        <v>0</v>
      </c>
      <c r="L116" s="71">
        <f t="shared" si="1"/>
        <v>0</v>
      </c>
      <c r="M116" s="19"/>
    </row>
    <row r="117" spans="1:13" ht="18.75" x14ac:dyDescent="0.2">
      <c r="A117" s="1">
        <v>75</v>
      </c>
      <c r="B117" s="68" t="s">
        <v>47</v>
      </c>
      <c r="C117" s="13"/>
      <c r="D117" s="14" t="s">
        <v>48</v>
      </c>
      <c r="E117" s="101">
        <v>1940302</v>
      </c>
      <c r="F117" s="1"/>
      <c r="G117" s="19"/>
      <c r="H117" s="60">
        <v>19.05</v>
      </c>
      <c r="I117" s="9">
        <v>2.2999999999999998</v>
      </c>
      <c r="J117" s="1">
        <v>195</v>
      </c>
      <c r="K117" s="72">
        <v>0</v>
      </c>
      <c r="L117" s="71">
        <f t="shared" si="1"/>
        <v>0</v>
      </c>
      <c r="M117" s="5"/>
    </row>
    <row r="118" spans="1:13" ht="18.75" x14ac:dyDescent="0.2">
      <c r="A118" s="75">
        <v>233</v>
      </c>
      <c r="B118" s="70"/>
      <c r="C118" s="19"/>
      <c r="D118" s="19"/>
      <c r="E118" s="2">
        <v>2404903</v>
      </c>
      <c r="F118" s="93"/>
      <c r="G118" s="19"/>
      <c r="H118" s="58">
        <v>12.7</v>
      </c>
      <c r="I118" s="19">
        <v>1.6</v>
      </c>
      <c r="J118" s="19">
        <v>250</v>
      </c>
      <c r="K118" s="72">
        <v>0</v>
      </c>
      <c r="L118" s="71">
        <f t="shared" si="1"/>
        <v>0</v>
      </c>
      <c r="M118" s="19"/>
    </row>
    <row r="119" spans="1:13" ht="18.75" x14ac:dyDescent="0.2">
      <c r="A119" s="75">
        <v>8</v>
      </c>
      <c r="B119" s="76" t="s">
        <v>25</v>
      </c>
      <c r="C119" s="76"/>
      <c r="D119" s="76" t="s">
        <v>36</v>
      </c>
      <c r="E119" s="101">
        <v>4032113</v>
      </c>
      <c r="F119" s="76">
        <v>0</v>
      </c>
      <c r="G119" s="19"/>
      <c r="H119" s="75">
        <v>50.8</v>
      </c>
      <c r="I119" s="76">
        <v>2</v>
      </c>
      <c r="J119" s="76">
        <v>731</v>
      </c>
      <c r="K119" s="77">
        <v>0</v>
      </c>
      <c r="L119" s="78">
        <f t="shared" si="1"/>
        <v>0</v>
      </c>
      <c r="M119" s="76"/>
    </row>
    <row r="120" spans="1:13" ht="18.75" x14ac:dyDescent="0.2">
      <c r="A120" s="1">
        <v>9</v>
      </c>
      <c r="B120" s="76" t="s">
        <v>179</v>
      </c>
      <c r="C120" s="76"/>
      <c r="D120" s="76" t="s">
        <v>37</v>
      </c>
      <c r="E120" s="101">
        <v>1940879</v>
      </c>
      <c r="F120" s="76">
        <v>0</v>
      </c>
      <c r="G120" s="19"/>
      <c r="H120" s="75">
        <v>50.8</v>
      </c>
      <c r="I120" s="76">
        <v>1.6</v>
      </c>
      <c r="J120" s="76">
        <v>636</v>
      </c>
      <c r="K120" s="77">
        <v>0</v>
      </c>
      <c r="L120" s="78">
        <f t="shared" si="1"/>
        <v>0</v>
      </c>
      <c r="M120" s="76"/>
    </row>
    <row r="121" spans="1:13" ht="18.75" x14ac:dyDescent="0.2">
      <c r="A121" s="1">
        <v>12</v>
      </c>
      <c r="B121" s="75" t="s">
        <v>22</v>
      </c>
      <c r="C121" s="86"/>
      <c r="D121" s="75" t="s">
        <v>38</v>
      </c>
      <c r="E121" s="102">
        <v>3531650</v>
      </c>
      <c r="F121" s="79">
        <v>90</v>
      </c>
      <c r="G121" s="19"/>
      <c r="H121" s="79">
        <v>48.6</v>
      </c>
      <c r="I121" s="79">
        <v>3.5</v>
      </c>
      <c r="J121" s="79">
        <v>185</v>
      </c>
      <c r="K121" s="104">
        <v>0</v>
      </c>
      <c r="L121" s="78">
        <f t="shared" si="1"/>
        <v>0</v>
      </c>
      <c r="M121" s="94"/>
    </row>
    <row r="122" spans="1:13" ht="18.75" x14ac:dyDescent="0.2">
      <c r="A122" s="75">
        <v>20</v>
      </c>
      <c r="B122" s="66" t="s">
        <v>22</v>
      </c>
      <c r="C122" s="1"/>
      <c r="D122" s="1" t="s">
        <v>38</v>
      </c>
      <c r="E122" s="101">
        <v>3690546</v>
      </c>
      <c r="F122" s="8">
        <v>7</v>
      </c>
      <c r="G122" s="19"/>
      <c r="H122" s="59">
        <v>42.7</v>
      </c>
      <c r="I122" s="10">
        <v>3.5</v>
      </c>
      <c r="J122" s="1">
        <v>210</v>
      </c>
      <c r="K122" s="72">
        <v>0</v>
      </c>
      <c r="L122" s="71">
        <f t="shared" si="1"/>
        <v>0</v>
      </c>
      <c r="M122" s="5"/>
    </row>
    <row r="123" spans="1:13" ht="18.75" x14ac:dyDescent="0.2">
      <c r="A123" s="1">
        <v>21</v>
      </c>
      <c r="B123" s="66" t="s">
        <v>13</v>
      </c>
      <c r="C123" s="1"/>
      <c r="D123" s="1" t="s">
        <v>36</v>
      </c>
      <c r="E123" s="101">
        <v>3731691</v>
      </c>
      <c r="F123" s="1">
        <v>12</v>
      </c>
      <c r="G123" s="19"/>
      <c r="H123" s="58">
        <v>42.7</v>
      </c>
      <c r="I123" s="1">
        <v>1.6</v>
      </c>
      <c r="J123" s="1">
        <v>416.5</v>
      </c>
      <c r="K123" s="72">
        <v>0</v>
      </c>
      <c r="L123" s="71">
        <f t="shared" si="1"/>
        <v>0</v>
      </c>
      <c r="M123" s="20"/>
    </row>
    <row r="124" spans="1:13" ht="18.75" x14ac:dyDescent="0.2">
      <c r="A124" s="1">
        <v>24</v>
      </c>
      <c r="B124" s="76" t="s">
        <v>64</v>
      </c>
      <c r="C124" s="76"/>
      <c r="D124" s="76" t="s">
        <v>37</v>
      </c>
      <c r="E124" s="101">
        <v>3438761</v>
      </c>
      <c r="F124" s="76">
        <v>50</v>
      </c>
      <c r="G124" s="19"/>
      <c r="H124" s="75">
        <v>40.96</v>
      </c>
      <c r="I124" s="76">
        <v>1.6</v>
      </c>
      <c r="J124" s="76">
        <v>514</v>
      </c>
      <c r="K124" s="77">
        <v>0</v>
      </c>
      <c r="L124" s="78">
        <f t="shared" si="1"/>
        <v>0</v>
      </c>
      <c r="M124" s="76"/>
    </row>
    <row r="125" spans="1:13" ht="18.75" x14ac:dyDescent="0.2">
      <c r="A125" s="1">
        <v>27</v>
      </c>
      <c r="B125" s="76" t="s">
        <v>78</v>
      </c>
      <c r="C125" s="76"/>
      <c r="D125" s="76" t="s">
        <v>37</v>
      </c>
      <c r="E125" s="102">
        <v>3781147</v>
      </c>
      <c r="F125" s="75">
        <v>0</v>
      </c>
      <c r="G125" s="19"/>
      <c r="H125" s="75">
        <v>38.1</v>
      </c>
      <c r="I125" s="75">
        <v>2</v>
      </c>
      <c r="J125" s="75">
        <v>488</v>
      </c>
      <c r="K125" s="77">
        <v>0</v>
      </c>
      <c r="L125" s="78">
        <f t="shared" si="1"/>
        <v>0</v>
      </c>
      <c r="M125" s="76"/>
    </row>
    <row r="126" spans="1:13" ht="18.75" x14ac:dyDescent="0.2">
      <c r="A126" s="1">
        <v>30</v>
      </c>
      <c r="B126" s="66" t="s">
        <v>179</v>
      </c>
      <c r="C126" s="1"/>
      <c r="D126" s="1" t="s">
        <v>168</v>
      </c>
      <c r="E126" s="101">
        <v>3781607</v>
      </c>
      <c r="F126" s="1">
        <v>7</v>
      </c>
      <c r="G126" s="19"/>
      <c r="H126" s="60">
        <v>37.6</v>
      </c>
      <c r="I126" s="9">
        <v>3.2</v>
      </c>
      <c r="J126" s="1">
        <v>295</v>
      </c>
      <c r="K126" s="72">
        <v>0</v>
      </c>
      <c r="L126" s="71">
        <f t="shared" si="1"/>
        <v>0</v>
      </c>
      <c r="M126" s="5"/>
    </row>
    <row r="127" spans="1:13" ht="18.75" x14ac:dyDescent="0.2">
      <c r="A127" s="1">
        <v>31</v>
      </c>
      <c r="B127" s="64" t="s">
        <v>179</v>
      </c>
      <c r="C127" s="1"/>
      <c r="D127" s="2" t="s">
        <v>37</v>
      </c>
      <c r="E127" s="101">
        <v>3911993</v>
      </c>
      <c r="F127" s="1">
        <v>2</v>
      </c>
      <c r="G127" s="19"/>
      <c r="H127" s="61">
        <v>34.93</v>
      </c>
      <c r="I127" s="4">
        <v>2.2999999999999998</v>
      </c>
      <c r="J127" s="4">
        <v>1500</v>
      </c>
      <c r="K127" s="72">
        <v>0</v>
      </c>
      <c r="L127" s="71">
        <f t="shared" si="1"/>
        <v>0</v>
      </c>
      <c r="M127" s="5"/>
    </row>
    <row r="128" spans="1:13" ht="18.75" x14ac:dyDescent="0.2">
      <c r="A128" s="1">
        <v>33</v>
      </c>
      <c r="B128" s="70" t="s">
        <v>179</v>
      </c>
      <c r="C128" s="19"/>
      <c r="D128" s="19" t="s">
        <v>168</v>
      </c>
      <c r="E128" s="101">
        <v>3509016</v>
      </c>
      <c r="F128" s="19">
        <v>0</v>
      </c>
      <c r="G128" s="19"/>
      <c r="H128" s="58">
        <v>31.75</v>
      </c>
      <c r="I128" s="19">
        <v>2.5</v>
      </c>
      <c r="J128" s="19">
        <v>193</v>
      </c>
      <c r="K128" s="72">
        <v>0</v>
      </c>
      <c r="L128" s="71">
        <f t="shared" si="1"/>
        <v>0</v>
      </c>
      <c r="M128" s="19"/>
    </row>
    <row r="129" spans="1:13" ht="18.75" x14ac:dyDescent="0.2">
      <c r="A129" s="1">
        <v>40</v>
      </c>
      <c r="B129" s="79" t="s">
        <v>77</v>
      </c>
      <c r="C129" s="75"/>
      <c r="D129" s="80" t="s">
        <v>61</v>
      </c>
      <c r="E129" s="101">
        <v>1940614</v>
      </c>
      <c r="F129" s="75">
        <v>0</v>
      </c>
      <c r="G129" s="19"/>
      <c r="H129" s="81">
        <v>28.58</v>
      </c>
      <c r="I129" s="81">
        <v>1.2</v>
      </c>
      <c r="J129" s="81">
        <v>595</v>
      </c>
      <c r="K129" s="77">
        <v>0</v>
      </c>
      <c r="L129" s="78">
        <f t="shared" si="1"/>
        <v>0</v>
      </c>
      <c r="M129" s="94"/>
    </row>
    <row r="130" spans="1:13" ht="18.75" x14ac:dyDescent="0.2">
      <c r="A130" s="75">
        <v>44</v>
      </c>
      <c r="B130" s="64" t="s">
        <v>16</v>
      </c>
      <c r="C130" s="1"/>
      <c r="D130" s="2" t="s">
        <v>36</v>
      </c>
      <c r="E130" s="101">
        <v>3677050</v>
      </c>
      <c r="F130" s="1">
        <v>12</v>
      </c>
      <c r="G130" s="19"/>
      <c r="H130" s="61">
        <v>25.4</v>
      </c>
      <c r="I130" s="4">
        <v>2</v>
      </c>
      <c r="J130" s="4">
        <v>825</v>
      </c>
      <c r="K130" s="72">
        <v>0</v>
      </c>
      <c r="L130" s="71">
        <f t="shared" si="1"/>
        <v>0</v>
      </c>
      <c r="M130" s="5"/>
    </row>
    <row r="131" spans="1:13" ht="18.75" x14ac:dyDescent="0.2">
      <c r="A131" s="1">
        <v>49</v>
      </c>
      <c r="B131" s="66" t="s">
        <v>27</v>
      </c>
      <c r="C131" s="1"/>
      <c r="D131" s="1" t="s">
        <v>36</v>
      </c>
      <c r="E131" s="101">
        <v>2422182</v>
      </c>
      <c r="F131" s="1">
        <v>0</v>
      </c>
      <c r="G131" s="19"/>
      <c r="H131" s="59">
        <v>25.4</v>
      </c>
      <c r="I131" s="1">
        <v>1.4</v>
      </c>
      <c r="J131" s="1">
        <v>466</v>
      </c>
      <c r="K131" s="72">
        <v>0</v>
      </c>
      <c r="L131" s="71">
        <f t="shared" ref="L131:L194" si="2">(H131-I131)*I131*0.02465*J131*K131/1000/1000</f>
        <v>0</v>
      </c>
      <c r="M131" s="20"/>
    </row>
    <row r="132" spans="1:13" ht="18.75" x14ac:dyDescent="0.2">
      <c r="A132" s="1">
        <v>60</v>
      </c>
      <c r="B132" s="75" t="s">
        <v>78</v>
      </c>
      <c r="C132" s="75"/>
      <c r="D132" s="75" t="s">
        <v>168</v>
      </c>
      <c r="E132" s="102">
        <v>3781147</v>
      </c>
      <c r="F132" s="75">
        <v>18</v>
      </c>
      <c r="G132" s="19"/>
      <c r="H132" s="82">
        <v>22.23</v>
      </c>
      <c r="I132" s="82">
        <v>1.6</v>
      </c>
      <c r="J132" s="75">
        <v>285</v>
      </c>
      <c r="K132" s="77">
        <v>0</v>
      </c>
      <c r="L132" s="78">
        <f t="shared" si="2"/>
        <v>0</v>
      </c>
      <c r="M132" s="94"/>
    </row>
    <row r="133" spans="1:13" ht="18.75" x14ac:dyDescent="0.2">
      <c r="A133" s="1">
        <v>64</v>
      </c>
      <c r="B133" s="66" t="s">
        <v>26</v>
      </c>
      <c r="C133" s="1"/>
      <c r="D133" s="1" t="s">
        <v>37</v>
      </c>
      <c r="E133" s="101">
        <v>3508521</v>
      </c>
      <c r="F133" s="8"/>
      <c r="G133" s="19"/>
      <c r="H133" s="60">
        <v>19.05</v>
      </c>
      <c r="I133" s="9">
        <v>2.2999999999999998</v>
      </c>
      <c r="J133" s="1">
        <v>610</v>
      </c>
      <c r="K133" s="72">
        <v>0</v>
      </c>
      <c r="L133" s="71">
        <f t="shared" si="2"/>
        <v>0</v>
      </c>
      <c r="M133" s="20"/>
    </row>
    <row r="134" spans="1:13" ht="18.75" x14ac:dyDescent="0.2">
      <c r="A134" s="75">
        <v>65</v>
      </c>
      <c r="B134" s="75" t="s">
        <v>174</v>
      </c>
      <c r="C134" s="75"/>
      <c r="D134" s="75" t="s">
        <v>48</v>
      </c>
      <c r="E134" s="102">
        <v>1940327</v>
      </c>
      <c r="F134" s="75">
        <v>65</v>
      </c>
      <c r="G134" s="19"/>
      <c r="H134" s="82">
        <v>19.05</v>
      </c>
      <c r="I134" s="82">
        <v>2.2999999999999998</v>
      </c>
      <c r="J134" s="75">
        <v>585</v>
      </c>
      <c r="K134" s="77">
        <v>0</v>
      </c>
      <c r="L134" s="78">
        <f t="shared" si="2"/>
        <v>0</v>
      </c>
      <c r="M134" s="95"/>
    </row>
    <row r="135" spans="1:13" ht="18.75" x14ac:dyDescent="0.2">
      <c r="A135" s="75">
        <v>71</v>
      </c>
      <c r="B135" s="83" t="s">
        <v>59</v>
      </c>
      <c r="C135" s="83" t="s">
        <v>68</v>
      </c>
      <c r="D135" s="80" t="s">
        <v>37</v>
      </c>
      <c r="E135" s="101">
        <v>3506438</v>
      </c>
      <c r="F135" s="81">
        <v>12</v>
      </c>
      <c r="G135" s="19"/>
      <c r="H135" s="81">
        <v>19.05</v>
      </c>
      <c r="I135" s="81">
        <v>1.2</v>
      </c>
      <c r="J135" s="81">
        <v>631</v>
      </c>
      <c r="K135" s="77">
        <v>0</v>
      </c>
      <c r="L135" s="78">
        <f t="shared" si="2"/>
        <v>0</v>
      </c>
      <c r="M135" s="94"/>
    </row>
    <row r="136" spans="1:13" ht="18.75" x14ac:dyDescent="0.2">
      <c r="A136" s="1">
        <v>82</v>
      </c>
      <c r="B136" s="66" t="s">
        <v>18</v>
      </c>
      <c r="C136" s="1"/>
      <c r="D136" s="1"/>
      <c r="E136" s="1"/>
      <c r="F136" s="93"/>
      <c r="G136" s="7">
        <v>8</v>
      </c>
      <c r="H136" s="59">
        <v>54</v>
      </c>
      <c r="I136" s="7">
        <v>3</v>
      </c>
      <c r="J136" s="7">
        <v>1140</v>
      </c>
      <c r="K136" s="72">
        <v>0</v>
      </c>
      <c r="L136" s="71">
        <f t="shared" si="2"/>
        <v>0</v>
      </c>
      <c r="M136" s="100"/>
    </row>
    <row r="137" spans="1:13" ht="18.75" x14ac:dyDescent="0.2">
      <c r="A137" s="1">
        <v>83</v>
      </c>
      <c r="B137" s="64"/>
      <c r="C137" s="1"/>
      <c r="D137" s="2"/>
      <c r="E137" s="2">
        <v>3702123</v>
      </c>
      <c r="F137" s="93"/>
      <c r="G137" s="1" t="s">
        <v>159</v>
      </c>
      <c r="H137" s="61">
        <v>50.9</v>
      </c>
      <c r="I137" s="4">
        <v>2</v>
      </c>
      <c r="J137" s="4">
        <v>730</v>
      </c>
      <c r="K137" s="72">
        <v>0</v>
      </c>
      <c r="L137" s="71">
        <f t="shared" si="2"/>
        <v>0</v>
      </c>
      <c r="M137" s="5"/>
    </row>
    <row r="138" spans="1:13" ht="18.75" x14ac:dyDescent="0.2">
      <c r="A138" s="75">
        <v>85</v>
      </c>
      <c r="B138" s="66"/>
      <c r="C138" s="1"/>
      <c r="D138" s="1"/>
      <c r="E138" s="1"/>
      <c r="F138" s="93"/>
      <c r="G138" s="1" t="s">
        <v>10</v>
      </c>
      <c r="H138" s="60">
        <v>50.8</v>
      </c>
      <c r="I138" s="9">
        <v>1.6</v>
      </c>
      <c r="J138" s="1">
        <v>1100</v>
      </c>
      <c r="K138" s="72">
        <v>0</v>
      </c>
      <c r="L138" s="71">
        <f t="shared" si="2"/>
        <v>0</v>
      </c>
      <c r="M138" s="5"/>
    </row>
    <row r="139" spans="1:13" ht="18.75" x14ac:dyDescent="0.2">
      <c r="A139" s="1">
        <v>86</v>
      </c>
      <c r="B139" s="66" t="s">
        <v>20</v>
      </c>
      <c r="C139" s="1"/>
      <c r="D139" s="1"/>
      <c r="E139" s="17">
        <v>3870802</v>
      </c>
      <c r="F139" s="93"/>
      <c r="G139" s="1" t="s">
        <v>5</v>
      </c>
      <c r="H139" s="60">
        <v>50.8</v>
      </c>
      <c r="I139" s="9">
        <v>1.6</v>
      </c>
      <c r="J139" s="1">
        <v>638</v>
      </c>
      <c r="K139" s="72">
        <v>0</v>
      </c>
      <c r="L139" s="71">
        <f t="shared" si="2"/>
        <v>0</v>
      </c>
      <c r="M139" s="20"/>
    </row>
    <row r="140" spans="1:13" ht="18.75" x14ac:dyDescent="0.2">
      <c r="A140" s="1">
        <v>87</v>
      </c>
      <c r="B140" s="66" t="s">
        <v>20</v>
      </c>
      <c r="C140" s="1"/>
      <c r="D140" s="1"/>
      <c r="E140" s="17">
        <v>3870802</v>
      </c>
      <c r="F140" s="93"/>
      <c r="G140" s="1" t="s">
        <v>5</v>
      </c>
      <c r="H140" s="60">
        <v>50.8</v>
      </c>
      <c r="I140" s="9">
        <v>1.6</v>
      </c>
      <c r="J140" s="1">
        <v>607</v>
      </c>
      <c r="K140" s="72">
        <v>0</v>
      </c>
      <c r="L140" s="71">
        <f t="shared" si="2"/>
        <v>0</v>
      </c>
      <c r="M140" s="73"/>
    </row>
    <row r="141" spans="1:13" ht="18.75" x14ac:dyDescent="0.2">
      <c r="A141" s="75">
        <v>88</v>
      </c>
      <c r="B141" s="66" t="s">
        <v>13</v>
      </c>
      <c r="C141" s="1"/>
      <c r="D141" s="1" t="s">
        <v>36</v>
      </c>
      <c r="E141" s="17">
        <v>3870802</v>
      </c>
      <c r="F141" s="93"/>
      <c r="G141" s="1" t="s">
        <v>5</v>
      </c>
      <c r="H141" s="58">
        <v>50.8</v>
      </c>
      <c r="I141" s="1">
        <v>1.6</v>
      </c>
      <c r="J141" s="1">
        <v>600</v>
      </c>
      <c r="K141" s="72">
        <v>0</v>
      </c>
      <c r="L141" s="71">
        <f t="shared" si="2"/>
        <v>0</v>
      </c>
      <c r="M141" s="5"/>
    </row>
    <row r="142" spans="1:13" ht="18.75" x14ac:dyDescent="0.2">
      <c r="A142" s="75">
        <v>89</v>
      </c>
      <c r="B142" s="66" t="s">
        <v>13</v>
      </c>
      <c r="C142" s="1"/>
      <c r="D142" s="1" t="s">
        <v>36</v>
      </c>
      <c r="E142" s="17">
        <v>3870802</v>
      </c>
      <c r="F142" s="93"/>
      <c r="G142" s="1" t="s">
        <v>5</v>
      </c>
      <c r="H142" s="58">
        <v>50.8</v>
      </c>
      <c r="I142" s="1">
        <v>1.6</v>
      </c>
      <c r="J142" s="1">
        <v>597</v>
      </c>
      <c r="K142" s="72">
        <v>0</v>
      </c>
      <c r="L142" s="71">
        <f t="shared" si="2"/>
        <v>0</v>
      </c>
      <c r="M142" s="20"/>
    </row>
    <row r="143" spans="1:13" ht="18.75" x14ac:dyDescent="0.2">
      <c r="A143" s="1">
        <v>90</v>
      </c>
      <c r="B143" s="66" t="s">
        <v>13</v>
      </c>
      <c r="C143" s="1"/>
      <c r="D143" s="1" t="s">
        <v>36</v>
      </c>
      <c r="E143" s="17">
        <v>3502422</v>
      </c>
      <c r="F143" s="93"/>
      <c r="G143" s="1">
        <v>0</v>
      </c>
      <c r="H143" s="60">
        <v>48.6</v>
      </c>
      <c r="I143" s="9">
        <v>3.5</v>
      </c>
      <c r="J143" s="1">
        <v>184</v>
      </c>
      <c r="K143" s="72">
        <v>0</v>
      </c>
      <c r="L143" s="71">
        <f t="shared" si="2"/>
        <v>0</v>
      </c>
      <c r="M143" s="5"/>
    </row>
    <row r="144" spans="1:13" ht="18.75" x14ac:dyDescent="0.2">
      <c r="A144" s="75">
        <v>92</v>
      </c>
      <c r="B144" s="66" t="s">
        <v>16</v>
      </c>
      <c r="C144" s="1"/>
      <c r="D144" s="1" t="s">
        <v>36</v>
      </c>
      <c r="E144" s="1">
        <v>3500635</v>
      </c>
      <c r="F144" s="93"/>
      <c r="G144" s="8">
        <v>0</v>
      </c>
      <c r="H144" s="60">
        <v>47.63</v>
      </c>
      <c r="I144" s="9">
        <v>4</v>
      </c>
      <c r="J144" s="1">
        <v>212</v>
      </c>
      <c r="K144" s="72">
        <v>0</v>
      </c>
      <c r="L144" s="71">
        <f t="shared" si="2"/>
        <v>0</v>
      </c>
      <c r="M144" s="20"/>
    </row>
    <row r="145" spans="1:13" ht="18.75" x14ac:dyDescent="0.2">
      <c r="A145" s="75">
        <v>93</v>
      </c>
      <c r="B145" s="66" t="s">
        <v>13</v>
      </c>
      <c r="C145" s="1"/>
      <c r="D145" s="1" t="s">
        <v>36</v>
      </c>
      <c r="E145" s="1"/>
      <c r="F145" s="93"/>
      <c r="G145" s="1"/>
      <c r="H145" s="58">
        <v>45</v>
      </c>
      <c r="I145" s="1">
        <v>1.6</v>
      </c>
      <c r="J145" s="1">
        <v>1054</v>
      </c>
      <c r="K145" s="72">
        <v>0</v>
      </c>
      <c r="L145" s="71">
        <f t="shared" si="2"/>
        <v>0</v>
      </c>
      <c r="M145" s="20"/>
    </row>
    <row r="146" spans="1:13" ht="18.75" x14ac:dyDescent="0.2">
      <c r="A146" s="1">
        <v>94</v>
      </c>
      <c r="B146" s="66" t="s">
        <v>13</v>
      </c>
      <c r="C146" s="1"/>
      <c r="D146" s="1" t="s">
        <v>36</v>
      </c>
      <c r="E146" s="17">
        <v>3514971</v>
      </c>
      <c r="F146" s="93"/>
      <c r="G146" s="1"/>
      <c r="H146" s="58">
        <v>45</v>
      </c>
      <c r="I146" s="1">
        <v>1.4</v>
      </c>
      <c r="J146" s="1">
        <v>1054</v>
      </c>
      <c r="K146" s="72">
        <v>0</v>
      </c>
      <c r="L146" s="71">
        <f t="shared" si="2"/>
        <v>0</v>
      </c>
      <c r="M146" s="20"/>
    </row>
    <row r="147" spans="1:13" ht="18.75" x14ac:dyDescent="0.2">
      <c r="A147" s="75">
        <v>96</v>
      </c>
      <c r="B147" s="66" t="s">
        <v>27</v>
      </c>
      <c r="C147" s="1"/>
      <c r="D147" s="1" t="s">
        <v>36</v>
      </c>
      <c r="E147" s="1">
        <v>3500714</v>
      </c>
      <c r="F147" s="93"/>
      <c r="G147" s="1"/>
      <c r="H147" s="58">
        <v>42.7</v>
      </c>
      <c r="I147" s="1">
        <v>4</v>
      </c>
      <c r="J147" s="1">
        <v>344</v>
      </c>
      <c r="K147" s="72">
        <v>0</v>
      </c>
      <c r="L147" s="71">
        <f t="shared" si="2"/>
        <v>0</v>
      </c>
      <c r="M147" s="20"/>
    </row>
    <row r="148" spans="1:13" ht="18.75" x14ac:dyDescent="0.2">
      <c r="A148" s="75">
        <v>97</v>
      </c>
      <c r="B148" s="66"/>
      <c r="C148" s="1"/>
      <c r="D148" s="1"/>
      <c r="E148" s="1" t="s">
        <v>87</v>
      </c>
      <c r="F148" s="93"/>
      <c r="G148" s="1"/>
      <c r="H148" s="60">
        <v>42.7</v>
      </c>
      <c r="I148" s="9">
        <v>4</v>
      </c>
      <c r="J148" s="1">
        <v>344</v>
      </c>
      <c r="K148" s="72">
        <v>0</v>
      </c>
      <c r="L148" s="71">
        <f t="shared" si="2"/>
        <v>0</v>
      </c>
      <c r="M148" s="5"/>
    </row>
    <row r="149" spans="1:13" ht="18.75" x14ac:dyDescent="0.2">
      <c r="A149" s="1">
        <v>98</v>
      </c>
      <c r="B149" s="66" t="s">
        <v>24</v>
      </c>
      <c r="C149" s="1"/>
      <c r="D149" s="1"/>
      <c r="E149" s="1">
        <v>3500714</v>
      </c>
      <c r="F149" s="93"/>
      <c r="G149" s="15"/>
      <c r="H149" s="63">
        <v>42.7</v>
      </c>
      <c r="I149" s="10">
        <v>4</v>
      </c>
      <c r="J149" s="7">
        <v>290</v>
      </c>
      <c r="K149" s="72">
        <v>0</v>
      </c>
      <c r="L149" s="71">
        <f t="shared" si="2"/>
        <v>0</v>
      </c>
      <c r="M149" s="20"/>
    </row>
    <row r="150" spans="1:13" ht="18.75" x14ac:dyDescent="0.2">
      <c r="A150" s="1">
        <v>99</v>
      </c>
      <c r="B150" s="66"/>
      <c r="C150" s="1"/>
      <c r="D150" s="1"/>
      <c r="E150" s="1"/>
      <c r="F150" s="93"/>
      <c r="G150" s="1"/>
      <c r="H150" s="58">
        <v>42.7</v>
      </c>
      <c r="I150" s="1">
        <v>4</v>
      </c>
      <c r="J150" s="1">
        <v>254</v>
      </c>
      <c r="K150" s="72">
        <v>0</v>
      </c>
      <c r="L150" s="71">
        <f t="shared" si="2"/>
        <v>0</v>
      </c>
      <c r="M150" s="5"/>
    </row>
    <row r="151" spans="1:13" ht="18.75" x14ac:dyDescent="0.2">
      <c r="A151" s="75">
        <v>101</v>
      </c>
      <c r="B151" s="66" t="s">
        <v>15</v>
      </c>
      <c r="C151" s="1"/>
      <c r="D151" s="1"/>
      <c r="E151" s="1">
        <v>3500714</v>
      </c>
      <c r="F151" s="93"/>
      <c r="G151" s="12"/>
      <c r="H151" s="60">
        <v>42.7</v>
      </c>
      <c r="I151" s="10">
        <v>4</v>
      </c>
      <c r="J151" s="1">
        <v>208</v>
      </c>
      <c r="K151" s="72"/>
      <c r="L151" s="71">
        <f t="shared" si="2"/>
        <v>0</v>
      </c>
      <c r="M151" s="20"/>
    </row>
    <row r="152" spans="1:13" ht="18.75" x14ac:dyDescent="0.2">
      <c r="A152" s="1">
        <v>102</v>
      </c>
      <c r="B152" s="66"/>
      <c r="C152" s="1"/>
      <c r="D152" s="1"/>
      <c r="E152" s="1"/>
      <c r="F152" s="93"/>
      <c r="G152" s="1"/>
      <c r="H152" s="58">
        <v>42.7</v>
      </c>
      <c r="I152" s="1">
        <v>3.5</v>
      </c>
      <c r="J152" s="1">
        <v>247</v>
      </c>
      <c r="K152" s="72">
        <v>0</v>
      </c>
      <c r="L152" s="71">
        <f t="shared" si="2"/>
        <v>0</v>
      </c>
      <c r="M152" s="20"/>
    </row>
    <row r="153" spans="1:13" ht="18.75" x14ac:dyDescent="0.2">
      <c r="A153" s="75">
        <v>105</v>
      </c>
      <c r="B153" s="66" t="s">
        <v>45</v>
      </c>
      <c r="C153" s="1"/>
      <c r="D153" s="1" t="s">
        <v>37</v>
      </c>
      <c r="E153" s="17">
        <v>3500650</v>
      </c>
      <c r="F153" s="93"/>
      <c r="G153" s="1">
        <v>0</v>
      </c>
      <c r="H153" s="60">
        <v>42.7</v>
      </c>
      <c r="I153" s="9">
        <v>3.5</v>
      </c>
      <c r="J153" s="1">
        <v>202.5</v>
      </c>
      <c r="K153" s="72">
        <v>0</v>
      </c>
      <c r="L153" s="71">
        <f t="shared" si="2"/>
        <v>0</v>
      </c>
      <c r="M153" s="5"/>
    </row>
    <row r="154" spans="1:13" ht="18.75" x14ac:dyDescent="0.2">
      <c r="A154" s="1">
        <v>107</v>
      </c>
      <c r="B154" s="66" t="s">
        <v>20</v>
      </c>
      <c r="C154" s="1"/>
      <c r="D154" s="1"/>
      <c r="E154" s="1"/>
      <c r="F154" s="93"/>
      <c r="G154" s="1" t="s">
        <v>7</v>
      </c>
      <c r="H154" s="60">
        <v>41.28</v>
      </c>
      <c r="I154" s="9">
        <v>1.6</v>
      </c>
      <c r="J154" s="1">
        <v>561</v>
      </c>
      <c r="K154" s="72">
        <v>0</v>
      </c>
      <c r="L154" s="71">
        <f t="shared" si="2"/>
        <v>0</v>
      </c>
      <c r="M154" s="5"/>
    </row>
    <row r="155" spans="1:13" ht="18.75" x14ac:dyDescent="0.2">
      <c r="A155" s="75">
        <v>108</v>
      </c>
      <c r="B155" s="70"/>
      <c r="C155" s="19"/>
      <c r="D155" s="19"/>
      <c r="E155" s="19"/>
      <c r="F155" s="93"/>
      <c r="G155" s="19">
        <v>1</v>
      </c>
      <c r="H155" s="58">
        <v>41</v>
      </c>
      <c r="I155" s="19">
        <v>1.6</v>
      </c>
      <c r="J155" s="19">
        <v>860</v>
      </c>
      <c r="K155" s="72">
        <v>0</v>
      </c>
      <c r="L155" s="71">
        <f t="shared" si="2"/>
        <v>0</v>
      </c>
      <c r="M155" s="19"/>
    </row>
    <row r="156" spans="1:13" ht="18.75" x14ac:dyDescent="0.2">
      <c r="A156" s="75">
        <v>109</v>
      </c>
      <c r="B156" s="70" t="s">
        <v>160</v>
      </c>
      <c r="C156" s="19"/>
      <c r="D156" s="19"/>
      <c r="E156" s="19"/>
      <c r="F156" s="93"/>
      <c r="G156" s="19" t="s">
        <v>148</v>
      </c>
      <c r="H156" s="58">
        <v>40.96</v>
      </c>
      <c r="I156" s="19">
        <v>1.6</v>
      </c>
      <c r="J156" s="19">
        <v>536</v>
      </c>
      <c r="K156" s="72">
        <v>0</v>
      </c>
      <c r="L156" s="71">
        <f t="shared" si="2"/>
        <v>0</v>
      </c>
      <c r="M156" s="19"/>
    </row>
    <row r="157" spans="1:13" ht="18.75" x14ac:dyDescent="0.2">
      <c r="A157" s="1">
        <v>110</v>
      </c>
      <c r="B157" s="70" t="s">
        <v>160</v>
      </c>
      <c r="C157" s="19"/>
      <c r="D157" s="19" t="s">
        <v>149</v>
      </c>
      <c r="E157" s="19"/>
      <c r="F157" s="93"/>
      <c r="G157" s="19" t="s">
        <v>148</v>
      </c>
      <c r="H157" s="58">
        <v>40.96</v>
      </c>
      <c r="I157" s="19">
        <v>1.6</v>
      </c>
      <c r="J157" s="19">
        <v>513</v>
      </c>
      <c r="K157" s="72">
        <v>0</v>
      </c>
      <c r="L157" s="71">
        <f t="shared" si="2"/>
        <v>0</v>
      </c>
      <c r="M157" s="19"/>
    </row>
    <row r="158" spans="1:13" ht="18.75" x14ac:dyDescent="0.2">
      <c r="A158" s="75">
        <v>112</v>
      </c>
      <c r="B158" s="67" t="s">
        <v>64</v>
      </c>
      <c r="C158" s="2"/>
      <c r="D158" s="2" t="s">
        <v>37</v>
      </c>
      <c r="E158" s="2">
        <v>3500718</v>
      </c>
      <c r="F158" s="93"/>
      <c r="G158" s="4"/>
      <c r="H158" s="61">
        <v>38.1</v>
      </c>
      <c r="I158" s="4">
        <v>3.66</v>
      </c>
      <c r="J158" s="4">
        <v>201</v>
      </c>
      <c r="K158" s="72">
        <v>0</v>
      </c>
      <c r="L158" s="71">
        <f t="shared" si="2"/>
        <v>0</v>
      </c>
      <c r="M158" s="5"/>
    </row>
    <row r="159" spans="1:13" ht="18.75" x14ac:dyDescent="0.2">
      <c r="A159" s="1">
        <v>114</v>
      </c>
      <c r="B159" s="66" t="s">
        <v>22</v>
      </c>
      <c r="C159" s="1"/>
      <c r="D159" s="1" t="s">
        <v>38</v>
      </c>
      <c r="E159" s="1">
        <v>3500240</v>
      </c>
      <c r="F159" s="93"/>
      <c r="G159" s="1"/>
      <c r="H159" s="58">
        <v>38.1</v>
      </c>
      <c r="I159" s="1">
        <v>2.5</v>
      </c>
      <c r="J159" s="1">
        <v>878</v>
      </c>
      <c r="K159" s="72">
        <v>0</v>
      </c>
      <c r="L159" s="71">
        <f t="shared" si="2"/>
        <v>0</v>
      </c>
      <c r="M159" s="5"/>
    </row>
    <row r="160" spans="1:13" ht="18.75" x14ac:dyDescent="0.2">
      <c r="A160" s="1">
        <v>115</v>
      </c>
      <c r="B160" s="66" t="s">
        <v>172</v>
      </c>
      <c r="C160" s="1"/>
      <c r="D160" s="1" t="s">
        <v>173</v>
      </c>
      <c r="E160" s="93">
        <v>3508742</v>
      </c>
      <c r="F160" s="93"/>
      <c r="G160" s="1">
        <v>27</v>
      </c>
      <c r="H160" s="58">
        <v>38.1</v>
      </c>
      <c r="I160" s="1">
        <v>2</v>
      </c>
      <c r="J160" s="1">
        <v>410</v>
      </c>
      <c r="K160" s="72">
        <v>0</v>
      </c>
      <c r="L160" s="71">
        <f t="shared" si="2"/>
        <v>0</v>
      </c>
      <c r="M160" s="5"/>
    </row>
    <row r="161" spans="1:13" ht="18.75" x14ac:dyDescent="0.2">
      <c r="A161" s="75">
        <v>116</v>
      </c>
      <c r="B161" s="66" t="s">
        <v>49</v>
      </c>
      <c r="C161" s="1"/>
      <c r="D161" s="1" t="s">
        <v>38</v>
      </c>
      <c r="E161" s="1" t="s">
        <v>92</v>
      </c>
      <c r="F161" s="93"/>
      <c r="G161" s="1"/>
      <c r="H161" s="58">
        <v>38.1</v>
      </c>
      <c r="I161" s="1">
        <v>2</v>
      </c>
      <c r="J161" s="1">
        <v>406</v>
      </c>
      <c r="K161" s="72">
        <v>0</v>
      </c>
      <c r="L161" s="71">
        <f t="shared" si="2"/>
        <v>0</v>
      </c>
      <c r="M161" s="5"/>
    </row>
    <row r="162" spans="1:13" ht="18.75" x14ac:dyDescent="0.2">
      <c r="A162" s="75">
        <v>117</v>
      </c>
      <c r="B162" s="66"/>
      <c r="C162" s="1"/>
      <c r="D162" s="1"/>
      <c r="E162" s="1">
        <v>3929635</v>
      </c>
      <c r="F162" s="93"/>
      <c r="G162" s="7"/>
      <c r="H162" s="59">
        <v>38.1</v>
      </c>
      <c r="I162" s="7">
        <v>1.6</v>
      </c>
      <c r="J162" s="1">
        <v>875</v>
      </c>
      <c r="K162" s="72">
        <v>0</v>
      </c>
      <c r="L162" s="71">
        <f t="shared" si="2"/>
        <v>0</v>
      </c>
      <c r="M162" s="20"/>
    </row>
    <row r="163" spans="1:13" ht="18.75" x14ac:dyDescent="0.2">
      <c r="A163" s="1">
        <v>119</v>
      </c>
      <c r="B163" s="66"/>
      <c r="C163" s="1"/>
      <c r="D163" s="1"/>
      <c r="E163" s="1">
        <v>3502026</v>
      </c>
      <c r="F163" s="93"/>
      <c r="G163" s="1"/>
      <c r="H163" s="60">
        <v>38</v>
      </c>
      <c r="I163" s="9">
        <v>3</v>
      </c>
      <c r="J163" s="1">
        <v>940</v>
      </c>
      <c r="K163" s="72">
        <v>0</v>
      </c>
      <c r="L163" s="71">
        <f t="shared" si="2"/>
        <v>0</v>
      </c>
      <c r="M163" s="5"/>
    </row>
    <row r="164" spans="1:13" ht="18.75" x14ac:dyDescent="0.2">
      <c r="A164" s="75">
        <v>120</v>
      </c>
      <c r="B164" s="66" t="s">
        <v>13</v>
      </c>
      <c r="C164" s="1"/>
      <c r="D164" s="1" t="s">
        <v>36</v>
      </c>
      <c r="E164" s="1">
        <v>3502026</v>
      </c>
      <c r="F164" s="93"/>
      <c r="G164" s="7"/>
      <c r="H164" s="59">
        <v>38</v>
      </c>
      <c r="I164" s="10">
        <v>3</v>
      </c>
      <c r="J164" s="7">
        <v>358</v>
      </c>
      <c r="K164" s="72">
        <v>0</v>
      </c>
      <c r="L164" s="71">
        <f t="shared" si="2"/>
        <v>0</v>
      </c>
      <c r="M164" s="20"/>
    </row>
    <row r="165" spans="1:13" ht="18.75" x14ac:dyDescent="0.2">
      <c r="A165" s="75">
        <v>121</v>
      </c>
      <c r="B165" s="67" t="s">
        <v>63</v>
      </c>
      <c r="C165" s="2"/>
      <c r="D165" s="2" t="s">
        <v>37</v>
      </c>
      <c r="E165" s="2"/>
      <c r="F165" s="93"/>
      <c r="G165" s="4"/>
      <c r="H165" s="61">
        <v>37.950000000000003</v>
      </c>
      <c r="I165" s="4">
        <v>2.95</v>
      </c>
      <c r="J165" s="4">
        <v>940</v>
      </c>
      <c r="K165" s="72">
        <v>0</v>
      </c>
      <c r="L165" s="71">
        <f t="shared" si="2"/>
        <v>0</v>
      </c>
      <c r="M165" s="5"/>
    </row>
    <row r="166" spans="1:13" ht="18.75" x14ac:dyDescent="0.2">
      <c r="A166" s="1">
        <v>122</v>
      </c>
      <c r="B166" s="64" t="s">
        <v>79</v>
      </c>
      <c r="C166" s="1"/>
      <c r="D166" s="2" t="s">
        <v>37</v>
      </c>
      <c r="E166" s="2">
        <v>4140303</v>
      </c>
      <c r="F166" s="93"/>
      <c r="G166" s="1"/>
      <c r="H166" s="61">
        <v>34.93</v>
      </c>
      <c r="I166" s="4">
        <v>2.5</v>
      </c>
      <c r="J166" s="4">
        <v>1721</v>
      </c>
      <c r="K166" s="72">
        <v>0</v>
      </c>
      <c r="L166" s="71">
        <f t="shared" si="2"/>
        <v>0</v>
      </c>
      <c r="M166" s="5"/>
    </row>
    <row r="167" spans="1:13" ht="18.75" x14ac:dyDescent="0.2">
      <c r="A167" s="1">
        <v>123</v>
      </c>
      <c r="B167" s="64" t="s">
        <v>79</v>
      </c>
      <c r="C167" s="1"/>
      <c r="D167" s="2" t="s">
        <v>37</v>
      </c>
      <c r="E167" s="2">
        <v>3910128</v>
      </c>
      <c r="F167" s="93"/>
      <c r="G167" s="1"/>
      <c r="H167" s="61">
        <v>34.93</v>
      </c>
      <c r="I167" s="4">
        <v>2.2999999999999998</v>
      </c>
      <c r="J167" s="4">
        <v>298</v>
      </c>
      <c r="K167" s="72">
        <v>0</v>
      </c>
      <c r="L167" s="71">
        <f t="shared" si="2"/>
        <v>0</v>
      </c>
      <c r="M167" s="5"/>
    </row>
    <row r="168" spans="1:13" ht="18.75" x14ac:dyDescent="0.2">
      <c r="A168" s="75">
        <v>124</v>
      </c>
      <c r="B168" s="69"/>
      <c r="C168" s="1"/>
      <c r="D168" s="1" t="s">
        <v>36</v>
      </c>
      <c r="E168" s="1">
        <v>3499589</v>
      </c>
      <c r="F168" s="93"/>
      <c r="G168" s="1"/>
      <c r="H168" s="58">
        <v>34.93</v>
      </c>
      <c r="I168" s="1">
        <v>1.2</v>
      </c>
      <c r="J168" s="1">
        <v>746</v>
      </c>
      <c r="K168" s="72">
        <v>0</v>
      </c>
      <c r="L168" s="71">
        <f t="shared" si="2"/>
        <v>0</v>
      </c>
      <c r="M168" s="5"/>
    </row>
    <row r="169" spans="1:13" ht="18.75" x14ac:dyDescent="0.2">
      <c r="A169" s="75">
        <v>125</v>
      </c>
      <c r="B169" s="69" t="s">
        <v>80</v>
      </c>
      <c r="C169" s="1"/>
      <c r="D169" s="1" t="s">
        <v>36</v>
      </c>
      <c r="E169" s="1">
        <v>3499589</v>
      </c>
      <c r="F169" s="93"/>
      <c r="G169" s="1"/>
      <c r="H169" s="58">
        <v>34.93</v>
      </c>
      <c r="I169" s="1">
        <v>1.2</v>
      </c>
      <c r="J169" s="1">
        <v>670</v>
      </c>
      <c r="K169" s="72">
        <v>0</v>
      </c>
      <c r="L169" s="71">
        <f t="shared" si="2"/>
        <v>0</v>
      </c>
      <c r="M169" s="73"/>
    </row>
    <row r="170" spans="1:13" ht="18.75" x14ac:dyDescent="0.2">
      <c r="A170" s="1">
        <v>126</v>
      </c>
      <c r="B170" s="67" t="s">
        <v>62</v>
      </c>
      <c r="C170" s="2"/>
      <c r="D170" s="2" t="s">
        <v>61</v>
      </c>
      <c r="E170" s="2">
        <v>3702310</v>
      </c>
      <c r="F170" s="93"/>
      <c r="G170" s="4">
        <v>0</v>
      </c>
      <c r="H170" s="61">
        <v>31.75</v>
      </c>
      <c r="I170" s="4">
        <v>1.2</v>
      </c>
      <c r="J170" s="4">
        <v>680</v>
      </c>
      <c r="K170" s="72">
        <v>0</v>
      </c>
      <c r="L170" s="71">
        <f t="shared" si="2"/>
        <v>0</v>
      </c>
      <c r="M170" s="5"/>
    </row>
    <row r="171" spans="1:13" ht="18.75" x14ac:dyDescent="0.2">
      <c r="A171" s="1">
        <v>127</v>
      </c>
      <c r="B171" s="67" t="s">
        <v>59</v>
      </c>
      <c r="C171" s="1"/>
      <c r="D171" s="2" t="s">
        <v>37</v>
      </c>
      <c r="E171" s="2">
        <v>3702310</v>
      </c>
      <c r="F171" s="93"/>
      <c r="G171" s="4">
        <v>18</v>
      </c>
      <c r="H171" s="61">
        <v>31.75</v>
      </c>
      <c r="I171" s="4">
        <v>1.2</v>
      </c>
      <c r="J171" s="4">
        <v>670</v>
      </c>
      <c r="K171" s="72"/>
      <c r="L171" s="71">
        <f t="shared" si="2"/>
        <v>0</v>
      </c>
      <c r="M171" s="5"/>
    </row>
    <row r="172" spans="1:13" ht="18.75" x14ac:dyDescent="0.2">
      <c r="A172" s="75">
        <v>128</v>
      </c>
      <c r="B172" s="67" t="s">
        <v>60</v>
      </c>
      <c r="C172" s="2"/>
      <c r="D172" s="2" t="s">
        <v>61</v>
      </c>
      <c r="E172" s="2">
        <v>3702310</v>
      </c>
      <c r="F172" s="93"/>
      <c r="G172" s="4"/>
      <c r="H172" s="61">
        <v>31.75</v>
      </c>
      <c r="I172" s="4">
        <v>1.2</v>
      </c>
      <c r="J172" s="4">
        <v>598</v>
      </c>
      <c r="K172" s="72">
        <v>0</v>
      </c>
      <c r="L172" s="71">
        <f t="shared" si="2"/>
        <v>0</v>
      </c>
      <c r="M172" s="5"/>
    </row>
    <row r="173" spans="1:13" ht="18.75" x14ac:dyDescent="0.2">
      <c r="A173" s="75">
        <v>132</v>
      </c>
      <c r="B173" s="66" t="s">
        <v>9</v>
      </c>
      <c r="C173" s="1"/>
      <c r="D173" s="1"/>
      <c r="E173" s="1"/>
      <c r="F173" s="93"/>
      <c r="G173" s="1"/>
      <c r="H173" s="60">
        <v>29.4</v>
      </c>
      <c r="I173" s="9">
        <v>4.5</v>
      </c>
      <c r="J173" s="1">
        <v>378</v>
      </c>
      <c r="K173" s="72">
        <v>0</v>
      </c>
      <c r="L173" s="71">
        <f t="shared" si="2"/>
        <v>0</v>
      </c>
      <c r="M173" s="5"/>
    </row>
    <row r="174" spans="1:13" ht="18.75" x14ac:dyDescent="0.2">
      <c r="A174" s="1">
        <v>134</v>
      </c>
      <c r="B174" s="66" t="s">
        <v>9</v>
      </c>
      <c r="C174" s="1"/>
      <c r="D174" s="1"/>
      <c r="E174" s="1"/>
      <c r="F174" s="93"/>
      <c r="G174" s="1"/>
      <c r="H174" s="60">
        <v>29.4</v>
      </c>
      <c r="I174" s="9">
        <v>4.5</v>
      </c>
      <c r="J174" s="1">
        <v>363</v>
      </c>
      <c r="K174" s="72">
        <v>0</v>
      </c>
      <c r="L174" s="71">
        <f t="shared" si="2"/>
        <v>0</v>
      </c>
      <c r="M174" s="5"/>
    </row>
    <row r="175" spans="1:13" ht="18.75" x14ac:dyDescent="0.2">
      <c r="A175" s="1">
        <v>135</v>
      </c>
      <c r="B175" s="66" t="s">
        <v>40</v>
      </c>
      <c r="C175" s="1" t="s">
        <v>57</v>
      </c>
      <c r="D175" s="1" t="s">
        <v>38</v>
      </c>
      <c r="E175" s="1">
        <v>3770394</v>
      </c>
      <c r="F175" s="93"/>
      <c r="G175" s="1">
        <v>0</v>
      </c>
      <c r="H175" s="58">
        <v>29.4</v>
      </c>
      <c r="I175" s="1">
        <v>4.5</v>
      </c>
      <c r="J175" s="1">
        <v>361</v>
      </c>
      <c r="K175" s="72"/>
      <c r="L175" s="71">
        <f t="shared" si="2"/>
        <v>0</v>
      </c>
      <c r="M175" s="99"/>
    </row>
    <row r="176" spans="1:13" ht="18.75" x14ac:dyDescent="0.2">
      <c r="A176" s="75">
        <v>136</v>
      </c>
      <c r="B176" s="66" t="s">
        <v>21</v>
      </c>
      <c r="C176" s="1" t="s">
        <v>58</v>
      </c>
      <c r="D176" s="1" t="s">
        <v>38</v>
      </c>
      <c r="E176" s="17">
        <v>3855139</v>
      </c>
      <c r="F176" s="93"/>
      <c r="G176" s="1"/>
      <c r="H176" s="60">
        <v>29.4</v>
      </c>
      <c r="I176" s="9">
        <v>4.5</v>
      </c>
      <c r="J176" s="1">
        <v>360</v>
      </c>
      <c r="K176" s="72">
        <v>0</v>
      </c>
      <c r="L176" s="71">
        <f t="shared" si="2"/>
        <v>0</v>
      </c>
      <c r="M176" s="99"/>
    </row>
    <row r="177" spans="1:13" ht="18.75" x14ac:dyDescent="0.2">
      <c r="A177" s="1">
        <v>139</v>
      </c>
      <c r="B177" s="70"/>
      <c r="C177" s="19"/>
      <c r="D177" s="19"/>
      <c r="E177" s="19"/>
      <c r="F177" s="93"/>
      <c r="G177" s="19"/>
      <c r="H177" s="58">
        <v>28.58</v>
      </c>
      <c r="I177" s="19">
        <v>1.6</v>
      </c>
      <c r="J177" s="19">
        <v>215</v>
      </c>
      <c r="K177" s="72">
        <v>0</v>
      </c>
      <c r="L177" s="71">
        <f t="shared" si="2"/>
        <v>0</v>
      </c>
      <c r="M177" s="19"/>
    </row>
    <row r="178" spans="1:13" ht="18.75" x14ac:dyDescent="0.2">
      <c r="A178" s="75">
        <v>141</v>
      </c>
      <c r="B178" s="66" t="s">
        <v>71</v>
      </c>
      <c r="C178" s="1"/>
      <c r="D178" s="1" t="s">
        <v>38</v>
      </c>
      <c r="E178" s="93">
        <v>1939283</v>
      </c>
      <c r="F178" s="93"/>
      <c r="G178" s="1">
        <v>0</v>
      </c>
      <c r="H178" s="58">
        <v>25.4</v>
      </c>
      <c r="I178" s="1">
        <v>3.5</v>
      </c>
      <c r="J178" s="1">
        <v>263</v>
      </c>
      <c r="K178" s="72">
        <v>0</v>
      </c>
      <c r="L178" s="71">
        <f t="shared" si="2"/>
        <v>0</v>
      </c>
      <c r="M178" s="20"/>
    </row>
    <row r="179" spans="1:13" ht="18.75" x14ac:dyDescent="0.2">
      <c r="A179" s="75">
        <v>144</v>
      </c>
      <c r="B179" s="66" t="s">
        <v>43</v>
      </c>
      <c r="C179" s="1"/>
      <c r="D179" s="1"/>
      <c r="E179" s="1">
        <v>3770391</v>
      </c>
      <c r="F179" s="93"/>
      <c r="G179" s="7"/>
      <c r="H179" s="58">
        <v>25.4</v>
      </c>
      <c r="I179" s="1">
        <v>2.5</v>
      </c>
      <c r="J179" s="1">
        <v>217</v>
      </c>
      <c r="K179" s="72">
        <v>0</v>
      </c>
      <c r="L179" s="71">
        <f t="shared" si="2"/>
        <v>0</v>
      </c>
      <c r="M179" s="20"/>
    </row>
    <row r="180" spans="1:13" ht="18.75" x14ac:dyDescent="0.2">
      <c r="A180" s="75">
        <v>145</v>
      </c>
      <c r="B180" s="66"/>
      <c r="C180" s="1"/>
      <c r="D180" s="1"/>
      <c r="E180" s="1">
        <v>2426134</v>
      </c>
      <c r="F180" s="93"/>
      <c r="G180" s="1"/>
      <c r="H180" s="60">
        <v>25.4</v>
      </c>
      <c r="I180" s="9">
        <v>2.2999999999999998</v>
      </c>
      <c r="J180" s="1">
        <v>273.5</v>
      </c>
      <c r="K180" s="72">
        <v>0</v>
      </c>
      <c r="L180" s="71">
        <f t="shared" si="2"/>
        <v>0</v>
      </c>
      <c r="M180" s="5"/>
    </row>
    <row r="181" spans="1:13" ht="16.5" customHeight="1" x14ac:dyDescent="0.2">
      <c r="A181" s="1">
        <v>146</v>
      </c>
      <c r="B181" s="70"/>
      <c r="C181" s="19" t="s">
        <v>191</v>
      </c>
      <c r="D181" s="19"/>
      <c r="E181" s="2">
        <v>3515482</v>
      </c>
      <c r="F181" s="93"/>
      <c r="G181" s="19"/>
      <c r="H181" s="58">
        <v>25.4</v>
      </c>
      <c r="I181" s="4">
        <v>2</v>
      </c>
      <c r="J181" s="4">
        <v>725</v>
      </c>
      <c r="K181" s="72">
        <v>0</v>
      </c>
      <c r="L181" s="71">
        <f t="shared" si="2"/>
        <v>0</v>
      </c>
      <c r="M181" s="19"/>
    </row>
    <row r="182" spans="1:13" ht="18" customHeight="1" x14ac:dyDescent="0.2">
      <c r="A182" s="1">
        <v>147</v>
      </c>
      <c r="B182" s="66" t="s">
        <v>15</v>
      </c>
      <c r="C182" s="1"/>
      <c r="D182" s="1"/>
      <c r="E182" s="1" t="s">
        <v>90</v>
      </c>
      <c r="F182" s="93"/>
      <c r="G182" s="1"/>
      <c r="H182" s="60">
        <v>25.4</v>
      </c>
      <c r="I182" s="9">
        <v>2</v>
      </c>
      <c r="J182" s="1">
        <v>567</v>
      </c>
      <c r="K182" s="72">
        <v>0</v>
      </c>
      <c r="L182" s="71">
        <f t="shared" si="2"/>
        <v>0</v>
      </c>
      <c r="M182" s="5"/>
    </row>
    <row r="183" spans="1:13" ht="18.75" x14ac:dyDescent="0.2">
      <c r="A183" s="75">
        <v>148</v>
      </c>
      <c r="B183" s="66" t="s">
        <v>70</v>
      </c>
      <c r="C183" s="11"/>
      <c r="D183" s="1"/>
      <c r="E183" s="1" t="s">
        <v>90</v>
      </c>
      <c r="F183" s="93"/>
      <c r="G183" s="1"/>
      <c r="H183" s="60">
        <v>25.4</v>
      </c>
      <c r="I183" s="9">
        <v>2</v>
      </c>
      <c r="J183" s="1">
        <v>418</v>
      </c>
      <c r="K183" s="72">
        <v>0</v>
      </c>
      <c r="L183" s="71">
        <f t="shared" si="2"/>
        <v>0</v>
      </c>
      <c r="M183" s="5"/>
    </row>
    <row r="184" spans="1:13" ht="18.75" x14ac:dyDescent="0.2">
      <c r="A184" s="1">
        <v>150</v>
      </c>
      <c r="B184" s="66" t="s">
        <v>26</v>
      </c>
      <c r="C184" s="1"/>
      <c r="D184" s="1" t="s">
        <v>37</v>
      </c>
      <c r="E184" s="1" t="s">
        <v>90</v>
      </c>
      <c r="F184" s="93"/>
      <c r="G184" s="1"/>
      <c r="H184" s="60">
        <v>25.4</v>
      </c>
      <c r="I184" s="9">
        <v>2</v>
      </c>
      <c r="J184" s="1">
        <v>281</v>
      </c>
      <c r="K184" s="72">
        <v>0</v>
      </c>
      <c r="L184" s="71">
        <f t="shared" si="2"/>
        <v>0</v>
      </c>
      <c r="M184" s="5" t="s">
        <v>196</v>
      </c>
    </row>
    <row r="185" spans="1:13" ht="18.75" x14ac:dyDescent="0.2">
      <c r="A185" s="1">
        <v>151</v>
      </c>
      <c r="B185" s="66" t="s">
        <v>55</v>
      </c>
      <c r="C185" s="1"/>
      <c r="D185" s="1"/>
      <c r="E185" s="1">
        <v>3500097</v>
      </c>
      <c r="F185" s="93"/>
      <c r="G185" s="1">
        <v>0</v>
      </c>
      <c r="H185" s="58">
        <v>25.4</v>
      </c>
      <c r="I185" s="1">
        <v>1.6</v>
      </c>
      <c r="J185" s="1">
        <v>2590</v>
      </c>
      <c r="K185" s="72">
        <v>0</v>
      </c>
      <c r="L185" s="71">
        <f t="shared" si="2"/>
        <v>0</v>
      </c>
      <c r="M185" s="5"/>
    </row>
    <row r="186" spans="1:13" ht="18.75" x14ac:dyDescent="0.2">
      <c r="A186" s="75">
        <v>152</v>
      </c>
      <c r="B186" s="66" t="s">
        <v>25</v>
      </c>
      <c r="C186" s="1"/>
      <c r="D186" s="1" t="s">
        <v>36</v>
      </c>
      <c r="E186" s="1">
        <v>3501900</v>
      </c>
      <c r="F186" s="93"/>
      <c r="G186" s="1"/>
      <c r="H186" s="58">
        <v>25.4</v>
      </c>
      <c r="I186" s="1">
        <v>1.4</v>
      </c>
      <c r="J186" s="1">
        <v>902</v>
      </c>
      <c r="K186" s="72">
        <v>0</v>
      </c>
      <c r="L186" s="71">
        <f t="shared" si="2"/>
        <v>0</v>
      </c>
      <c r="M186" s="20"/>
    </row>
    <row r="187" spans="1:13" ht="18.75" x14ac:dyDescent="0.2">
      <c r="A187" s="75">
        <v>153</v>
      </c>
      <c r="B187" s="66" t="s">
        <v>27</v>
      </c>
      <c r="C187" s="1" t="s">
        <v>150</v>
      </c>
      <c r="D187" s="1" t="s">
        <v>36</v>
      </c>
      <c r="E187" s="93">
        <v>4018222</v>
      </c>
      <c r="F187" s="93"/>
      <c r="G187" s="1">
        <v>15</v>
      </c>
      <c r="H187" s="60">
        <v>25.4</v>
      </c>
      <c r="I187" s="9">
        <v>1.4</v>
      </c>
      <c r="J187" s="1">
        <v>895</v>
      </c>
      <c r="K187" s="72">
        <v>0</v>
      </c>
      <c r="L187" s="71">
        <f t="shared" si="2"/>
        <v>0</v>
      </c>
      <c r="M187" s="5"/>
    </row>
    <row r="188" spans="1:13" ht="18.75" x14ac:dyDescent="0.2">
      <c r="A188" s="1">
        <v>154</v>
      </c>
      <c r="B188" s="70" t="s">
        <v>77</v>
      </c>
      <c r="C188" s="19"/>
      <c r="D188" s="19" t="s">
        <v>41</v>
      </c>
      <c r="E188" s="21">
        <v>3701615</v>
      </c>
      <c r="F188" s="93"/>
      <c r="G188" s="19"/>
      <c r="H188" s="58">
        <v>25.4</v>
      </c>
      <c r="I188" s="1">
        <v>1.2</v>
      </c>
      <c r="J188" s="1">
        <v>2550</v>
      </c>
      <c r="K188" s="72">
        <v>0</v>
      </c>
      <c r="L188" s="71">
        <f t="shared" si="2"/>
        <v>0</v>
      </c>
      <c r="M188" s="19"/>
    </row>
    <row r="189" spans="1:13" ht="18.75" x14ac:dyDescent="0.2">
      <c r="A189" s="1">
        <v>155</v>
      </c>
      <c r="B189" s="66" t="s">
        <v>17</v>
      </c>
      <c r="C189" s="1"/>
      <c r="D189" s="1" t="s">
        <v>36</v>
      </c>
      <c r="E189" s="1">
        <v>3515989</v>
      </c>
      <c r="F189" s="93"/>
      <c r="G189" s="8"/>
      <c r="H189" s="60">
        <v>22.23</v>
      </c>
      <c r="I189" s="9">
        <v>2.6</v>
      </c>
      <c r="J189" s="1">
        <v>872</v>
      </c>
      <c r="K189" s="72">
        <v>0</v>
      </c>
      <c r="L189" s="71">
        <f t="shared" si="2"/>
        <v>0</v>
      </c>
      <c r="M189" s="20"/>
    </row>
    <row r="190" spans="1:13" ht="18.75" x14ac:dyDescent="0.2">
      <c r="A190" s="75">
        <v>156</v>
      </c>
      <c r="B190" s="66" t="s">
        <v>17</v>
      </c>
      <c r="C190" s="1"/>
      <c r="D190" s="1" t="s">
        <v>36</v>
      </c>
      <c r="E190" s="1">
        <v>3515989</v>
      </c>
      <c r="F190" s="93"/>
      <c r="G190" s="1"/>
      <c r="H190" s="60">
        <v>22.23</v>
      </c>
      <c r="I190" s="9">
        <v>2.6</v>
      </c>
      <c r="J190" s="1">
        <v>270</v>
      </c>
      <c r="K190" s="72">
        <v>0</v>
      </c>
      <c r="L190" s="71">
        <f t="shared" si="2"/>
        <v>0</v>
      </c>
      <c r="M190" s="20"/>
    </row>
    <row r="191" spans="1:13" ht="18.75" x14ac:dyDescent="0.2">
      <c r="A191" s="1">
        <v>158</v>
      </c>
      <c r="B191" s="67" t="s">
        <v>64</v>
      </c>
      <c r="C191" s="3" t="s">
        <v>68</v>
      </c>
      <c r="D191" s="2" t="s">
        <v>37</v>
      </c>
      <c r="E191" s="1" t="s">
        <v>89</v>
      </c>
      <c r="F191" s="93"/>
      <c r="G191" s="4">
        <v>22.23</v>
      </c>
      <c r="H191" s="61">
        <v>22.23</v>
      </c>
      <c r="I191" s="4">
        <v>2.2999999999999998</v>
      </c>
      <c r="J191" s="4">
        <v>188</v>
      </c>
      <c r="K191" s="72">
        <v>0</v>
      </c>
      <c r="L191" s="71">
        <f t="shared" si="2"/>
        <v>0</v>
      </c>
      <c r="M191" s="5"/>
    </row>
    <row r="192" spans="1:13" ht="18.75" x14ac:dyDescent="0.2">
      <c r="A192" s="1">
        <v>159</v>
      </c>
      <c r="B192" s="66"/>
      <c r="C192" s="1"/>
      <c r="D192" s="1"/>
      <c r="E192" s="1" t="s">
        <v>87</v>
      </c>
      <c r="F192" s="93"/>
      <c r="G192" s="1"/>
      <c r="H192" s="60">
        <v>22.23</v>
      </c>
      <c r="I192" s="9">
        <v>2</v>
      </c>
      <c r="J192" s="1">
        <v>880</v>
      </c>
      <c r="K192" s="72">
        <v>0</v>
      </c>
      <c r="L192" s="71">
        <f t="shared" si="2"/>
        <v>0</v>
      </c>
      <c r="M192" s="5"/>
    </row>
    <row r="193" spans="1:13" ht="18.75" x14ac:dyDescent="0.2">
      <c r="A193" s="75">
        <v>160</v>
      </c>
      <c r="B193" s="66"/>
      <c r="C193" s="1"/>
      <c r="D193" s="1" t="s">
        <v>15</v>
      </c>
      <c r="E193" s="1" t="s">
        <v>88</v>
      </c>
      <c r="F193" s="93"/>
      <c r="G193" s="1"/>
      <c r="H193" s="58">
        <v>22.23</v>
      </c>
      <c r="I193" s="1">
        <v>2</v>
      </c>
      <c r="J193" s="1">
        <v>862</v>
      </c>
      <c r="K193" s="72">
        <v>0</v>
      </c>
      <c r="L193" s="71">
        <f t="shared" si="2"/>
        <v>0</v>
      </c>
      <c r="M193" s="5"/>
    </row>
    <row r="194" spans="1:13" ht="18.75" x14ac:dyDescent="0.2">
      <c r="A194" s="1">
        <v>162</v>
      </c>
      <c r="B194" s="66"/>
      <c r="C194" s="1"/>
      <c r="D194" s="1"/>
      <c r="E194" s="1" t="s">
        <v>88</v>
      </c>
      <c r="F194" s="93"/>
      <c r="G194" s="1"/>
      <c r="H194" s="60">
        <v>22.23</v>
      </c>
      <c r="I194" s="9">
        <v>2</v>
      </c>
      <c r="J194" s="1">
        <v>178</v>
      </c>
      <c r="K194" s="72"/>
      <c r="L194" s="71">
        <f t="shared" si="2"/>
        <v>0</v>
      </c>
      <c r="M194" s="5"/>
    </row>
    <row r="195" spans="1:13" ht="18.75" x14ac:dyDescent="0.2">
      <c r="A195" s="1">
        <v>163</v>
      </c>
      <c r="B195" s="66"/>
      <c r="C195" s="1"/>
      <c r="D195" s="1"/>
      <c r="E195" s="1" t="s">
        <v>87</v>
      </c>
      <c r="F195" s="93"/>
      <c r="G195" s="1"/>
      <c r="H195" s="60">
        <v>22.23</v>
      </c>
      <c r="I195" s="9">
        <v>1.6</v>
      </c>
      <c r="J195" s="1">
        <v>1304</v>
      </c>
      <c r="K195" s="72">
        <v>0</v>
      </c>
      <c r="L195" s="71">
        <f t="shared" ref="L195:L258" si="3">(H195-I195)*I195*0.02465*J195*K195/1000/1000</f>
        <v>0</v>
      </c>
      <c r="M195" s="5"/>
    </row>
    <row r="196" spans="1:13" ht="18.75" x14ac:dyDescent="0.2">
      <c r="A196" s="75">
        <v>164</v>
      </c>
      <c r="B196" s="66" t="s">
        <v>42</v>
      </c>
      <c r="C196" s="1"/>
      <c r="D196" s="1" t="s">
        <v>41</v>
      </c>
      <c r="E196" s="1" t="s">
        <v>87</v>
      </c>
      <c r="F196" s="93"/>
      <c r="G196" s="1">
        <v>0</v>
      </c>
      <c r="H196" s="58">
        <v>22.23</v>
      </c>
      <c r="I196" s="1">
        <v>1.6</v>
      </c>
      <c r="J196" s="1">
        <v>1303</v>
      </c>
      <c r="K196" s="72">
        <v>0</v>
      </c>
      <c r="L196" s="71">
        <f t="shared" si="3"/>
        <v>0</v>
      </c>
      <c r="M196" s="5"/>
    </row>
    <row r="197" spans="1:13" ht="18.75" x14ac:dyDescent="0.2">
      <c r="A197" s="75">
        <v>165</v>
      </c>
      <c r="B197" s="66"/>
      <c r="C197" s="1"/>
      <c r="D197" s="1"/>
      <c r="E197" s="1" t="s">
        <v>87</v>
      </c>
      <c r="F197" s="93"/>
      <c r="G197" s="1"/>
      <c r="H197" s="60">
        <v>22.23</v>
      </c>
      <c r="I197" s="9">
        <v>1.6</v>
      </c>
      <c r="J197" s="1">
        <v>1290</v>
      </c>
      <c r="K197" s="72">
        <v>0</v>
      </c>
      <c r="L197" s="71">
        <f t="shared" si="3"/>
        <v>0</v>
      </c>
      <c r="M197" s="98"/>
    </row>
    <row r="198" spans="1:13" ht="18.75" x14ac:dyDescent="0.2">
      <c r="A198" s="1">
        <v>166</v>
      </c>
      <c r="B198" s="66"/>
      <c r="C198" s="1"/>
      <c r="D198" s="1"/>
      <c r="E198" s="1" t="s">
        <v>87</v>
      </c>
      <c r="F198" s="93"/>
      <c r="G198" s="1"/>
      <c r="H198" s="60">
        <v>22.23</v>
      </c>
      <c r="I198" s="9">
        <v>1.6</v>
      </c>
      <c r="J198" s="1">
        <v>1222</v>
      </c>
      <c r="K198" s="72">
        <v>0</v>
      </c>
      <c r="L198" s="71">
        <f t="shared" si="3"/>
        <v>0</v>
      </c>
      <c r="M198" s="5"/>
    </row>
    <row r="199" spans="1:13" ht="18.75" x14ac:dyDescent="0.2">
      <c r="A199" s="1">
        <v>167</v>
      </c>
      <c r="B199" s="64"/>
      <c r="C199" s="1"/>
      <c r="D199" s="2" t="s">
        <v>41</v>
      </c>
      <c r="E199" s="1" t="s">
        <v>87</v>
      </c>
      <c r="F199" s="93"/>
      <c r="G199" s="1">
        <v>0</v>
      </c>
      <c r="H199" s="61">
        <v>22.23</v>
      </c>
      <c r="I199" s="4">
        <v>1.6</v>
      </c>
      <c r="J199" s="4">
        <v>1210</v>
      </c>
      <c r="K199" s="72">
        <v>0</v>
      </c>
      <c r="L199" s="71">
        <f t="shared" si="3"/>
        <v>0</v>
      </c>
      <c r="M199" s="5"/>
    </row>
    <row r="200" spans="1:13" ht="18.75" x14ac:dyDescent="0.2">
      <c r="A200" s="75">
        <v>168</v>
      </c>
      <c r="B200" s="66" t="s">
        <v>39</v>
      </c>
      <c r="C200" s="1"/>
      <c r="D200" s="1"/>
      <c r="E200" s="1" t="s">
        <v>87</v>
      </c>
      <c r="F200" s="93"/>
      <c r="G200" s="1">
        <v>0</v>
      </c>
      <c r="H200" s="60">
        <v>22.23</v>
      </c>
      <c r="I200" s="9">
        <v>1.6</v>
      </c>
      <c r="J200" s="1">
        <v>1175</v>
      </c>
      <c r="K200" s="72">
        <v>0</v>
      </c>
      <c r="L200" s="71">
        <f t="shared" si="3"/>
        <v>0</v>
      </c>
      <c r="M200" s="73"/>
    </row>
    <row r="201" spans="1:13" ht="18.75" x14ac:dyDescent="0.2">
      <c r="A201" s="75">
        <v>169</v>
      </c>
      <c r="B201" s="66" t="s">
        <v>26</v>
      </c>
      <c r="C201" s="1"/>
      <c r="D201" s="1" t="s">
        <v>37</v>
      </c>
      <c r="E201" s="1" t="s">
        <v>87</v>
      </c>
      <c r="F201" s="93"/>
      <c r="G201" s="8">
        <v>0</v>
      </c>
      <c r="H201" s="59">
        <v>22.23</v>
      </c>
      <c r="I201" s="7">
        <v>1.6</v>
      </c>
      <c r="J201" s="1">
        <v>949</v>
      </c>
      <c r="K201" s="72">
        <v>0</v>
      </c>
      <c r="L201" s="71">
        <f t="shared" si="3"/>
        <v>0</v>
      </c>
      <c r="M201" s="5"/>
    </row>
    <row r="202" spans="1:13" ht="18.75" x14ac:dyDescent="0.2">
      <c r="A202" s="1">
        <v>170</v>
      </c>
      <c r="B202" s="66"/>
      <c r="C202" s="1"/>
      <c r="D202" s="1"/>
      <c r="E202" s="1" t="s">
        <v>87</v>
      </c>
      <c r="F202" s="93"/>
      <c r="G202" s="1"/>
      <c r="H202" s="60">
        <v>22.23</v>
      </c>
      <c r="I202" s="9">
        <v>1.6</v>
      </c>
      <c r="J202" s="1">
        <v>945</v>
      </c>
      <c r="K202" s="72">
        <v>0</v>
      </c>
      <c r="L202" s="71">
        <f t="shared" si="3"/>
        <v>0</v>
      </c>
      <c r="M202" s="5"/>
    </row>
    <row r="203" spans="1:13" ht="18.75" x14ac:dyDescent="0.2">
      <c r="A203" s="1">
        <v>171</v>
      </c>
      <c r="B203" s="66"/>
      <c r="C203" s="1"/>
      <c r="D203" s="1"/>
      <c r="E203" s="1" t="s">
        <v>87</v>
      </c>
      <c r="F203" s="93"/>
      <c r="G203" s="1"/>
      <c r="H203" s="60">
        <v>22.23</v>
      </c>
      <c r="I203" s="9">
        <v>1.6</v>
      </c>
      <c r="J203" s="1">
        <v>880</v>
      </c>
      <c r="K203" s="72">
        <v>0</v>
      </c>
      <c r="L203" s="71">
        <f t="shared" si="3"/>
        <v>0</v>
      </c>
      <c r="M203" s="5"/>
    </row>
    <row r="204" spans="1:13" ht="18.75" x14ac:dyDescent="0.2">
      <c r="A204" s="75">
        <v>172</v>
      </c>
      <c r="B204" s="66"/>
      <c r="C204" s="1"/>
      <c r="D204" s="1"/>
      <c r="E204" s="1" t="s">
        <v>87</v>
      </c>
      <c r="F204" s="93"/>
      <c r="G204" s="1"/>
      <c r="H204" s="60">
        <v>22.23</v>
      </c>
      <c r="I204" s="9">
        <v>1.6</v>
      </c>
      <c r="J204" s="1">
        <v>740</v>
      </c>
      <c r="K204" s="72">
        <v>0</v>
      </c>
      <c r="L204" s="71">
        <f t="shared" si="3"/>
        <v>0</v>
      </c>
      <c r="M204" s="5"/>
    </row>
    <row r="205" spans="1:13" ht="18.75" x14ac:dyDescent="0.2">
      <c r="A205" s="1">
        <v>174</v>
      </c>
      <c r="B205" s="64" t="s">
        <v>15</v>
      </c>
      <c r="C205" s="1"/>
      <c r="D205" s="2" t="s">
        <v>41</v>
      </c>
      <c r="E205" s="1" t="s">
        <v>87</v>
      </c>
      <c r="F205" s="93"/>
      <c r="G205" s="1">
        <v>0</v>
      </c>
      <c r="H205" s="61">
        <v>22.23</v>
      </c>
      <c r="I205" s="4">
        <v>1.6</v>
      </c>
      <c r="J205" s="4">
        <v>401</v>
      </c>
      <c r="K205" s="72">
        <v>0</v>
      </c>
      <c r="L205" s="71">
        <f t="shared" si="3"/>
        <v>0</v>
      </c>
      <c r="M205" s="5"/>
    </row>
    <row r="206" spans="1:13" ht="18.75" x14ac:dyDescent="0.2">
      <c r="A206" s="1">
        <v>175</v>
      </c>
      <c r="B206" s="66" t="s">
        <v>26</v>
      </c>
      <c r="C206" s="1"/>
      <c r="D206" s="1" t="s">
        <v>37</v>
      </c>
      <c r="E206" s="1" t="s">
        <v>87</v>
      </c>
      <c r="F206" s="93"/>
      <c r="G206" s="8"/>
      <c r="H206" s="62">
        <v>22.23</v>
      </c>
      <c r="I206" s="3">
        <v>1.6</v>
      </c>
      <c r="J206" s="1">
        <v>283</v>
      </c>
      <c r="K206" s="72">
        <v>0</v>
      </c>
      <c r="L206" s="71">
        <f t="shared" si="3"/>
        <v>0</v>
      </c>
      <c r="M206" s="20"/>
    </row>
    <row r="207" spans="1:13" ht="18.75" x14ac:dyDescent="0.2">
      <c r="A207" s="75">
        <v>176</v>
      </c>
      <c r="B207" s="64" t="s">
        <v>77</v>
      </c>
      <c r="C207" s="1"/>
      <c r="D207" s="2"/>
      <c r="E207" s="2">
        <v>3701572</v>
      </c>
      <c r="F207" s="93"/>
      <c r="G207" s="1"/>
      <c r="H207" s="61">
        <v>22.23</v>
      </c>
      <c r="I207" s="4">
        <v>1.2</v>
      </c>
      <c r="J207" s="4">
        <v>1328</v>
      </c>
      <c r="K207" s="72">
        <v>0</v>
      </c>
      <c r="L207" s="71">
        <f t="shared" si="3"/>
        <v>0</v>
      </c>
      <c r="M207" s="5"/>
    </row>
    <row r="208" spans="1:13" ht="18.75" x14ac:dyDescent="0.2">
      <c r="A208" s="75">
        <v>177</v>
      </c>
      <c r="B208" s="70"/>
      <c r="C208" s="19"/>
      <c r="D208" s="19" t="s">
        <v>37</v>
      </c>
      <c r="E208" s="19"/>
      <c r="F208" s="93"/>
      <c r="G208" s="19">
        <v>6</v>
      </c>
      <c r="H208" s="58">
        <v>22.23</v>
      </c>
      <c r="I208" s="19">
        <v>1.2</v>
      </c>
      <c r="J208" s="19">
        <v>1308</v>
      </c>
      <c r="K208" s="72">
        <v>0</v>
      </c>
      <c r="L208" s="71">
        <f t="shared" si="3"/>
        <v>0</v>
      </c>
      <c r="M208" s="19"/>
    </row>
    <row r="209" spans="1:13" ht="18.75" x14ac:dyDescent="0.2">
      <c r="A209" s="1">
        <v>178</v>
      </c>
      <c r="B209" s="70" t="s">
        <v>97</v>
      </c>
      <c r="C209" s="19"/>
      <c r="D209" s="19" t="s">
        <v>37</v>
      </c>
      <c r="E209" s="19"/>
      <c r="F209" s="93"/>
      <c r="G209" s="1">
        <v>3</v>
      </c>
      <c r="H209" s="58">
        <v>22.23</v>
      </c>
      <c r="I209" s="19">
        <v>1.2</v>
      </c>
      <c r="J209" s="19">
        <v>1162</v>
      </c>
      <c r="K209" s="72">
        <v>0</v>
      </c>
      <c r="L209" s="71">
        <f t="shared" si="3"/>
        <v>0</v>
      </c>
      <c r="M209" s="19"/>
    </row>
    <row r="210" spans="1:13" ht="18.75" x14ac:dyDescent="0.2">
      <c r="A210" s="1">
        <v>179</v>
      </c>
      <c r="B210" s="70"/>
      <c r="C210" s="19"/>
      <c r="D210" s="19"/>
      <c r="E210" s="19"/>
      <c r="F210" s="93"/>
      <c r="G210" s="19">
        <v>0</v>
      </c>
      <c r="H210" s="58">
        <v>22.23</v>
      </c>
      <c r="I210" s="19">
        <v>1.2</v>
      </c>
      <c r="J210" s="19">
        <v>681</v>
      </c>
      <c r="K210" s="72">
        <v>0</v>
      </c>
      <c r="L210" s="71">
        <f t="shared" si="3"/>
        <v>0</v>
      </c>
      <c r="M210" s="19"/>
    </row>
    <row r="211" spans="1:13" ht="18.75" x14ac:dyDescent="0.2">
      <c r="A211" s="75">
        <v>181</v>
      </c>
      <c r="B211" s="70"/>
      <c r="C211" s="19"/>
      <c r="D211" s="19"/>
      <c r="E211" s="19"/>
      <c r="F211" s="93"/>
      <c r="G211" s="19"/>
      <c r="H211" s="58">
        <v>22.23</v>
      </c>
      <c r="I211" s="19">
        <v>1.2</v>
      </c>
      <c r="J211" s="19">
        <v>140</v>
      </c>
      <c r="K211" s="72">
        <v>0</v>
      </c>
      <c r="L211" s="71">
        <f t="shared" si="3"/>
        <v>0</v>
      </c>
      <c r="M211" s="19"/>
    </row>
    <row r="212" spans="1:13" ht="18.75" x14ac:dyDescent="0.2">
      <c r="A212" s="1">
        <v>183</v>
      </c>
      <c r="B212" s="66"/>
      <c r="C212" s="1"/>
      <c r="D212" s="1"/>
      <c r="E212" s="1" t="s">
        <v>88</v>
      </c>
      <c r="F212" s="93"/>
      <c r="G212" s="7"/>
      <c r="H212" s="60">
        <v>22.2</v>
      </c>
      <c r="I212" s="9">
        <v>2</v>
      </c>
      <c r="J212" s="1">
        <v>1385</v>
      </c>
      <c r="K212" s="72">
        <v>0</v>
      </c>
      <c r="L212" s="71">
        <f t="shared" si="3"/>
        <v>0</v>
      </c>
      <c r="M212" s="20"/>
    </row>
    <row r="213" spans="1:13" ht="18.75" x14ac:dyDescent="0.2">
      <c r="A213" s="75">
        <v>185</v>
      </c>
      <c r="B213" s="66" t="s">
        <v>26</v>
      </c>
      <c r="C213" s="1"/>
      <c r="D213" s="1" t="s">
        <v>37</v>
      </c>
      <c r="E213" s="1" t="s">
        <v>87</v>
      </c>
      <c r="F213" s="93"/>
      <c r="G213" s="1"/>
      <c r="H213" s="60">
        <v>22.2</v>
      </c>
      <c r="I213" s="9">
        <v>1.6</v>
      </c>
      <c r="J213" s="1">
        <v>1338</v>
      </c>
      <c r="K213" s="72">
        <v>0</v>
      </c>
      <c r="L213" s="71">
        <f t="shared" si="3"/>
        <v>0</v>
      </c>
      <c r="M213" s="5"/>
    </row>
    <row r="214" spans="1:13" ht="18.75" x14ac:dyDescent="0.2">
      <c r="A214" s="1">
        <v>186</v>
      </c>
      <c r="B214" s="66"/>
      <c r="C214" s="1"/>
      <c r="D214" s="1"/>
      <c r="E214" s="1" t="s">
        <v>87</v>
      </c>
      <c r="F214" s="93"/>
      <c r="G214" s="8"/>
      <c r="H214" s="60">
        <v>22.2</v>
      </c>
      <c r="I214" s="9">
        <v>1.6</v>
      </c>
      <c r="J214" s="1">
        <v>1304</v>
      </c>
      <c r="K214" s="72">
        <v>0</v>
      </c>
      <c r="L214" s="71">
        <f t="shared" si="3"/>
        <v>0</v>
      </c>
      <c r="M214" s="20"/>
    </row>
    <row r="215" spans="1:13" ht="18.75" x14ac:dyDescent="0.2">
      <c r="A215" s="1">
        <v>187</v>
      </c>
      <c r="B215" s="66"/>
      <c r="C215" s="1"/>
      <c r="D215" s="1"/>
      <c r="E215" s="1" t="s">
        <v>87</v>
      </c>
      <c r="F215" s="93"/>
      <c r="G215" s="1"/>
      <c r="H215" s="60">
        <v>22.2</v>
      </c>
      <c r="I215" s="9">
        <v>1.6</v>
      </c>
      <c r="J215" s="1">
        <v>967</v>
      </c>
      <c r="K215" s="72">
        <v>0</v>
      </c>
      <c r="L215" s="71">
        <f t="shared" si="3"/>
        <v>0</v>
      </c>
      <c r="M215" s="5"/>
    </row>
    <row r="216" spans="1:13" ht="18.75" x14ac:dyDescent="0.2">
      <c r="A216" s="75">
        <v>188</v>
      </c>
      <c r="B216" s="66"/>
      <c r="C216" s="1"/>
      <c r="D216" s="1" t="s">
        <v>37</v>
      </c>
      <c r="E216" s="1" t="s">
        <v>87</v>
      </c>
      <c r="F216" s="93"/>
      <c r="G216" s="1"/>
      <c r="H216" s="60">
        <v>22.2</v>
      </c>
      <c r="I216" s="9">
        <v>1.6</v>
      </c>
      <c r="J216" s="1">
        <v>849</v>
      </c>
      <c r="K216" s="72">
        <v>0</v>
      </c>
      <c r="L216" s="71">
        <f t="shared" si="3"/>
        <v>0</v>
      </c>
      <c r="M216" s="5"/>
    </row>
    <row r="217" spans="1:13" ht="18.75" x14ac:dyDescent="0.2">
      <c r="A217" s="75">
        <v>189</v>
      </c>
      <c r="B217" s="66" t="s">
        <v>26</v>
      </c>
      <c r="C217" s="1"/>
      <c r="D217" s="1" t="s">
        <v>37</v>
      </c>
      <c r="E217" s="1" t="s">
        <v>87</v>
      </c>
      <c r="F217" s="93"/>
      <c r="G217" s="8"/>
      <c r="H217" s="60">
        <v>22.2</v>
      </c>
      <c r="I217" s="9">
        <v>1.6</v>
      </c>
      <c r="J217" s="1">
        <v>700</v>
      </c>
      <c r="K217" s="72">
        <v>0</v>
      </c>
      <c r="L217" s="71">
        <f t="shared" si="3"/>
        <v>0</v>
      </c>
      <c r="M217" s="20"/>
    </row>
    <row r="218" spans="1:13" ht="18.75" x14ac:dyDescent="0.2">
      <c r="A218" s="1">
        <v>190</v>
      </c>
      <c r="B218" s="64" t="s">
        <v>16</v>
      </c>
      <c r="C218" s="1"/>
      <c r="D218" s="2" t="s">
        <v>36</v>
      </c>
      <c r="E218" s="2">
        <v>3929592</v>
      </c>
      <c r="F218" s="93"/>
      <c r="G218" s="1"/>
      <c r="H218" s="61">
        <v>21.4</v>
      </c>
      <c r="I218" s="4">
        <v>2</v>
      </c>
      <c r="J218" s="4">
        <v>426</v>
      </c>
      <c r="K218" s="72">
        <v>0</v>
      </c>
      <c r="L218" s="71">
        <f t="shared" si="3"/>
        <v>0</v>
      </c>
      <c r="M218" s="5"/>
    </row>
    <row r="219" spans="1:13" ht="18.75" x14ac:dyDescent="0.2">
      <c r="A219" s="75">
        <v>192</v>
      </c>
      <c r="B219" s="66" t="s">
        <v>26</v>
      </c>
      <c r="C219" s="1"/>
      <c r="D219" s="1" t="s">
        <v>37</v>
      </c>
      <c r="E219" s="1"/>
      <c r="F219" s="93"/>
      <c r="G219" s="1"/>
      <c r="H219" s="60">
        <v>19.5</v>
      </c>
      <c r="I219" s="9">
        <v>2.2999999999999998</v>
      </c>
      <c r="J219" s="1">
        <v>210</v>
      </c>
      <c r="K219" s="72">
        <v>0</v>
      </c>
      <c r="L219" s="71">
        <f t="shared" si="3"/>
        <v>0</v>
      </c>
      <c r="M219" s="5"/>
    </row>
    <row r="220" spans="1:13" ht="18.75" x14ac:dyDescent="0.2">
      <c r="A220" s="75">
        <v>193</v>
      </c>
      <c r="B220" s="66" t="s">
        <v>56</v>
      </c>
      <c r="C220" s="1"/>
      <c r="D220" s="1"/>
      <c r="E220" s="1" t="s">
        <v>85</v>
      </c>
      <c r="F220" s="93"/>
      <c r="G220" s="1"/>
      <c r="H220" s="58">
        <v>19.05</v>
      </c>
      <c r="I220" s="1">
        <v>2.2999999999999998</v>
      </c>
      <c r="J220" s="1">
        <v>1000</v>
      </c>
      <c r="K220" s="72">
        <v>0</v>
      </c>
      <c r="L220" s="71">
        <f t="shared" si="3"/>
        <v>0</v>
      </c>
      <c r="M220" s="5"/>
    </row>
    <row r="221" spans="1:13" ht="18.75" x14ac:dyDescent="0.2">
      <c r="A221" s="1">
        <v>194</v>
      </c>
      <c r="B221" s="66" t="s">
        <v>50</v>
      </c>
      <c r="C221" s="1"/>
      <c r="D221" s="1" t="s">
        <v>41</v>
      </c>
      <c r="E221" s="1" t="s">
        <v>85</v>
      </c>
      <c r="F221" s="93"/>
      <c r="G221" s="1">
        <v>0</v>
      </c>
      <c r="H221" s="58">
        <v>19.05</v>
      </c>
      <c r="I221" s="1">
        <v>2.2999999999999998</v>
      </c>
      <c r="J221" s="1">
        <v>554</v>
      </c>
      <c r="K221" s="72">
        <v>0</v>
      </c>
      <c r="L221" s="71">
        <f t="shared" si="3"/>
        <v>0</v>
      </c>
      <c r="M221" s="5"/>
    </row>
    <row r="222" spans="1:13" ht="18.75" x14ac:dyDescent="0.2">
      <c r="A222" s="1">
        <v>195</v>
      </c>
      <c r="B222" s="65" t="s">
        <v>78</v>
      </c>
      <c r="C222" s="3"/>
      <c r="D222" s="2" t="s">
        <v>37</v>
      </c>
      <c r="E222" s="1" t="s">
        <v>85</v>
      </c>
      <c r="F222" s="93"/>
      <c r="G222" s="4">
        <v>15</v>
      </c>
      <c r="H222" s="61">
        <v>19.05</v>
      </c>
      <c r="I222" s="4">
        <v>2.2999999999999998</v>
      </c>
      <c r="J222" s="4">
        <v>394</v>
      </c>
      <c r="K222" s="72">
        <v>0</v>
      </c>
      <c r="L222" s="71">
        <f t="shared" si="3"/>
        <v>0</v>
      </c>
      <c r="M222" s="5"/>
    </row>
    <row r="223" spans="1:13" ht="18.75" x14ac:dyDescent="0.2">
      <c r="A223" s="1">
        <v>198</v>
      </c>
      <c r="B223" s="66"/>
      <c r="C223" s="1"/>
      <c r="D223" s="1"/>
      <c r="E223" s="1" t="s">
        <v>85</v>
      </c>
      <c r="F223" s="93"/>
      <c r="G223" s="8"/>
      <c r="H223" s="60">
        <v>19.05</v>
      </c>
      <c r="I223" s="9">
        <v>2.2999999999999998</v>
      </c>
      <c r="J223" s="1">
        <v>0</v>
      </c>
      <c r="K223" s="72">
        <v>0</v>
      </c>
      <c r="L223" s="71">
        <f t="shared" si="3"/>
        <v>0</v>
      </c>
      <c r="M223" s="5"/>
    </row>
    <row r="224" spans="1:13" ht="18.75" x14ac:dyDescent="0.2">
      <c r="A224" s="1">
        <v>199</v>
      </c>
      <c r="B224" s="66"/>
      <c r="C224" s="1"/>
      <c r="D224" s="1"/>
      <c r="E224" s="1" t="s">
        <v>86</v>
      </c>
      <c r="F224" s="93"/>
      <c r="G224" s="1"/>
      <c r="H224" s="58">
        <v>19.05</v>
      </c>
      <c r="I224" s="1">
        <v>2</v>
      </c>
      <c r="J224" s="1">
        <v>820</v>
      </c>
      <c r="K224" s="72">
        <v>0</v>
      </c>
      <c r="L224" s="71">
        <f t="shared" si="3"/>
        <v>0</v>
      </c>
      <c r="M224" s="20"/>
    </row>
    <row r="225" spans="1:13" ht="18.75" x14ac:dyDescent="0.2">
      <c r="A225" s="75">
        <v>200</v>
      </c>
      <c r="B225" s="66" t="s">
        <v>26</v>
      </c>
      <c r="C225" s="1"/>
      <c r="D225" s="1" t="s">
        <v>37</v>
      </c>
      <c r="E225" s="1" t="s">
        <v>86</v>
      </c>
      <c r="F225" s="93"/>
      <c r="G225" s="8"/>
      <c r="H225" s="60">
        <v>19.05</v>
      </c>
      <c r="I225" s="9">
        <v>2</v>
      </c>
      <c r="J225" s="1">
        <v>815</v>
      </c>
      <c r="K225" s="72">
        <v>0</v>
      </c>
      <c r="L225" s="71">
        <f t="shared" si="3"/>
        <v>0</v>
      </c>
      <c r="M225" s="20"/>
    </row>
    <row r="226" spans="1:13" ht="18.75" x14ac:dyDescent="0.2">
      <c r="A226" s="75">
        <v>201</v>
      </c>
      <c r="B226" s="66" t="s">
        <v>26</v>
      </c>
      <c r="C226" s="1"/>
      <c r="D226" s="1" t="s">
        <v>37</v>
      </c>
      <c r="E226" s="1" t="s">
        <v>86</v>
      </c>
      <c r="F226" s="93"/>
      <c r="G226" s="8"/>
      <c r="H226" s="60">
        <v>19.05</v>
      </c>
      <c r="I226" s="9">
        <v>2</v>
      </c>
      <c r="J226" s="1">
        <v>104</v>
      </c>
      <c r="K226" s="72">
        <v>0</v>
      </c>
      <c r="L226" s="71">
        <f t="shared" si="3"/>
        <v>0</v>
      </c>
      <c r="M226" s="20"/>
    </row>
    <row r="227" spans="1:13" ht="18.75" x14ac:dyDescent="0.2">
      <c r="A227" s="1">
        <v>202</v>
      </c>
      <c r="B227" s="66" t="s">
        <v>26</v>
      </c>
      <c r="C227" s="1"/>
      <c r="D227" s="1" t="s">
        <v>37</v>
      </c>
      <c r="E227" s="1">
        <v>3929586</v>
      </c>
      <c r="F227" s="93"/>
      <c r="G227" s="8"/>
      <c r="H227" s="60">
        <v>19.05</v>
      </c>
      <c r="I227" s="9">
        <v>1.6</v>
      </c>
      <c r="J227" s="1">
        <v>610</v>
      </c>
      <c r="K227" s="72">
        <v>0</v>
      </c>
      <c r="L227" s="71">
        <f t="shared" si="3"/>
        <v>0</v>
      </c>
      <c r="M227" s="20"/>
    </row>
    <row r="228" spans="1:13" ht="18.75" x14ac:dyDescent="0.2">
      <c r="A228" s="1">
        <v>203</v>
      </c>
      <c r="B228" s="64" t="s">
        <v>77</v>
      </c>
      <c r="C228" s="1"/>
      <c r="D228" s="2"/>
      <c r="E228" s="2">
        <v>3929586</v>
      </c>
      <c r="F228" s="93"/>
      <c r="G228" s="1"/>
      <c r="H228" s="61">
        <v>19.05</v>
      </c>
      <c r="I228" s="4">
        <v>1.6</v>
      </c>
      <c r="J228" s="4">
        <v>595</v>
      </c>
      <c r="K228" s="72">
        <v>0</v>
      </c>
      <c r="L228" s="71">
        <f t="shared" si="3"/>
        <v>0</v>
      </c>
      <c r="M228" s="5"/>
    </row>
    <row r="229" spans="1:13" ht="18.75" x14ac:dyDescent="0.2">
      <c r="A229" s="75">
        <v>204</v>
      </c>
      <c r="B229" s="64" t="s">
        <v>16</v>
      </c>
      <c r="C229" s="1"/>
      <c r="D229" s="2" t="s">
        <v>36</v>
      </c>
      <c r="E229" s="2">
        <v>3929586</v>
      </c>
      <c r="F229" s="93"/>
      <c r="G229" s="1"/>
      <c r="H229" s="61">
        <v>19.05</v>
      </c>
      <c r="I229" s="4">
        <v>1.6</v>
      </c>
      <c r="J229" s="4">
        <v>263</v>
      </c>
      <c r="K229" s="72">
        <v>0</v>
      </c>
      <c r="L229" s="71">
        <f t="shared" si="3"/>
        <v>0</v>
      </c>
      <c r="M229" s="5"/>
    </row>
    <row r="230" spans="1:13" ht="18.75" x14ac:dyDescent="0.2">
      <c r="A230" s="75">
        <v>205</v>
      </c>
      <c r="B230" s="64" t="s">
        <v>16</v>
      </c>
      <c r="C230" s="1"/>
      <c r="D230" s="2" t="s">
        <v>36</v>
      </c>
      <c r="E230" s="2">
        <v>3929586</v>
      </c>
      <c r="F230" s="93"/>
      <c r="G230" s="1">
        <v>24</v>
      </c>
      <c r="H230" s="61">
        <v>19.05</v>
      </c>
      <c r="I230" s="4">
        <v>1.6</v>
      </c>
      <c r="J230" s="4">
        <v>250</v>
      </c>
      <c r="K230" s="72">
        <v>0</v>
      </c>
      <c r="L230" s="71">
        <f t="shared" si="3"/>
        <v>0</v>
      </c>
      <c r="M230" s="5"/>
    </row>
    <row r="231" spans="1:13" ht="18.75" x14ac:dyDescent="0.2">
      <c r="A231" s="1">
        <v>206</v>
      </c>
      <c r="B231" s="65" t="s">
        <v>67</v>
      </c>
      <c r="C231" s="3" t="s">
        <v>68</v>
      </c>
      <c r="D231" s="2" t="s">
        <v>38</v>
      </c>
      <c r="E231" s="2">
        <v>3702088</v>
      </c>
      <c r="F231" s="93"/>
      <c r="G231" s="4"/>
      <c r="H231" s="61">
        <v>19.05</v>
      </c>
      <c r="I231" s="4">
        <v>1.2</v>
      </c>
      <c r="J231" s="4">
        <v>1275</v>
      </c>
      <c r="K231" s="72">
        <v>0</v>
      </c>
      <c r="L231" s="71">
        <f t="shared" si="3"/>
        <v>0</v>
      </c>
      <c r="M231" s="5"/>
    </row>
    <row r="232" spans="1:13" ht="18.75" x14ac:dyDescent="0.2">
      <c r="A232" s="1">
        <v>207</v>
      </c>
      <c r="B232" s="70" t="s">
        <v>95</v>
      </c>
      <c r="C232" s="19"/>
      <c r="D232" s="19" t="s">
        <v>96</v>
      </c>
      <c r="E232" s="2">
        <v>3702088</v>
      </c>
      <c r="F232" s="93"/>
      <c r="G232" s="1"/>
      <c r="H232" s="58">
        <v>19.05</v>
      </c>
      <c r="I232" s="19">
        <v>1.2</v>
      </c>
      <c r="J232" s="19">
        <v>1275</v>
      </c>
      <c r="K232" s="72">
        <v>0</v>
      </c>
      <c r="L232" s="71">
        <f t="shared" si="3"/>
        <v>0</v>
      </c>
      <c r="M232" s="19"/>
    </row>
    <row r="233" spans="1:13" ht="18.75" x14ac:dyDescent="0.2">
      <c r="A233" s="75">
        <v>208</v>
      </c>
      <c r="B233" s="70" t="s">
        <v>95</v>
      </c>
      <c r="C233" s="19"/>
      <c r="D233" s="19" t="s">
        <v>96</v>
      </c>
      <c r="E233" s="2">
        <v>3702088</v>
      </c>
      <c r="F233" s="93"/>
      <c r="G233" s="1"/>
      <c r="H233" s="58">
        <v>19.05</v>
      </c>
      <c r="I233" s="19">
        <v>1.2</v>
      </c>
      <c r="J233" s="19">
        <v>1130</v>
      </c>
      <c r="K233" s="72">
        <v>0</v>
      </c>
      <c r="L233" s="71">
        <f t="shared" si="3"/>
        <v>0</v>
      </c>
      <c r="M233" s="19"/>
    </row>
    <row r="234" spans="1:13" ht="18.75" x14ac:dyDescent="0.2">
      <c r="A234" s="75">
        <v>209</v>
      </c>
      <c r="B234" s="83" t="s">
        <v>67</v>
      </c>
      <c r="C234" s="83" t="s">
        <v>68</v>
      </c>
      <c r="D234" s="80" t="s">
        <v>38</v>
      </c>
      <c r="E234" s="7">
        <v>3229740</v>
      </c>
      <c r="F234" s="93"/>
      <c r="G234" s="81"/>
      <c r="H234" s="81">
        <v>19.05</v>
      </c>
      <c r="I234" s="81">
        <v>1.2</v>
      </c>
      <c r="J234" s="81">
        <v>1075</v>
      </c>
      <c r="K234" s="77">
        <v>0</v>
      </c>
      <c r="L234" s="78">
        <f t="shared" si="3"/>
        <v>0</v>
      </c>
      <c r="M234" s="94"/>
    </row>
    <row r="235" spans="1:13" ht="18.75" x14ac:dyDescent="0.2">
      <c r="A235" s="1">
        <v>210</v>
      </c>
      <c r="B235" s="65" t="s">
        <v>62</v>
      </c>
      <c r="C235" s="3" t="s">
        <v>68</v>
      </c>
      <c r="D235" s="2" t="s">
        <v>61</v>
      </c>
      <c r="E235" s="2">
        <v>3702088</v>
      </c>
      <c r="F235" s="93"/>
      <c r="G235" s="4"/>
      <c r="H235" s="61">
        <v>19.05</v>
      </c>
      <c r="I235" s="4">
        <v>1.2</v>
      </c>
      <c r="J235" s="4">
        <v>650</v>
      </c>
      <c r="K235" s="72">
        <v>0</v>
      </c>
      <c r="L235" s="71">
        <f t="shared" si="3"/>
        <v>0</v>
      </c>
      <c r="M235" s="5"/>
    </row>
    <row r="236" spans="1:13" ht="18.75" x14ac:dyDescent="0.2">
      <c r="A236" s="1">
        <v>211</v>
      </c>
      <c r="B236" s="65" t="s">
        <v>67</v>
      </c>
      <c r="C236" s="3" t="s">
        <v>68</v>
      </c>
      <c r="D236" s="2" t="s">
        <v>38</v>
      </c>
      <c r="E236" s="2">
        <v>3702088</v>
      </c>
      <c r="F236" s="93"/>
      <c r="G236" s="4">
        <v>0</v>
      </c>
      <c r="H236" s="61">
        <v>19.05</v>
      </c>
      <c r="I236" s="4">
        <v>1.2</v>
      </c>
      <c r="J236" s="4">
        <v>513</v>
      </c>
      <c r="K236" s="72">
        <v>0</v>
      </c>
      <c r="L236" s="71">
        <f t="shared" si="3"/>
        <v>0</v>
      </c>
      <c r="M236" s="5"/>
    </row>
    <row r="237" spans="1:13" ht="18.75" x14ac:dyDescent="0.2">
      <c r="A237" s="75">
        <v>212</v>
      </c>
      <c r="B237" s="65" t="s">
        <v>67</v>
      </c>
      <c r="C237" s="3" t="s">
        <v>68</v>
      </c>
      <c r="D237" s="2" t="s">
        <v>38</v>
      </c>
      <c r="E237" s="2">
        <v>3702088</v>
      </c>
      <c r="F237" s="93"/>
      <c r="G237" s="4"/>
      <c r="H237" s="61">
        <v>19.05</v>
      </c>
      <c r="I237" s="4">
        <v>1.2</v>
      </c>
      <c r="J237" s="4">
        <v>330</v>
      </c>
      <c r="K237" s="72">
        <v>0</v>
      </c>
      <c r="L237" s="71">
        <f t="shared" si="3"/>
        <v>0</v>
      </c>
      <c r="M237" s="5"/>
    </row>
    <row r="238" spans="1:13" ht="18.75" x14ac:dyDescent="0.2">
      <c r="A238" s="75">
        <v>213</v>
      </c>
      <c r="B238" s="70" t="s">
        <v>95</v>
      </c>
      <c r="C238" s="19"/>
      <c r="D238" s="19" t="s">
        <v>96</v>
      </c>
      <c r="E238" s="2">
        <v>3702088</v>
      </c>
      <c r="F238" s="93"/>
      <c r="G238" s="1"/>
      <c r="H238" s="58">
        <v>19.05</v>
      </c>
      <c r="I238" s="19">
        <v>1.2</v>
      </c>
      <c r="J238" s="19">
        <v>330</v>
      </c>
      <c r="K238" s="72">
        <v>0</v>
      </c>
      <c r="L238" s="71">
        <f t="shared" si="3"/>
        <v>0</v>
      </c>
      <c r="M238" s="19"/>
    </row>
    <row r="239" spans="1:13" ht="18.75" x14ac:dyDescent="0.2">
      <c r="A239" s="1">
        <v>214</v>
      </c>
      <c r="B239" s="65" t="s">
        <v>67</v>
      </c>
      <c r="C239" s="3" t="s">
        <v>68</v>
      </c>
      <c r="D239" s="2" t="s">
        <v>38</v>
      </c>
      <c r="E239" s="2">
        <v>3702088</v>
      </c>
      <c r="F239" s="93"/>
      <c r="G239" s="4"/>
      <c r="H239" s="61">
        <v>19.05</v>
      </c>
      <c r="I239" s="4">
        <v>1.2</v>
      </c>
      <c r="J239" s="4">
        <v>109</v>
      </c>
      <c r="K239" s="72">
        <v>0</v>
      </c>
      <c r="L239" s="71">
        <f t="shared" si="3"/>
        <v>0</v>
      </c>
      <c r="M239" s="5"/>
    </row>
    <row r="240" spans="1:13" ht="18.75" x14ac:dyDescent="0.2">
      <c r="A240" s="75">
        <v>216</v>
      </c>
      <c r="B240" s="66" t="s">
        <v>18</v>
      </c>
      <c r="C240" s="1"/>
      <c r="D240" s="1"/>
      <c r="E240" s="1" t="s">
        <v>84</v>
      </c>
      <c r="F240" s="93"/>
      <c r="G240" s="1"/>
      <c r="H240" s="58">
        <v>18.2</v>
      </c>
      <c r="I240" s="1">
        <v>1</v>
      </c>
      <c r="J240" s="1">
        <v>110</v>
      </c>
      <c r="K240" s="72">
        <v>0</v>
      </c>
      <c r="L240" s="71">
        <f t="shared" si="3"/>
        <v>0</v>
      </c>
      <c r="M240" s="20"/>
    </row>
    <row r="241" spans="1:13" ht="18.75" x14ac:dyDescent="0.2">
      <c r="A241" s="1">
        <v>219</v>
      </c>
      <c r="B241" s="66" t="s">
        <v>18</v>
      </c>
      <c r="C241" s="1" t="s">
        <v>51</v>
      </c>
      <c r="D241" s="1"/>
      <c r="E241" s="1">
        <v>1931824</v>
      </c>
      <c r="F241" s="93"/>
      <c r="G241" s="1">
        <v>180</v>
      </c>
      <c r="H241" s="58">
        <v>17.3</v>
      </c>
      <c r="I241" s="1">
        <v>1.2</v>
      </c>
      <c r="J241" s="1">
        <v>150</v>
      </c>
      <c r="K241" s="72">
        <v>0</v>
      </c>
      <c r="L241" s="71">
        <f t="shared" si="3"/>
        <v>0</v>
      </c>
      <c r="M241" s="20"/>
    </row>
    <row r="242" spans="1:13" ht="18.75" x14ac:dyDescent="0.2">
      <c r="A242" s="75">
        <v>221</v>
      </c>
      <c r="B242" s="67" t="s">
        <v>26</v>
      </c>
      <c r="C242" s="3"/>
      <c r="D242" s="2" t="s">
        <v>37</v>
      </c>
      <c r="E242" s="2"/>
      <c r="F242" s="93"/>
      <c r="G242" s="4"/>
      <c r="H242" s="61">
        <v>15.88</v>
      </c>
      <c r="I242" s="4">
        <v>2</v>
      </c>
      <c r="J242" s="4">
        <v>155</v>
      </c>
      <c r="K242" s="72">
        <v>0</v>
      </c>
      <c r="L242" s="71">
        <f t="shared" si="3"/>
        <v>0</v>
      </c>
      <c r="M242" s="5"/>
    </row>
    <row r="243" spans="1:13" ht="18.75" x14ac:dyDescent="0.2">
      <c r="A243" s="1">
        <v>222</v>
      </c>
      <c r="B243" s="65" t="s">
        <v>65</v>
      </c>
      <c r="C243" s="3">
        <v>3701579</v>
      </c>
      <c r="D243" s="2" t="s">
        <v>38</v>
      </c>
      <c r="E243" s="17">
        <v>3701579</v>
      </c>
      <c r="F243" s="93"/>
      <c r="G243" s="4">
        <v>33</v>
      </c>
      <c r="H243" s="61">
        <v>15.88</v>
      </c>
      <c r="I243" s="4">
        <v>1.2</v>
      </c>
      <c r="J243" s="4">
        <v>1310</v>
      </c>
      <c r="K243" s="72">
        <v>0</v>
      </c>
      <c r="L243" s="71">
        <f t="shared" si="3"/>
        <v>0</v>
      </c>
      <c r="M243" s="5"/>
    </row>
    <row r="244" spans="1:13" ht="18.75" x14ac:dyDescent="0.2">
      <c r="A244" s="1">
        <v>223</v>
      </c>
      <c r="B244" s="65" t="s">
        <v>65</v>
      </c>
      <c r="C244" s="3">
        <v>3701579</v>
      </c>
      <c r="D244" s="2" t="s">
        <v>38</v>
      </c>
      <c r="E244" s="17">
        <v>3701579</v>
      </c>
      <c r="F244" s="93"/>
      <c r="G244" s="4"/>
      <c r="H244" s="61">
        <v>15.88</v>
      </c>
      <c r="I244" s="4">
        <v>1.2</v>
      </c>
      <c r="J244" s="4">
        <v>1130</v>
      </c>
      <c r="K244" s="72">
        <v>0</v>
      </c>
      <c r="L244" s="71">
        <f t="shared" si="3"/>
        <v>0</v>
      </c>
      <c r="M244" s="5"/>
    </row>
    <row r="245" spans="1:13" ht="18.75" x14ac:dyDescent="0.2">
      <c r="A245" s="75">
        <v>224</v>
      </c>
      <c r="B245" s="65" t="s">
        <v>66</v>
      </c>
      <c r="C245" s="3">
        <v>3701579</v>
      </c>
      <c r="D245" s="2" t="s">
        <v>37</v>
      </c>
      <c r="E245" s="17">
        <v>3701579</v>
      </c>
      <c r="F245" s="93"/>
      <c r="G245" s="4"/>
      <c r="H245" s="61">
        <v>15.88</v>
      </c>
      <c r="I245" s="4">
        <v>1.2</v>
      </c>
      <c r="J245" s="4">
        <v>888</v>
      </c>
      <c r="K245" s="72">
        <v>0</v>
      </c>
      <c r="L245" s="71">
        <f t="shared" si="3"/>
        <v>0</v>
      </c>
      <c r="M245" s="5"/>
    </row>
    <row r="246" spans="1:13" ht="18.75" x14ac:dyDescent="0.2">
      <c r="A246" s="75">
        <v>225</v>
      </c>
      <c r="B246" s="67" t="s">
        <v>26</v>
      </c>
      <c r="C246" s="3" t="s">
        <v>68</v>
      </c>
      <c r="D246" s="2" t="s">
        <v>37</v>
      </c>
      <c r="E246" s="2"/>
      <c r="F246" s="93"/>
      <c r="G246" s="4"/>
      <c r="H246" s="61">
        <v>12.7</v>
      </c>
      <c r="I246" s="4">
        <v>1.6</v>
      </c>
      <c r="J246" s="4">
        <v>950</v>
      </c>
      <c r="K246" s="72">
        <v>0</v>
      </c>
      <c r="L246" s="71">
        <f t="shared" si="3"/>
        <v>0</v>
      </c>
      <c r="M246" s="5"/>
    </row>
    <row r="247" spans="1:13" ht="18.75" x14ac:dyDescent="0.2">
      <c r="A247" s="1">
        <v>226</v>
      </c>
      <c r="B247" s="66"/>
      <c r="C247" s="1"/>
      <c r="D247" s="1" t="s">
        <v>36</v>
      </c>
      <c r="E247" s="1">
        <v>3929624</v>
      </c>
      <c r="F247" s="93"/>
      <c r="G247" s="8"/>
      <c r="H247" s="60">
        <v>12.7</v>
      </c>
      <c r="I247" s="9">
        <v>1.6</v>
      </c>
      <c r="J247" s="1">
        <v>700</v>
      </c>
      <c r="K247" s="72">
        <v>0</v>
      </c>
      <c r="L247" s="71">
        <f t="shared" si="3"/>
        <v>0</v>
      </c>
      <c r="M247" s="20"/>
    </row>
    <row r="248" spans="1:13" ht="18.75" x14ac:dyDescent="0.2">
      <c r="A248" s="1">
        <v>227</v>
      </c>
      <c r="B248" s="67" t="s">
        <v>26</v>
      </c>
      <c r="C248" s="3" t="s">
        <v>68</v>
      </c>
      <c r="D248" s="2" t="s">
        <v>37</v>
      </c>
      <c r="E248" s="2"/>
      <c r="F248" s="93"/>
      <c r="G248" s="4"/>
      <c r="H248" s="61">
        <v>12.7</v>
      </c>
      <c r="I248" s="4">
        <v>1.6</v>
      </c>
      <c r="J248" s="4">
        <v>320</v>
      </c>
      <c r="K248" s="72">
        <v>0</v>
      </c>
      <c r="L248" s="71">
        <f t="shared" si="3"/>
        <v>0</v>
      </c>
      <c r="M248" s="5"/>
    </row>
    <row r="249" spans="1:13" ht="18.75" x14ac:dyDescent="0.2">
      <c r="A249" s="75">
        <v>229</v>
      </c>
      <c r="B249" s="67" t="s">
        <v>26</v>
      </c>
      <c r="C249" s="3" t="s">
        <v>68</v>
      </c>
      <c r="D249" s="2" t="s">
        <v>37</v>
      </c>
      <c r="E249" s="2"/>
      <c r="F249" s="93"/>
      <c r="G249" s="4"/>
      <c r="H249" s="61">
        <v>12.7</v>
      </c>
      <c r="I249" s="4">
        <v>1.6</v>
      </c>
      <c r="J249" s="4">
        <v>280</v>
      </c>
      <c r="K249" s="72">
        <v>0</v>
      </c>
      <c r="L249" s="71">
        <f t="shared" si="3"/>
        <v>0</v>
      </c>
      <c r="M249" s="5"/>
    </row>
    <row r="250" spans="1:13" ht="18.75" x14ac:dyDescent="0.2">
      <c r="A250" s="1">
        <v>230</v>
      </c>
      <c r="B250" s="67" t="s">
        <v>26</v>
      </c>
      <c r="C250" s="3" t="s">
        <v>68</v>
      </c>
      <c r="D250" s="2" t="s">
        <v>37</v>
      </c>
      <c r="E250" s="2"/>
      <c r="F250" s="93"/>
      <c r="G250" s="4"/>
      <c r="H250" s="61">
        <v>12.7</v>
      </c>
      <c r="I250" s="4">
        <v>1.6</v>
      </c>
      <c r="J250" s="4">
        <v>260</v>
      </c>
      <c r="K250" s="72">
        <v>0</v>
      </c>
      <c r="L250" s="71">
        <f t="shared" si="3"/>
        <v>0</v>
      </c>
      <c r="M250" s="5"/>
    </row>
    <row r="251" spans="1:13" ht="18.75" x14ac:dyDescent="0.2">
      <c r="A251" s="1">
        <v>231</v>
      </c>
      <c r="B251" s="67" t="s">
        <v>26</v>
      </c>
      <c r="C251" s="3" t="s">
        <v>68</v>
      </c>
      <c r="D251" s="2" t="s">
        <v>37</v>
      </c>
      <c r="E251" s="2"/>
      <c r="F251" s="93"/>
      <c r="G251" s="4"/>
      <c r="H251" s="61">
        <v>12.7</v>
      </c>
      <c r="I251" s="4">
        <v>1.6</v>
      </c>
      <c r="J251" s="4">
        <v>257</v>
      </c>
      <c r="K251" s="72">
        <v>0</v>
      </c>
      <c r="L251" s="71">
        <f t="shared" si="3"/>
        <v>0</v>
      </c>
      <c r="M251" s="5"/>
    </row>
    <row r="252" spans="1:13" ht="18.75" x14ac:dyDescent="0.2">
      <c r="A252" s="1">
        <v>234</v>
      </c>
      <c r="B252" s="64" t="s">
        <v>93</v>
      </c>
      <c r="C252" s="1"/>
      <c r="D252" s="2" t="s">
        <v>36</v>
      </c>
      <c r="E252" s="2">
        <v>3929624</v>
      </c>
      <c r="F252" s="93"/>
      <c r="G252" s="1">
        <v>33</v>
      </c>
      <c r="H252" s="61">
        <v>12.7</v>
      </c>
      <c r="I252" s="4">
        <v>1.5</v>
      </c>
      <c r="J252" s="4">
        <v>164</v>
      </c>
      <c r="K252" s="72">
        <v>0</v>
      </c>
      <c r="L252" s="71">
        <f t="shared" si="3"/>
        <v>0</v>
      </c>
      <c r="M252" s="5"/>
    </row>
    <row r="253" spans="1:13" ht="18.75" x14ac:dyDescent="0.2">
      <c r="A253" s="1">
        <v>235</v>
      </c>
      <c r="B253" s="70"/>
      <c r="C253" s="19" t="s">
        <v>58</v>
      </c>
      <c r="D253" s="19"/>
      <c r="E253" s="2">
        <v>3701585</v>
      </c>
      <c r="F253" s="93"/>
      <c r="G253" s="19"/>
      <c r="H253" s="58">
        <v>12.7</v>
      </c>
      <c r="I253" s="4">
        <v>1.2</v>
      </c>
      <c r="J253" s="4">
        <v>722</v>
      </c>
      <c r="K253" s="72">
        <v>0</v>
      </c>
      <c r="L253" s="71">
        <f t="shared" si="3"/>
        <v>0</v>
      </c>
      <c r="M253" s="19"/>
    </row>
    <row r="254" spans="1:13" ht="18.75" x14ac:dyDescent="0.2">
      <c r="A254" s="75">
        <v>236</v>
      </c>
      <c r="B254" s="67" t="s">
        <v>26</v>
      </c>
      <c r="C254" s="3" t="s">
        <v>68</v>
      </c>
      <c r="D254" s="2" t="s">
        <v>37</v>
      </c>
      <c r="E254" s="2"/>
      <c r="F254" s="93"/>
      <c r="G254" s="4"/>
      <c r="H254" s="61">
        <v>12.7</v>
      </c>
      <c r="I254" s="4">
        <v>1.2</v>
      </c>
      <c r="J254" s="4">
        <v>278</v>
      </c>
      <c r="K254" s="72">
        <v>0</v>
      </c>
      <c r="L254" s="71">
        <f t="shared" si="3"/>
        <v>0</v>
      </c>
      <c r="M254" s="5"/>
    </row>
    <row r="255" spans="1:13" ht="18.75" x14ac:dyDescent="0.2">
      <c r="A255" s="1">
        <v>238</v>
      </c>
      <c r="B255" s="70" t="s">
        <v>189</v>
      </c>
      <c r="C255" s="19" t="s">
        <v>190</v>
      </c>
      <c r="D255" s="1" t="s">
        <v>36</v>
      </c>
      <c r="E255" s="19"/>
      <c r="F255" s="93" t="s">
        <v>188</v>
      </c>
      <c r="G255" s="19"/>
      <c r="H255" s="58">
        <v>40</v>
      </c>
      <c r="I255" s="19">
        <v>1.6</v>
      </c>
      <c r="J255" s="19">
        <v>546</v>
      </c>
      <c r="K255" s="72">
        <v>0</v>
      </c>
      <c r="L255" s="71">
        <f t="shared" si="3"/>
        <v>0</v>
      </c>
    </row>
    <row r="256" spans="1:13" ht="18.75" x14ac:dyDescent="0.2">
      <c r="A256" s="1">
        <v>239</v>
      </c>
      <c r="B256" s="70"/>
      <c r="C256" s="19"/>
      <c r="D256" s="19"/>
      <c r="E256" s="19"/>
      <c r="F256" s="93"/>
      <c r="G256" s="19"/>
      <c r="H256" s="58">
        <v>34.93</v>
      </c>
      <c r="I256" s="19">
        <v>2.2999999999999998</v>
      </c>
      <c r="J256" s="19">
        <v>856</v>
      </c>
      <c r="K256" s="72">
        <v>0</v>
      </c>
      <c r="L256" s="71">
        <f t="shared" si="3"/>
        <v>0</v>
      </c>
    </row>
    <row r="257" spans="1:21" ht="18.75" x14ac:dyDescent="0.2">
      <c r="A257" s="1">
        <v>239</v>
      </c>
      <c r="B257" s="70"/>
      <c r="C257" s="19"/>
      <c r="D257" s="1" t="s">
        <v>36</v>
      </c>
      <c r="E257" s="19"/>
      <c r="F257" s="93"/>
      <c r="G257" s="19"/>
      <c r="H257" s="58">
        <v>25.4</v>
      </c>
      <c r="I257" s="19">
        <v>2</v>
      </c>
      <c r="J257" s="19">
        <v>473</v>
      </c>
      <c r="K257" s="72">
        <v>0</v>
      </c>
      <c r="L257" s="71">
        <f t="shared" si="3"/>
        <v>0</v>
      </c>
    </row>
    <row r="258" spans="1:21" ht="18.75" x14ac:dyDescent="0.2">
      <c r="A258" s="1"/>
      <c r="B258" s="70"/>
      <c r="C258" s="19"/>
      <c r="D258" s="1" t="s">
        <v>36</v>
      </c>
      <c r="E258" s="19"/>
      <c r="F258" s="93"/>
      <c r="G258" s="19"/>
      <c r="H258" s="58">
        <v>25.4</v>
      </c>
      <c r="I258" s="19">
        <v>2</v>
      </c>
      <c r="J258" s="19">
        <v>458</v>
      </c>
      <c r="K258" s="72">
        <v>0</v>
      </c>
      <c r="L258" s="71">
        <f t="shared" si="3"/>
        <v>0</v>
      </c>
    </row>
    <row r="259" spans="1:21" ht="18.75" x14ac:dyDescent="0.2">
      <c r="A259" s="1"/>
      <c r="B259" s="70" t="s">
        <v>93</v>
      </c>
      <c r="C259" s="19"/>
      <c r="D259" s="1" t="s">
        <v>36</v>
      </c>
      <c r="E259" s="19"/>
      <c r="F259" s="93"/>
      <c r="H259" s="58">
        <v>22.23</v>
      </c>
      <c r="I259" s="19">
        <v>2</v>
      </c>
      <c r="J259" s="19">
        <v>124</v>
      </c>
      <c r="K259" s="72">
        <v>0</v>
      </c>
      <c r="L259" s="71">
        <f t="shared" ref="L259:L322" si="4">(H259-I259)*I259*0.02465*J259*K259/1000/1000</f>
        <v>0</v>
      </c>
      <c r="M259" s="19"/>
    </row>
    <row r="260" spans="1:21" ht="18.75" x14ac:dyDescent="0.2">
      <c r="A260" s="1"/>
      <c r="B260" s="112" t="s">
        <v>193</v>
      </c>
      <c r="D260" t="s">
        <v>41</v>
      </c>
      <c r="F260" s="90"/>
      <c r="H260" s="58">
        <v>22.23</v>
      </c>
      <c r="I260" s="19">
        <v>2</v>
      </c>
      <c r="J260" s="19">
        <v>863</v>
      </c>
      <c r="K260" s="72">
        <v>0</v>
      </c>
      <c r="L260" s="71">
        <f t="shared" si="4"/>
        <v>0</v>
      </c>
    </row>
    <row r="261" spans="1:21" ht="18.75" x14ac:dyDescent="0.2">
      <c r="A261" s="1"/>
      <c r="B261" s="112" t="s">
        <v>93</v>
      </c>
      <c r="D261" t="s">
        <v>36</v>
      </c>
      <c r="F261" s="90"/>
      <c r="H261" s="58">
        <v>22.23</v>
      </c>
      <c r="I261" s="19">
        <v>2</v>
      </c>
      <c r="J261" s="19">
        <v>178</v>
      </c>
      <c r="K261" s="72">
        <v>0</v>
      </c>
      <c r="L261" s="71">
        <f t="shared" si="4"/>
        <v>0</v>
      </c>
      <c r="U261">
        <v>3000</v>
      </c>
    </row>
    <row r="262" spans="1:21" ht="18.75" x14ac:dyDescent="0.2">
      <c r="A262" s="1"/>
      <c r="B262" s="112" t="s">
        <v>16</v>
      </c>
      <c r="D262" t="s">
        <v>36</v>
      </c>
      <c r="F262" s="90"/>
      <c r="H262" s="116">
        <v>12.7</v>
      </c>
      <c r="I262" s="109">
        <v>1.6</v>
      </c>
      <c r="J262" s="109">
        <v>170.3</v>
      </c>
      <c r="K262" s="113">
        <v>0</v>
      </c>
      <c r="L262" s="71">
        <f t="shared" si="4"/>
        <v>0</v>
      </c>
    </row>
    <row r="263" spans="1:21" ht="18.75" x14ac:dyDescent="0.2">
      <c r="A263" s="75"/>
      <c r="B263" s="115"/>
      <c r="C263" s="6"/>
      <c r="D263" s="6" t="s">
        <v>198</v>
      </c>
      <c r="E263" s="114"/>
      <c r="F263" s="6"/>
      <c r="H263" s="120">
        <v>19.05</v>
      </c>
      <c r="I263" s="121">
        <v>2.2999999999999998</v>
      </c>
      <c r="J263" s="121">
        <v>600</v>
      </c>
      <c r="K263" s="122">
        <v>0</v>
      </c>
      <c r="L263" s="71">
        <f t="shared" si="4"/>
        <v>0</v>
      </c>
      <c r="M263" s="117"/>
    </row>
    <row r="264" spans="1:21" ht="18.75" x14ac:dyDescent="0.2">
      <c r="A264" s="1"/>
      <c r="B264" s="112"/>
      <c r="F264" s="90"/>
      <c r="H264" s="116">
        <v>38.1</v>
      </c>
      <c r="I264">
        <v>1.6</v>
      </c>
      <c r="J264">
        <v>812</v>
      </c>
      <c r="K264" s="122">
        <v>0</v>
      </c>
      <c r="L264" s="71">
        <f t="shared" si="4"/>
        <v>0</v>
      </c>
    </row>
    <row r="265" spans="1:21" x14ac:dyDescent="0.2">
      <c r="A265" s="1"/>
      <c r="F265" s="90"/>
    </row>
    <row r="266" spans="1:21" x14ac:dyDescent="0.2">
      <c r="A266" s="1"/>
      <c r="F266" s="90"/>
    </row>
    <row r="267" spans="1:21" x14ac:dyDescent="0.2">
      <c r="A267" s="1"/>
      <c r="F267" s="90"/>
    </row>
    <row r="268" spans="1:21" x14ac:dyDescent="0.2">
      <c r="A268" s="1"/>
      <c r="F268" s="90"/>
    </row>
    <row r="269" spans="1:21" x14ac:dyDescent="0.2">
      <c r="A269" s="1"/>
      <c r="F269" s="90"/>
      <c r="I269" t="s">
        <v>194</v>
      </c>
    </row>
    <row r="270" spans="1:21" x14ac:dyDescent="0.2">
      <c r="A270" s="1"/>
      <c r="F270" s="90"/>
    </row>
    <row r="271" spans="1:21" x14ac:dyDescent="0.2">
      <c r="A271" s="1"/>
      <c r="F271" s="90"/>
    </row>
  </sheetData>
  <autoFilter ref="A2:AC264" xr:uid="{00000000-0001-0000-0000-000000000000}">
    <sortState xmlns:xlrd2="http://schemas.microsoft.com/office/spreadsheetml/2017/richdata2" ref="A3:AC264">
      <sortCondition descending="1" ref="L2:L264"/>
    </sortState>
  </autoFilter>
  <sortState xmlns:xlrd2="http://schemas.microsoft.com/office/spreadsheetml/2017/richdata2" ref="A3:M257">
    <sortCondition descending="1" ref="L3:L257"/>
  </sortState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19"/>
  <sheetViews>
    <sheetView topLeftCell="A98" workbookViewId="0">
      <selection activeCell="J113" sqref="J113"/>
    </sheetView>
  </sheetViews>
  <sheetFormatPr defaultRowHeight="15" x14ac:dyDescent="0.2"/>
  <cols>
    <col min="1" max="1" width="5.51171875" customWidth="1"/>
    <col min="3" max="3" width="7.12890625" customWidth="1"/>
    <col min="4" max="4" width="12.5078125" customWidth="1"/>
    <col min="5" max="5" width="6.45703125" customWidth="1"/>
    <col min="6" max="6" width="0" hidden="1" customWidth="1"/>
    <col min="7" max="7" width="7.93359375" customWidth="1"/>
    <col min="8" max="8" width="10.76171875" customWidth="1"/>
    <col min="9" max="9" width="6.9921875" customWidth="1"/>
    <col min="10" max="10" width="7.6640625" customWidth="1"/>
    <col min="11" max="11" width="9.14453125" customWidth="1"/>
  </cols>
  <sheetData>
    <row r="1" spans="1:13" ht="15" customHeight="1" x14ac:dyDescent="0.2">
      <c r="A1" s="125"/>
      <c r="B1" s="123" t="s">
        <v>3</v>
      </c>
      <c r="C1" s="123" t="s">
        <v>98</v>
      </c>
      <c r="D1" s="123" t="s">
        <v>99</v>
      </c>
      <c r="E1" s="123" t="s">
        <v>100</v>
      </c>
      <c r="F1" s="123" t="s">
        <v>101</v>
      </c>
      <c r="G1" s="123" t="s">
        <v>102</v>
      </c>
      <c r="H1" s="123" t="s">
        <v>103</v>
      </c>
      <c r="J1" s="19"/>
      <c r="K1" s="19"/>
      <c r="L1" s="19"/>
      <c r="M1" s="19"/>
    </row>
    <row r="2" spans="1:13" ht="15" customHeight="1" x14ac:dyDescent="0.2">
      <c r="A2" s="126"/>
      <c r="B2" s="124"/>
      <c r="C2" s="124"/>
      <c r="D2" s="124"/>
      <c r="E2" s="124"/>
      <c r="F2" s="124"/>
      <c r="G2" s="124"/>
      <c r="H2" s="124"/>
      <c r="J2" s="19"/>
      <c r="K2" s="19"/>
      <c r="L2" s="19"/>
      <c r="M2" s="19"/>
    </row>
    <row r="3" spans="1:13" hidden="1" x14ac:dyDescent="0.2">
      <c r="A3" s="22">
        <v>87</v>
      </c>
      <c r="B3" s="23">
        <v>3770398</v>
      </c>
      <c r="C3" s="24">
        <v>30</v>
      </c>
      <c r="D3" s="24">
        <v>2.25</v>
      </c>
      <c r="E3" s="24">
        <v>5950</v>
      </c>
      <c r="F3" s="23"/>
      <c r="G3" s="25" t="s">
        <v>104</v>
      </c>
      <c r="H3" s="25"/>
      <c r="I3" s="25">
        <v>0</v>
      </c>
      <c r="J3" s="19"/>
      <c r="K3" s="19"/>
      <c r="L3" s="19"/>
      <c r="M3" s="19"/>
    </row>
    <row r="4" spans="1:13" hidden="1" x14ac:dyDescent="0.2">
      <c r="A4" s="22">
        <v>112</v>
      </c>
      <c r="B4" s="23">
        <v>3775631</v>
      </c>
      <c r="C4" s="24">
        <v>39</v>
      </c>
      <c r="D4" s="24">
        <v>2.5</v>
      </c>
      <c r="E4" s="24">
        <v>6150</v>
      </c>
      <c r="F4" s="23"/>
      <c r="G4" s="26" t="s">
        <v>105</v>
      </c>
      <c r="H4" s="25"/>
      <c r="I4" s="25">
        <v>0</v>
      </c>
      <c r="J4" s="19"/>
      <c r="K4" s="19"/>
      <c r="L4" s="19"/>
      <c r="M4" s="19"/>
    </row>
    <row r="5" spans="1:13" hidden="1" x14ac:dyDescent="0.2">
      <c r="A5" s="22">
        <v>140</v>
      </c>
      <c r="B5" s="24">
        <v>3702875</v>
      </c>
      <c r="C5" s="24">
        <v>60.3</v>
      </c>
      <c r="D5" s="24">
        <v>2</v>
      </c>
      <c r="E5" s="24">
        <v>6030</v>
      </c>
      <c r="F5" s="24"/>
      <c r="G5" s="25" t="s">
        <v>68</v>
      </c>
      <c r="H5" s="25" t="s">
        <v>106</v>
      </c>
      <c r="I5" s="25">
        <v>0</v>
      </c>
      <c r="J5" s="19"/>
      <c r="K5" s="19"/>
      <c r="L5" s="19"/>
      <c r="M5" s="19"/>
    </row>
    <row r="6" spans="1:13" hidden="1" x14ac:dyDescent="0.2">
      <c r="A6" s="22">
        <v>119</v>
      </c>
      <c r="B6" s="23">
        <v>3500650</v>
      </c>
      <c r="C6" s="23">
        <v>42.7</v>
      </c>
      <c r="D6" s="23">
        <v>3.5</v>
      </c>
      <c r="E6" s="23">
        <v>6000</v>
      </c>
      <c r="F6" s="23"/>
      <c r="G6" s="25" t="s">
        <v>68</v>
      </c>
      <c r="H6" s="25"/>
      <c r="I6" s="25">
        <v>0</v>
      </c>
      <c r="J6" s="19"/>
      <c r="K6" s="19"/>
      <c r="L6" s="19"/>
      <c r="M6" s="19"/>
    </row>
    <row r="7" spans="1:13" hidden="1" x14ac:dyDescent="0.2">
      <c r="A7" s="22">
        <v>91</v>
      </c>
      <c r="B7" s="23">
        <v>3929510</v>
      </c>
      <c r="C7" s="23">
        <v>31.75</v>
      </c>
      <c r="D7" s="23">
        <v>2</v>
      </c>
      <c r="E7" s="23">
        <v>5900</v>
      </c>
      <c r="F7" s="23"/>
      <c r="G7" s="25" t="s">
        <v>68</v>
      </c>
      <c r="H7" s="25"/>
      <c r="I7" s="25">
        <v>0</v>
      </c>
      <c r="J7" s="19"/>
      <c r="K7" s="19"/>
      <c r="L7" s="19"/>
      <c r="M7" s="19"/>
    </row>
    <row r="8" spans="1:13" hidden="1" x14ac:dyDescent="0.2">
      <c r="A8" s="22">
        <v>73</v>
      </c>
      <c r="B8" s="23">
        <v>2410997</v>
      </c>
      <c r="C8" s="24">
        <v>25.4</v>
      </c>
      <c r="D8" s="24">
        <v>3.2</v>
      </c>
      <c r="E8" s="24">
        <v>4900</v>
      </c>
      <c r="F8" s="23"/>
      <c r="G8" s="25" t="s">
        <v>104</v>
      </c>
      <c r="H8" s="25" t="s">
        <v>106</v>
      </c>
      <c r="I8" s="25"/>
      <c r="J8" s="19"/>
      <c r="K8" s="19"/>
      <c r="L8" s="19"/>
      <c r="M8" s="19"/>
    </row>
    <row r="9" spans="1:13" x14ac:dyDescent="0.2">
      <c r="A9" s="22">
        <v>72</v>
      </c>
      <c r="B9" s="23">
        <v>3770391</v>
      </c>
      <c r="C9" s="23">
        <v>25.4</v>
      </c>
      <c r="D9" s="23">
        <v>2.5</v>
      </c>
      <c r="E9" s="23">
        <v>6050</v>
      </c>
      <c r="F9" s="23"/>
      <c r="G9" s="25" t="s">
        <v>104</v>
      </c>
      <c r="H9" s="27">
        <v>217</v>
      </c>
      <c r="I9" s="27">
        <v>5000</v>
      </c>
      <c r="J9" s="19"/>
      <c r="K9" s="19"/>
      <c r="L9" s="19"/>
      <c r="M9" s="19"/>
    </row>
    <row r="10" spans="1:13" x14ac:dyDescent="0.2">
      <c r="A10" s="22">
        <v>141</v>
      </c>
      <c r="B10" s="24">
        <v>3500816</v>
      </c>
      <c r="C10" s="24">
        <v>63.5</v>
      </c>
      <c r="D10" s="24">
        <v>4</v>
      </c>
      <c r="E10" s="24">
        <v>6000</v>
      </c>
      <c r="F10" s="24"/>
      <c r="G10" s="28" t="s">
        <v>68</v>
      </c>
      <c r="H10" s="25" t="s">
        <v>107</v>
      </c>
      <c r="I10" s="25" t="s">
        <v>108</v>
      </c>
      <c r="J10" s="19"/>
      <c r="K10" s="19"/>
      <c r="L10" s="19"/>
      <c r="M10" s="19"/>
    </row>
    <row r="11" spans="1:13" x14ac:dyDescent="0.2">
      <c r="A11" s="22">
        <v>47</v>
      </c>
      <c r="B11" s="23">
        <v>3701572</v>
      </c>
      <c r="C11" s="23">
        <v>22.23</v>
      </c>
      <c r="D11" s="23">
        <v>1.2</v>
      </c>
      <c r="E11" s="23">
        <v>6000</v>
      </c>
      <c r="F11" s="23"/>
      <c r="G11" s="25" t="s">
        <v>68</v>
      </c>
      <c r="H11" s="25" t="s">
        <v>109</v>
      </c>
      <c r="I11" s="25" t="s">
        <v>110</v>
      </c>
      <c r="J11" s="19"/>
      <c r="K11" s="19"/>
      <c r="L11" s="19"/>
      <c r="M11" s="19"/>
    </row>
    <row r="12" spans="1:13" hidden="1" x14ac:dyDescent="0.2">
      <c r="A12" s="22">
        <v>7</v>
      </c>
      <c r="B12" s="23">
        <v>2363145</v>
      </c>
      <c r="C12" s="24">
        <v>14</v>
      </c>
      <c r="D12" s="24">
        <v>2.4500000000000002</v>
      </c>
      <c r="E12" s="24">
        <v>5000</v>
      </c>
      <c r="F12" s="23"/>
      <c r="G12" s="25" t="s">
        <v>104</v>
      </c>
      <c r="H12" s="25" t="s">
        <v>106</v>
      </c>
      <c r="I12" s="25">
        <v>0</v>
      </c>
      <c r="J12" s="19"/>
      <c r="K12" s="19"/>
      <c r="L12" s="19"/>
      <c r="M12" s="19"/>
    </row>
    <row r="13" spans="1:13" hidden="1" x14ac:dyDescent="0.2">
      <c r="A13" s="22">
        <v>85</v>
      </c>
      <c r="B13" s="23">
        <v>3995629</v>
      </c>
      <c r="C13" s="23">
        <v>29.4</v>
      </c>
      <c r="D13" s="23">
        <v>4.5</v>
      </c>
      <c r="E13" s="23">
        <v>4440</v>
      </c>
      <c r="F13" s="23"/>
      <c r="G13" s="26" t="s">
        <v>104</v>
      </c>
      <c r="H13" s="25"/>
      <c r="I13" s="25">
        <v>0</v>
      </c>
      <c r="J13" s="19"/>
      <c r="K13" s="19"/>
      <c r="L13" s="19"/>
      <c r="M13" s="19"/>
    </row>
    <row r="14" spans="1:13" x14ac:dyDescent="0.2">
      <c r="A14" s="22">
        <v>18</v>
      </c>
      <c r="B14" s="24">
        <v>1931823</v>
      </c>
      <c r="C14" s="24">
        <v>17.3</v>
      </c>
      <c r="D14" s="24">
        <v>1.6</v>
      </c>
      <c r="E14" s="24">
        <v>6000</v>
      </c>
      <c r="F14" s="24"/>
      <c r="G14" s="25" t="s">
        <v>68</v>
      </c>
      <c r="H14" s="25" t="s">
        <v>111</v>
      </c>
      <c r="I14" s="25" t="s">
        <v>112</v>
      </c>
      <c r="J14" s="19"/>
      <c r="K14" s="19"/>
      <c r="L14" s="19"/>
      <c r="M14" s="19"/>
    </row>
    <row r="15" spans="1:13" hidden="1" x14ac:dyDescent="0.2">
      <c r="A15" s="22">
        <v>84</v>
      </c>
      <c r="B15" s="23">
        <v>3770394</v>
      </c>
      <c r="C15" s="24">
        <v>29.4</v>
      </c>
      <c r="D15" s="24">
        <v>4.5</v>
      </c>
      <c r="E15" s="24">
        <v>5500</v>
      </c>
      <c r="F15" s="23"/>
      <c r="G15" s="26" t="s">
        <v>113</v>
      </c>
      <c r="H15" s="25"/>
      <c r="I15" s="25">
        <v>0</v>
      </c>
      <c r="J15" s="19"/>
      <c r="K15" s="19"/>
      <c r="L15" s="19"/>
      <c r="M15" s="19"/>
    </row>
    <row r="16" spans="1:13" hidden="1" x14ac:dyDescent="0.2">
      <c r="A16" s="22">
        <v>94</v>
      </c>
      <c r="B16" s="23">
        <v>2410960</v>
      </c>
      <c r="C16" s="24">
        <v>31.75</v>
      </c>
      <c r="D16" s="24">
        <v>3.37</v>
      </c>
      <c r="E16" s="24">
        <v>4450</v>
      </c>
      <c r="F16" s="23"/>
      <c r="G16" s="25" t="s">
        <v>104</v>
      </c>
      <c r="H16" s="25" t="s">
        <v>106</v>
      </c>
      <c r="I16" s="25">
        <v>0</v>
      </c>
      <c r="J16" s="19"/>
      <c r="K16" s="19"/>
      <c r="L16" s="19"/>
      <c r="M16" s="19"/>
    </row>
    <row r="17" spans="1:13" hidden="1" x14ac:dyDescent="0.2">
      <c r="A17" s="22">
        <v>128</v>
      </c>
      <c r="B17" s="24">
        <v>3514378</v>
      </c>
      <c r="C17" s="24">
        <v>48.6</v>
      </c>
      <c r="D17" s="24">
        <v>2.2999999999999998</v>
      </c>
      <c r="E17" s="24">
        <v>6550</v>
      </c>
      <c r="F17" s="24"/>
      <c r="G17" s="28" t="s">
        <v>114</v>
      </c>
      <c r="H17" s="25"/>
      <c r="I17" s="25">
        <v>0</v>
      </c>
      <c r="J17" s="19"/>
      <c r="K17" s="19"/>
      <c r="L17" s="19"/>
      <c r="M17" s="19"/>
    </row>
    <row r="18" spans="1:13" hidden="1" x14ac:dyDescent="0.2">
      <c r="A18" s="22">
        <v>7</v>
      </c>
      <c r="B18" s="23">
        <v>3702207</v>
      </c>
      <c r="C18" s="24" t="s">
        <v>115</v>
      </c>
      <c r="D18" s="24">
        <v>1.6</v>
      </c>
      <c r="E18" s="24">
        <v>6000</v>
      </c>
      <c r="F18" s="23"/>
      <c r="G18" s="25" t="s">
        <v>116</v>
      </c>
      <c r="H18" s="25" t="s">
        <v>106</v>
      </c>
      <c r="I18" s="25">
        <v>0</v>
      </c>
      <c r="J18" s="19"/>
      <c r="K18" s="19"/>
      <c r="L18" s="19"/>
      <c r="M18" s="19"/>
    </row>
    <row r="19" spans="1:13" hidden="1" x14ac:dyDescent="0.2">
      <c r="A19" s="22">
        <v>38</v>
      </c>
      <c r="B19" s="23">
        <v>2439535</v>
      </c>
      <c r="C19" s="23">
        <v>20</v>
      </c>
      <c r="D19" s="23">
        <v>4.5</v>
      </c>
      <c r="E19" s="23">
        <v>4350</v>
      </c>
      <c r="F19" s="23"/>
      <c r="G19" s="25" t="s">
        <v>104</v>
      </c>
      <c r="H19" s="25" t="s">
        <v>106</v>
      </c>
      <c r="I19" s="25">
        <v>0</v>
      </c>
      <c r="J19" s="19"/>
      <c r="K19" s="19"/>
      <c r="L19" s="19"/>
      <c r="M19" s="19"/>
    </row>
    <row r="20" spans="1:13" x14ac:dyDescent="0.2">
      <c r="A20" s="22">
        <v>77</v>
      </c>
      <c r="B20" s="23">
        <v>2410388</v>
      </c>
      <c r="C20" s="24">
        <v>28.6</v>
      </c>
      <c r="D20" s="24">
        <v>2.65</v>
      </c>
      <c r="E20" s="24">
        <v>4600</v>
      </c>
      <c r="F20" s="23"/>
      <c r="G20" s="25" t="s">
        <v>104</v>
      </c>
      <c r="H20" s="27">
        <v>209</v>
      </c>
      <c r="I20" s="27">
        <v>11500</v>
      </c>
      <c r="J20" s="19"/>
      <c r="K20" s="19"/>
      <c r="L20" s="19"/>
      <c r="M20" s="19"/>
    </row>
    <row r="21" spans="1:13" hidden="1" x14ac:dyDescent="0.2">
      <c r="A21" s="22">
        <v>102</v>
      </c>
      <c r="B21" s="23">
        <v>3499903</v>
      </c>
      <c r="C21" s="24">
        <v>37.6</v>
      </c>
      <c r="D21" s="24">
        <v>3.2</v>
      </c>
      <c r="E21" s="24">
        <v>5130</v>
      </c>
      <c r="F21" s="23"/>
      <c r="G21" s="25" t="s">
        <v>117</v>
      </c>
      <c r="H21" s="25"/>
      <c r="I21" s="25">
        <v>0</v>
      </c>
      <c r="J21" s="19"/>
      <c r="K21" s="19"/>
      <c r="L21" s="19"/>
      <c r="M21" s="19"/>
    </row>
    <row r="22" spans="1:13" hidden="1" x14ac:dyDescent="0.2">
      <c r="A22" s="22">
        <v>3</v>
      </c>
      <c r="B22" s="23">
        <v>2410389</v>
      </c>
      <c r="C22" s="24">
        <v>14</v>
      </c>
      <c r="D22" s="24">
        <v>1.6</v>
      </c>
      <c r="E22" s="24">
        <v>4600</v>
      </c>
      <c r="F22" s="23"/>
      <c r="G22" s="25" t="s">
        <v>104</v>
      </c>
      <c r="H22" s="25" t="s">
        <v>106</v>
      </c>
      <c r="I22" s="25">
        <v>0</v>
      </c>
      <c r="J22" s="19"/>
      <c r="K22" s="19"/>
      <c r="L22" s="19"/>
      <c r="M22" s="19"/>
    </row>
    <row r="23" spans="1:13" hidden="1" x14ac:dyDescent="0.2">
      <c r="A23" s="22">
        <v>121</v>
      </c>
      <c r="B23" s="23">
        <v>3500714</v>
      </c>
      <c r="C23" s="23">
        <v>42.7</v>
      </c>
      <c r="D23" s="23">
        <v>4</v>
      </c>
      <c r="E23" s="23">
        <v>5500</v>
      </c>
      <c r="F23" s="23"/>
      <c r="G23" s="25" t="s">
        <v>68</v>
      </c>
      <c r="H23" s="25"/>
      <c r="I23" s="25">
        <v>0</v>
      </c>
      <c r="J23" s="19"/>
      <c r="K23" s="19"/>
      <c r="L23" s="19"/>
      <c r="M23" s="19"/>
    </row>
    <row r="24" spans="1:13" x14ac:dyDescent="0.2">
      <c r="A24" s="22">
        <v>35</v>
      </c>
      <c r="B24" s="23">
        <v>3769066</v>
      </c>
      <c r="C24" s="23">
        <v>20</v>
      </c>
      <c r="D24" s="23">
        <v>1.42</v>
      </c>
      <c r="E24" s="23">
        <v>5850</v>
      </c>
      <c r="F24" s="23"/>
      <c r="G24" s="25" t="s">
        <v>104</v>
      </c>
      <c r="H24" s="27">
        <v>273</v>
      </c>
      <c r="I24" s="27">
        <v>5000</v>
      </c>
      <c r="J24" s="19"/>
      <c r="K24" s="19"/>
      <c r="L24" s="19"/>
      <c r="M24" s="19"/>
    </row>
    <row r="25" spans="1:13" x14ac:dyDescent="0.2">
      <c r="A25" s="22">
        <v>99</v>
      </c>
      <c r="B25" s="24">
        <v>3910128</v>
      </c>
      <c r="C25" s="24">
        <v>34.93</v>
      </c>
      <c r="D25" s="24">
        <v>2.2999999999999998</v>
      </c>
      <c r="E25" s="24">
        <v>6100</v>
      </c>
      <c r="F25" s="24"/>
      <c r="G25" s="28" t="s">
        <v>114</v>
      </c>
      <c r="H25" s="27">
        <v>1500</v>
      </c>
      <c r="I25" s="27">
        <v>3000</v>
      </c>
      <c r="J25" s="19"/>
      <c r="K25" s="19"/>
      <c r="L25" s="19"/>
      <c r="M25" s="19"/>
    </row>
    <row r="26" spans="1:13" x14ac:dyDescent="0.2">
      <c r="A26" s="22">
        <v>135</v>
      </c>
      <c r="B26" s="24">
        <v>3777563</v>
      </c>
      <c r="C26" s="24">
        <v>54</v>
      </c>
      <c r="D26" s="24">
        <v>3</v>
      </c>
      <c r="E26" s="24">
        <v>5790</v>
      </c>
      <c r="F26" s="24"/>
      <c r="G26" s="25" t="s">
        <v>114</v>
      </c>
      <c r="H26" s="27">
        <v>1140</v>
      </c>
      <c r="I26" s="27">
        <v>2000</v>
      </c>
      <c r="J26" s="19"/>
      <c r="K26" s="19"/>
      <c r="L26" s="19"/>
      <c r="M26" s="19"/>
    </row>
    <row r="27" spans="1:13" hidden="1" x14ac:dyDescent="0.2">
      <c r="A27" s="22">
        <v>15</v>
      </c>
      <c r="B27" s="23">
        <v>1931824</v>
      </c>
      <c r="C27" s="24">
        <v>17.3</v>
      </c>
      <c r="D27" s="24">
        <v>1.2</v>
      </c>
      <c r="E27" s="24">
        <v>6000</v>
      </c>
      <c r="F27" s="23"/>
      <c r="G27" s="25" t="s">
        <v>68</v>
      </c>
      <c r="H27" s="25"/>
      <c r="I27" s="25">
        <v>0</v>
      </c>
      <c r="J27" s="19"/>
      <c r="K27" s="19"/>
      <c r="L27" s="19"/>
      <c r="M27" s="19"/>
    </row>
    <row r="28" spans="1:13" hidden="1" x14ac:dyDescent="0.2">
      <c r="A28" s="22">
        <v>71</v>
      </c>
      <c r="B28" s="23">
        <v>3682066</v>
      </c>
      <c r="C28" s="24">
        <v>25.4</v>
      </c>
      <c r="D28" s="24">
        <v>2.5</v>
      </c>
      <c r="E28" s="24">
        <v>5950</v>
      </c>
      <c r="F28" s="23"/>
      <c r="G28" s="25" t="s">
        <v>68</v>
      </c>
      <c r="H28" s="25"/>
      <c r="I28" s="25">
        <v>0</v>
      </c>
      <c r="J28" s="19"/>
      <c r="K28" s="19"/>
      <c r="L28" s="19"/>
      <c r="M28" s="19"/>
    </row>
    <row r="29" spans="1:13" hidden="1" x14ac:dyDescent="0.2">
      <c r="A29" s="22">
        <v>40</v>
      </c>
      <c r="B29" s="23">
        <v>2411624</v>
      </c>
      <c r="C29" s="24">
        <v>21.2</v>
      </c>
      <c r="D29" s="24">
        <v>2.75</v>
      </c>
      <c r="E29" s="24">
        <v>4500</v>
      </c>
      <c r="F29" s="23"/>
      <c r="G29" s="25" t="s">
        <v>104</v>
      </c>
      <c r="H29" s="25" t="s">
        <v>106</v>
      </c>
      <c r="I29" s="25">
        <v>0</v>
      </c>
      <c r="J29" s="19"/>
      <c r="K29" s="19"/>
      <c r="L29" s="19"/>
      <c r="M29" s="19"/>
    </row>
    <row r="30" spans="1:13" hidden="1" x14ac:dyDescent="0.2">
      <c r="A30" s="22">
        <v>95</v>
      </c>
      <c r="B30" s="23">
        <v>3702361</v>
      </c>
      <c r="C30" s="24">
        <v>31.75</v>
      </c>
      <c r="D30" s="24">
        <v>2.5</v>
      </c>
      <c r="E30" s="24">
        <v>6000</v>
      </c>
      <c r="F30" s="23"/>
      <c r="G30" s="25" t="s">
        <v>68</v>
      </c>
      <c r="H30" s="25"/>
      <c r="I30" s="25">
        <v>0</v>
      </c>
      <c r="J30" s="19"/>
      <c r="K30" s="19"/>
      <c r="L30" s="19"/>
      <c r="M30" s="19"/>
    </row>
    <row r="31" spans="1:13" hidden="1" x14ac:dyDescent="0.2">
      <c r="A31" s="22">
        <v>79</v>
      </c>
      <c r="B31" s="23">
        <v>2426240</v>
      </c>
      <c r="C31" s="24">
        <v>29.28</v>
      </c>
      <c r="D31" s="24">
        <v>3.4</v>
      </c>
      <c r="E31" s="24">
        <v>3500</v>
      </c>
      <c r="F31" s="23"/>
      <c r="G31" s="25" t="s">
        <v>104</v>
      </c>
      <c r="H31" s="25"/>
      <c r="I31" s="25">
        <v>0</v>
      </c>
      <c r="J31" s="19"/>
      <c r="K31" s="19"/>
      <c r="L31" s="19"/>
      <c r="M31" s="19"/>
    </row>
    <row r="32" spans="1:13" hidden="1" x14ac:dyDescent="0.2">
      <c r="A32" s="22">
        <v>113</v>
      </c>
      <c r="B32" s="23">
        <v>3502027</v>
      </c>
      <c r="C32" s="24">
        <v>41.28</v>
      </c>
      <c r="D32" s="24">
        <v>2.41</v>
      </c>
      <c r="E32" s="24">
        <v>6000</v>
      </c>
      <c r="F32" s="23"/>
      <c r="G32" s="25" t="s">
        <v>68</v>
      </c>
      <c r="H32" s="25"/>
      <c r="I32" s="25">
        <v>0</v>
      </c>
      <c r="J32" s="19"/>
      <c r="K32" s="19"/>
      <c r="L32" s="19"/>
      <c r="M32" s="19"/>
    </row>
    <row r="33" spans="1:13" hidden="1" x14ac:dyDescent="0.2">
      <c r="A33" s="22">
        <v>10</v>
      </c>
      <c r="B33" s="23">
        <v>2410996</v>
      </c>
      <c r="C33" s="24">
        <v>16.100000000000001</v>
      </c>
      <c r="D33" s="24">
        <v>2.7</v>
      </c>
      <c r="E33" s="24">
        <v>4600</v>
      </c>
      <c r="F33" s="23"/>
      <c r="G33" s="25" t="s">
        <v>104</v>
      </c>
      <c r="H33" s="25" t="s">
        <v>106</v>
      </c>
      <c r="I33" s="25">
        <v>0</v>
      </c>
      <c r="J33" s="19"/>
      <c r="K33" s="19"/>
      <c r="L33" s="19"/>
      <c r="M33" s="19"/>
    </row>
    <row r="34" spans="1:13" x14ac:dyDescent="0.2">
      <c r="A34" s="22">
        <v>9</v>
      </c>
      <c r="B34" s="23">
        <v>3701579</v>
      </c>
      <c r="C34" s="24">
        <v>15.88</v>
      </c>
      <c r="D34" s="24">
        <v>1.22</v>
      </c>
      <c r="E34" s="24">
        <v>6000</v>
      </c>
      <c r="F34" s="23"/>
      <c r="G34" s="25" t="s">
        <v>68</v>
      </c>
      <c r="H34" s="27">
        <v>888</v>
      </c>
      <c r="I34" s="27">
        <v>15000</v>
      </c>
      <c r="J34" s="19"/>
      <c r="K34" s="19"/>
      <c r="L34" s="19"/>
      <c r="M34" s="19"/>
    </row>
    <row r="35" spans="1:13" hidden="1" x14ac:dyDescent="0.2">
      <c r="A35" s="22">
        <v>62</v>
      </c>
      <c r="B35" s="23">
        <v>3701615</v>
      </c>
      <c r="C35" s="23">
        <v>25.4</v>
      </c>
      <c r="D35" s="23">
        <v>1.2</v>
      </c>
      <c r="E35" s="23">
        <v>6000</v>
      </c>
      <c r="F35" s="23"/>
      <c r="G35" s="25" t="s">
        <v>104</v>
      </c>
      <c r="H35" s="25"/>
      <c r="I35" s="25">
        <v>0</v>
      </c>
      <c r="J35" s="19"/>
      <c r="K35" s="19"/>
      <c r="L35" s="19"/>
      <c r="M35" s="19"/>
    </row>
    <row r="36" spans="1:13" hidden="1" x14ac:dyDescent="0.2">
      <c r="A36" s="22">
        <v>5</v>
      </c>
      <c r="B36" s="24">
        <v>3500641</v>
      </c>
      <c r="C36" s="24" t="s">
        <v>4</v>
      </c>
      <c r="D36" s="24">
        <v>1.6</v>
      </c>
      <c r="E36" s="24">
        <v>6121</v>
      </c>
      <c r="F36" s="24"/>
      <c r="G36" s="28" t="s">
        <v>118</v>
      </c>
      <c r="H36" s="25"/>
      <c r="I36" s="25">
        <v>0</v>
      </c>
      <c r="J36" s="19"/>
      <c r="K36" s="19"/>
      <c r="L36" s="19"/>
      <c r="M36" s="19"/>
    </row>
    <row r="37" spans="1:13" hidden="1" x14ac:dyDescent="0.2">
      <c r="A37" s="22">
        <v>39</v>
      </c>
      <c r="B37" s="23">
        <v>2411624</v>
      </c>
      <c r="C37" s="24">
        <v>21.2</v>
      </c>
      <c r="D37" s="24">
        <v>2.75</v>
      </c>
      <c r="E37" s="24">
        <v>3800</v>
      </c>
      <c r="F37" s="23"/>
      <c r="G37" s="25" t="s">
        <v>104</v>
      </c>
      <c r="H37" s="25" t="s">
        <v>106</v>
      </c>
      <c r="I37" s="25">
        <v>0</v>
      </c>
      <c r="J37" s="19"/>
      <c r="K37" s="19"/>
      <c r="L37" s="19"/>
      <c r="M37" s="19"/>
    </row>
    <row r="38" spans="1:13" hidden="1" x14ac:dyDescent="0.2">
      <c r="A38" s="22">
        <v>78</v>
      </c>
      <c r="B38" s="23">
        <v>3701546</v>
      </c>
      <c r="C38" s="24">
        <v>28.58</v>
      </c>
      <c r="D38" s="24">
        <v>3.25</v>
      </c>
      <c r="E38" s="24">
        <v>6060</v>
      </c>
      <c r="F38" s="23"/>
      <c r="G38" s="28" t="s">
        <v>68</v>
      </c>
      <c r="H38" s="25" t="s">
        <v>106</v>
      </c>
      <c r="I38" s="25">
        <v>0</v>
      </c>
      <c r="J38" s="19"/>
      <c r="K38" s="19"/>
      <c r="L38" s="19"/>
      <c r="M38" s="19"/>
    </row>
    <row r="39" spans="1:13" hidden="1" x14ac:dyDescent="0.2">
      <c r="A39" s="22">
        <v>123</v>
      </c>
      <c r="B39" s="24">
        <v>3500635</v>
      </c>
      <c r="C39" s="24">
        <v>47.63</v>
      </c>
      <c r="D39" s="24">
        <v>4</v>
      </c>
      <c r="E39" s="24">
        <v>6000</v>
      </c>
      <c r="F39" s="24"/>
      <c r="G39" s="28" t="s">
        <v>104</v>
      </c>
      <c r="H39" s="25"/>
      <c r="I39" s="25">
        <v>0</v>
      </c>
      <c r="J39" s="19"/>
      <c r="K39" s="19"/>
      <c r="L39" s="19"/>
      <c r="M39" s="19"/>
    </row>
    <row r="40" spans="1:13" hidden="1" x14ac:dyDescent="0.2">
      <c r="A40" s="22">
        <v>43</v>
      </c>
      <c r="B40" s="23">
        <v>2410999</v>
      </c>
      <c r="C40" s="24">
        <v>21.7</v>
      </c>
      <c r="D40" s="24">
        <v>2.75</v>
      </c>
      <c r="E40" s="24">
        <v>4600</v>
      </c>
      <c r="F40" s="23"/>
      <c r="G40" s="25" t="s">
        <v>104</v>
      </c>
      <c r="H40" s="25" t="s">
        <v>106</v>
      </c>
      <c r="I40" s="25">
        <v>0</v>
      </c>
      <c r="J40" s="19"/>
      <c r="K40" s="19"/>
      <c r="L40" s="19"/>
      <c r="M40" s="19"/>
    </row>
    <row r="41" spans="1:13" hidden="1" x14ac:dyDescent="0.2">
      <c r="A41" s="22">
        <v>13</v>
      </c>
      <c r="B41" s="24">
        <v>3188792</v>
      </c>
      <c r="C41" s="24">
        <v>16</v>
      </c>
      <c r="D41" s="24">
        <v>2.8</v>
      </c>
      <c r="E41" s="24">
        <v>4900</v>
      </c>
      <c r="F41" s="24"/>
      <c r="G41" s="28" t="s">
        <v>104</v>
      </c>
      <c r="H41" s="25" t="s">
        <v>106</v>
      </c>
      <c r="I41" s="25">
        <v>0</v>
      </c>
      <c r="J41" s="19"/>
      <c r="K41" s="19"/>
      <c r="L41" s="19"/>
      <c r="M41" s="19"/>
    </row>
    <row r="42" spans="1:13" hidden="1" x14ac:dyDescent="0.2">
      <c r="A42" s="22">
        <v>89</v>
      </c>
      <c r="B42" s="23">
        <v>3411883</v>
      </c>
      <c r="C42" s="23">
        <v>30</v>
      </c>
      <c r="D42" s="23">
        <v>3.03</v>
      </c>
      <c r="E42" s="23">
        <v>4600</v>
      </c>
      <c r="F42" s="23"/>
      <c r="G42" s="25" t="s">
        <v>104</v>
      </c>
      <c r="H42" s="25" t="s">
        <v>106</v>
      </c>
      <c r="I42" s="25">
        <v>0</v>
      </c>
      <c r="J42" s="19"/>
      <c r="K42" s="19"/>
      <c r="L42" s="19"/>
      <c r="M42" s="19"/>
    </row>
    <row r="43" spans="1:13" hidden="1" x14ac:dyDescent="0.2">
      <c r="A43" s="22">
        <v>88</v>
      </c>
      <c r="B43" s="24">
        <v>2410989</v>
      </c>
      <c r="C43" s="24">
        <v>30</v>
      </c>
      <c r="D43" s="24">
        <v>3.0249999999999999</v>
      </c>
      <c r="E43" s="24">
        <v>4600</v>
      </c>
      <c r="F43" s="24"/>
      <c r="G43" s="25" t="s">
        <v>104</v>
      </c>
      <c r="H43" s="25" t="s">
        <v>106</v>
      </c>
      <c r="I43" s="25">
        <v>0</v>
      </c>
      <c r="J43" s="19"/>
      <c r="K43" s="19"/>
      <c r="L43" s="19"/>
      <c r="M43" s="19"/>
    </row>
    <row r="44" spans="1:13" x14ac:dyDescent="0.2">
      <c r="A44" s="22">
        <v>107</v>
      </c>
      <c r="B44" s="23">
        <v>1942159</v>
      </c>
      <c r="C44" s="24">
        <v>38.1</v>
      </c>
      <c r="D44" s="24">
        <v>2</v>
      </c>
      <c r="E44" s="24">
        <v>5800</v>
      </c>
      <c r="F44" s="23"/>
      <c r="G44" s="25" t="s">
        <v>68</v>
      </c>
      <c r="H44" s="27">
        <v>812</v>
      </c>
      <c r="I44" s="27">
        <v>4000</v>
      </c>
      <c r="J44" s="19"/>
      <c r="K44" s="19"/>
      <c r="L44" s="19"/>
      <c r="M44" s="19"/>
    </row>
    <row r="45" spans="1:13" hidden="1" x14ac:dyDescent="0.2">
      <c r="A45" s="22">
        <v>143</v>
      </c>
      <c r="B45" s="24">
        <v>3499608</v>
      </c>
      <c r="C45" s="24">
        <v>70</v>
      </c>
      <c r="D45" s="24">
        <v>3.2</v>
      </c>
      <c r="E45" s="24">
        <v>6000</v>
      </c>
      <c r="F45" s="24"/>
      <c r="G45" s="25" t="s">
        <v>114</v>
      </c>
      <c r="H45" s="25" t="s">
        <v>119</v>
      </c>
      <c r="I45" s="25">
        <v>0</v>
      </c>
      <c r="J45" s="19"/>
      <c r="K45" s="19"/>
      <c r="L45" s="19"/>
      <c r="M45" s="19"/>
    </row>
    <row r="46" spans="1:13" x14ac:dyDescent="0.2">
      <c r="A46" s="22">
        <v>100</v>
      </c>
      <c r="B46" s="23">
        <v>4140303</v>
      </c>
      <c r="C46" s="24">
        <v>34.93</v>
      </c>
      <c r="D46" s="24">
        <v>2.5</v>
      </c>
      <c r="E46" s="24">
        <v>5230</v>
      </c>
      <c r="F46" s="23"/>
      <c r="G46" s="25" t="s">
        <v>68</v>
      </c>
      <c r="H46" s="27">
        <v>1721</v>
      </c>
      <c r="I46" s="27">
        <v>2000</v>
      </c>
      <c r="J46" s="19"/>
      <c r="K46" s="19"/>
      <c r="L46" s="19"/>
      <c r="M46" s="19"/>
    </row>
    <row r="47" spans="1:13" hidden="1" x14ac:dyDescent="0.2">
      <c r="A47" s="22">
        <v>60</v>
      </c>
      <c r="B47" s="24">
        <v>3515989</v>
      </c>
      <c r="C47" s="24">
        <v>22.23</v>
      </c>
      <c r="D47" s="24">
        <v>2.6</v>
      </c>
      <c r="E47" s="24">
        <v>6230</v>
      </c>
      <c r="F47" s="24"/>
      <c r="G47" s="25" t="s">
        <v>120</v>
      </c>
      <c r="H47" s="25"/>
      <c r="I47" s="25">
        <v>0</v>
      </c>
      <c r="J47" s="19"/>
      <c r="K47" s="19"/>
      <c r="L47" s="19"/>
      <c r="M47" s="19"/>
    </row>
    <row r="48" spans="1:13" hidden="1" x14ac:dyDescent="0.2">
      <c r="A48" s="22">
        <v>63</v>
      </c>
      <c r="B48" s="23">
        <v>3501900</v>
      </c>
      <c r="C48" s="23">
        <v>25.4</v>
      </c>
      <c r="D48" s="23">
        <v>1.4</v>
      </c>
      <c r="E48" s="23">
        <v>5531</v>
      </c>
      <c r="F48" s="23"/>
      <c r="G48" s="29" t="s">
        <v>114</v>
      </c>
      <c r="H48" s="25"/>
      <c r="I48" s="25">
        <v>0</v>
      </c>
      <c r="J48" s="19"/>
      <c r="K48" s="19"/>
      <c r="L48" s="19"/>
      <c r="M48" s="19"/>
    </row>
    <row r="49" spans="1:13" hidden="1" x14ac:dyDescent="0.2">
      <c r="A49" s="22">
        <v>21</v>
      </c>
      <c r="B49" s="23">
        <v>4032064</v>
      </c>
      <c r="C49" s="23">
        <v>18.2</v>
      </c>
      <c r="D49" s="23">
        <v>2.95</v>
      </c>
      <c r="E49" s="23">
        <v>4500</v>
      </c>
      <c r="F49" s="23"/>
      <c r="G49" s="25" t="s">
        <v>104</v>
      </c>
      <c r="H49" s="25" t="s">
        <v>106</v>
      </c>
      <c r="I49" s="25">
        <v>0</v>
      </c>
      <c r="J49" s="19"/>
      <c r="K49" s="19"/>
      <c r="L49" s="19"/>
      <c r="M49" s="19"/>
    </row>
    <row r="50" spans="1:13" hidden="1" x14ac:dyDescent="0.2">
      <c r="A50" s="22">
        <v>142</v>
      </c>
      <c r="B50" s="24">
        <v>3770405</v>
      </c>
      <c r="C50" s="24">
        <v>67</v>
      </c>
      <c r="D50" s="24">
        <v>1.2</v>
      </c>
      <c r="E50" s="24">
        <v>5500</v>
      </c>
      <c r="F50" s="24"/>
      <c r="G50" s="28" t="s">
        <v>104</v>
      </c>
      <c r="H50" s="25" t="s">
        <v>106</v>
      </c>
      <c r="I50" s="25">
        <v>0</v>
      </c>
      <c r="J50" s="19"/>
      <c r="K50" s="19"/>
      <c r="L50" s="19"/>
      <c r="M50" s="19"/>
    </row>
    <row r="51" spans="1:13" hidden="1" x14ac:dyDescent="0.2">
      <c r="A51" s="22">
        <v>36</v>
      </c>
      <c r="B51" s="23">
        <v>2439536</v>
      </c>
      <c r="C51" s="24">
        <v>20</v>
      </c>
      <c r="D51" s="24">
        <v>3.8</v>
      </c>
      <c r="E51" s="24">
        <v>3500</v>
      </c>
      <c r="F51" s="23"/>
      <c r="G51" s="25" t="s">
        <v>104</v>
      </c>
      <c r="H51" s="25" t="s">
        <v>106</v>
      </c>
      <c r="I51" s="25">
        <v>0</v>
      </c>
      <c r="J51" s="19"/>
      <c r="K51" s="19"/>
      <c r="L51" s="19"/>
      <c r="M51" s="19"/>
    </row>
    <row r="52" spans="1:13" hidden="1" x14ac:dyDescent="0.2">
      <c r="A52" s="22">
        <v>134</v>
      </c>
      <c r="B52" s="24">
        <v>4163351</v>
      </c>
      <c r="C52" s="24">
        <v>50.8</v>
      </c>
      <c r="D52" s="24">
        <v>4</v>
      </c>
      <c r="E52" s="24">
        <v>6000</v>
      </c>
      <c r="F52" s="24"/>
      <c r="G52" s="28" t="s">
        <v>68</v>
      </c>
      <c r="H52" s="25"/>
      <c r="I52" s="25">
        <v>0</v>
      </c>
      <c r="J52" s="19"/>
      <c r="K52" s="19"/>
      <c r="L52" s="19"/>
      <c r="M52" s="19"/>
    </row>
    <row r="53" spans="1:13" hidden="1" x14ac:dyDescent="0.2">
      <c r="A53" s="22">
        <v>12</v>
      </c>
      <c r="B53" s="24">
        <v>3188792</v>
      </c>
      <c r="C53" s="24">
        <v>16</v>
      </c>
      <c r="D53" s="24">
        <v>2.8</v>
      </c>
      <c r="E53" s="24">
        <v>4500</v>
      </c>
      <c r="F53" s="24"/>
      <c r="G53" s="28" t="s">
        <v>104</v>
      </c>
      <c r="H53" s="25" t="s">
        <v>106</v>
      </c>
      <c r="I53" s="25">
        <v>0</v>
      </c>
      <c r="J53" s="19"/>
      <c r="K53" s="19"/>
      <c r="L53" s="19"/>
      <c r="M53" s="19"/>
    </row>
    <row r="54" spans="1:13" hidden="1" x14ac:dyDescent="0.2">
      <c r="A54" s="22">
        <v>41</v>
      </c>
      <c r="B54" s="23">
        <v>2411624</v>
      </c>
      <c r="C54" s="24">
        <v>21.2</v>
      </c>
      <c r="D54" s="24">
        <v>2.75</v>
      </c>
      <c r="E54" s="24">
        <v>4800</v>
      </c>
      <c r="F54" s="23"/>
      <c r="G54" s="25"/>
      <c r="H54" s="25" t="s">
        <v>106</v>
      </c>
      <c r="I54" s="25">
        <v>0</v>
      </c>
      <c r="J54" s="19"/>
      <c r="K54" s="19"/>
      <c r="L54" s="19"/>
      <c r="M54" s="19"/>
    </row>
    <row r="55" spans="1:13" hidden="1" x14ac:dyDescent="0.2">
      <c r="A55" s="22">
        <v>76</v>
      </c>
      <c r="B55" s="24">
        <v>3702101</v>
      </c>
      <c r="C55" s="24">
        <v>28.58</v>
      </c>
      <c r="D55" s="24">
        <v>1.2</v>
      </c>
      <c r="E55" s="24">
        <v>6000</v>
      </c>
      <c r="F55" s="24"/>
      <c r="G55" s="28" t="s">
        <v>68</v>
      </c>
      <c r="H55" s="25"/>
      <c r="I55" s="25">
        <v>0</v>
      </c>
      <c r="J55" s="19"/>
      <c r="K55" s="19"/>
      <c r="L55" s="19"/>
      <c r="M55" s="19"/>
    </row>
    <row r="56" spans="1:13" hidden="1" x14ac:dyDescent="0.2">
      <c r="A56" s="22">
        <v>23</v>
      </c>
      <c r="B56" s="23">
        <v>2410643</v>
      </c>
      <c r="C56" s="24">
        <v>19.100000000000001</v>
      </c>
      <c r="D56" s="24">
        <v>1.5</v>
      </c>
      <c r="E56" s="24">
        <v>4480</v>
      </c>
      <c r="F56" s="23"/>
      <c r="G56" s="25" t="s">
        <v>104</v>
      </c>
      <c r="H56" s="25" t="s">
        <v>106</v>
      </c>
      <c r="I56" s="25">
        <v>0</v>
      </c>
      <c r="J56" s="19"/>
      <c r="K56" s="19"/>
      <c r="L56" s="19"/>
      <c r="M56" s="19"/>
    </row>
    <row r="57" spans="1:13" hidden="1" x14ac:dyDescent="0.2">
      <c r="A57" s="22">
        <v>92</v>
      </c>
      <c r="B57" s="23">
        <v>3702310</v>
      </c>
      <c r="C57" s="23">
        <v>31.75</v>
      </c>
      <c r="D57" s="23">
        <v>1.22</v>
      </c>
      <c r="E57" s="23">
        <v>5710</v>
      </c>
      <c r="F57" s="23"/>
      <c r="G57" s="25" t="s">
        <v>68</v>
      </c>
      <c r="H57" s="25"/>
      <c r="I57" s="25">
        <v>0</v>
      </c>
      <c r="J57" s="19"/>
      <c r="K57" s="19"/>
      <c r="L57" s="19"/>
      <c r="M57" s="19"/>
    </row>
    <row r="58" spans="1:13" hidden="1" x14ac:dyDescent="0.2">
      <c r="A58" s="22">
        <v>115</v>
      </c>
      <c r="B58" s="23">
        <v>4160603</v>
      </c>
      <c r="C58" s="24">
        <v>41.28</v>
      </c>
      <c r="D58" s="24">
        <v>3</v>
      </c>
      <c r="E58" s="24">
        <v>6000</v>
      </c>
      <c r="F58" s="23"/>
      <c r="G58" s="25" t="s">
        <v>121</v>
      </c>
      <c r="H58" s="25"/>
      <c r="I58" s="25">
        <v>0</v>
      </c>
      <c r="J58" s="19"/>
      <c r="K58" s="19"/>
      <c r="L58" s="19"/>
      <c r="M58" s="19"/>
    </row>
    <row r="59" spans="1:13" hidden="1" x14ac:dyDescent="0.2">
      <c r="A59" s="22">
        <v>8</v>
      </c>
      <c r="B59" s="23">
        <v>2363145</v>
      </c>
      <c r="C59" s="24">
        <v>14</v>
      </c>
      <c r="D59" s="24">
        <v>2.4500000000000002</v>
      </c>
      <c r="E59" s="24">
        <v>5400</v>
      </c>
      <c r="F59" s="23"/>
      <c r="G59" s="25" t="s">
        <v>104</v>
      </c>
      <c r="H59" s="25" t="s">
        <v>106</v>
      </c>
      <c r="I59" s="25">
        <v>0</v>
      </c>
      <c r="J59" s="19"/>
      <c r="K59" s="19"/>
      <c r="L59" s="19"/>
      <c r="M59" s="19"/>
    </row>
    <row r="60" spans="1:13" hidden="1" x14ac:dyDescent="0.2">
      <c r="A60" s="22">
        <v>90</v>
      </c>
      <c r="B60" s="23">
        <v>3774983</v>
      </c>
      <c r="C60" s="23">
        <v>31</v>
      </c>
      <c r="D60" s="23">
        <v>3.2</v>
      </c>
      <c r="E60" s="23">
        <v>6000</v>
      </c>
      <c r="F60" s="23"/>
      <c r="G60" s="25"/>
      <c r="H60" s="25"/>
      <c r="I60" s="25">
        <v>0</v>
      </c>
      <c r="J60" s="19"/>
      <c r="K60" s="19"/>
      <c r="L60" s="19"/>
      <c r="M60" s="19"/>
    </row>
    <row r="61" spans="1:13" hidden="1" x14ac:dyDescent="0.2">
      <c r="A61" s="22">
        <v>111</v>
      </c>
      <c r="B61" s="23">
        <v>3500718</v>
      </c>
      <c r="C61" s="24">
        <v>38.1</v>
      </c>
      <c r="D61" s="24">
        <v>3.66</v>
      </c>
      <c r="E61" s="24">
        <v>4735</v>
      </c>
      <c r="F61" s="24"/>
      <c r="G61" s="28" t="s">
        <v>68</v>
      </c>
      <c r="H61" s="25" t="s">
        <v>122</v>
      </c>
      <c r="I61" s="25">
        <v>0</v>
      </c>
      <c r="J61" s="19"/>
      <c r="K61" s="19"/>
      <c r="L61" s="19"/>
      <c r="M61" s="19"/>
    </row>
    <row r="62" spans="1:13" hidden="1" x14ac:dyDescent="0.2">
      <c r="A62" s="22">
        <v>104</v>
      </c>
      <c r="B62" s="23">
        <v>3502026</v>
      </c>
      <c r="C62" s="24">
        <v>38</v>
      </c>
      <c r="D62" s="24">
        <v>3</v>
      </c>
      <c r="E62" s="24">
        <v>6000</v>
      </c>
      <c r="F62" s="23"/>
      <c r="G62" s="25" t="s">
        <v>123</v>
      </c>
      <c r="H62" s="25" t="s">
        <v>106</v>
      </c>
      <c r="I62" s="25">
        <v>0</v>
      </c>
      <c r="J62" s="19"/>
      <c r="K62" s="19"/>
      <c r="L62" s="19"/>
      <c r="M62" s="19"/>
    </row>
    <row r="63" spans="1:13" hidden="1" x14ac:dyDescent="0.2">
      <c r="A63" s="22">
        <v>120</v>
      </c>
      <c r="B63" s="23">
        <v>3549718</v>
      </c>
      <c r="C63" s="30">
        <v>42.7</v>
      </c>
      <c r="D63" s="30">
        <v>3.5</v>
      </c>
      <c r="E63" s="30">
        <v>6000</v>
      </c>
      <c r="F63" s="23"/>
      <c r="G63" s="25" t="s">
        <v>68</v>
      </c>
      <c r="H63" s="25"/>
      <c r="I63" s="25">
        <v>0</v>
      </c>
      <c r="J63" s="19"/>
      <c r="K63" s="19"/>
      <c r="L63" s="19"/>
      <c r="M63" s="19"/>
    </row>
    <row r="64" spans="1:13" hidden="1" x14ac:dyDescent="0.2">
      <c r="A64" s="22">
        <v>5</v>
      </c>
      <c r="B64" s="23">
        <v>2363145</v>
      </c>
      <c r="C64" s="24">
        <v>14</v>
      </c>
      <c r="D64" s="24">
        <v>2.4500000000000002</v>
      </c>
      <c r="E64" s="24">
        <v>4600</v>
      </c>
      <c r="F64" s="23"/>
      <c r="G64" s="25" t="s">
        <v>104</v>
      </c>
      <c r="H64" s="25" t="s">
        <v>106</v>
      </c>
      <c r="I64" s="25">
        <v>0</v>
      </c>
      <c r="J64" s="19"/>
      <c r="K64" s="19"/>
      <c r="L64" s="19"/>
      <c r="M64" s="19"/>
    </row>
    <row r="65" spans="1:13" x14ac:dyDescent="0.2">
      <c r="A65" s="22">
        <v>106</v>
      </c>
      <c r="B65" s="23">
        <v>3863198</v>
      </c>
      <c r="C65" s="24">
        <v>38.1</v>
      </c>
      <c r="D65" s="24">
        <v>2</v>
      </c>
      <c r="E65" s="24">
        <v>5030</v>
      </c>
      <c r="F65" s="23"/>
      <c r="G65" s="25" t="s">
        <v>68</v>
      </c>
      <c r="H65" s="27">
        <v>812</v>
      </c>
      <c r="I65" s="27">
        <v>2000</v>
      </c>
      <c r="J65" s="19"/>
      <c r="K65" s="19"/>
      <c r="L65" s="19"/>
      <c r="M65" s="19"/>
    </row>
    <row r="66" spans="1:13" hidden="1" x14ac:dyDescent="0.2">
      <c r="A66" s="22">
        <v>44</v>
      </c>
      <c r="B66" s="23">
        <v>2410999</v>
      </c>
      <c r="C66" s="24">
        <v>21.7</v>
      </c>
      <c r="D66" s="24">
        <v>2.75</v>
      </c>
      <c r="E66" s="24">
        <v>5940</v>
      </c>
      <c r="F66" s="23"/>
      <c r="G66" s="25" t="s">
        <v>104</v>
      </c>
      <c r="H66" s="25" t="s">
        <v>106</v>
      </c>
      <c r="I66" s="25">
        <v>0</v>
      </c>
      <c r="J66" s="19"/>
      <c r="K66" s="19"/>
      <c r="L66" s="19"/>
      <c r="M66" s="19"/>
    </row>
    <row r="67" spans="1:13" x14ac:dyDescent="0.2">
      <c r="A67" s="22">
        <v>56</v>
      </c>
      <c r="B67" s="23">
        <v>3502302</v>
      </c>
      <c r="C67" s="24">
        <v>22.2</v>
      </c>
      <c r="D67" s="24">
        <v>2.2999999999999998</v>
      </c>
      <c r="E67" s="24">
        <v>5980</v>
      </c>
      <c r="F67" s="23"/>
      <c r="G67" s="25" t="s">
        <v>68</v>
      </c>
      <c r="H67" s="27">
        <v>427</v>
      </c>
      <c r="I67" s="27">
        <v>5000</v>
      </c>
      <c r="J67" s="19"/>
      <c r="K67" s="19"/>
      <c r="L67" s="19"/>
      <c r="M67" s="19"/>
    </row>
    <row r="68" spans="1:13" hidden="1" x14ac:dyDescent="0.2">
      <c r="A68" s="22">
        <v>37</v>
      </c>
      <c r="B68" s="23">
        <v>2439536</v>
      </c>
      <c r="C68" s="24">
        <v>20</v>
      </c>
      <c r="D68" s="24">
        <v>3.8</v>
      </c>
      <c r="E68" s="24">
        <v>4700</v>
      </c>
      <c r="F68" s="23"/>
      <c r="G68" s="25" t="s">
        <v>104</v>
      </c>
      <c r="H68" s="25" t="s">
        <v>106</v>
      </c>
      <c r="I68" s="25">
        <v>0</v>
      </c>
      <c r="J68" s="19"/>
      <c r="K68" s="19"/>
      <c r="L68" s="19"/>
      <c r="M68" s="19"/>
    </row>
    <row r="69" spans="1:13" hidden="1" x14ac:dyDescent="0.2">
      <c r="A69" s="22">
        <v>19</v>
      </c>
      <c r="B69" s="23">
        <v>3702439</v>
      </c>
      <c r="C69" s="23">
        <v>18.2</v>
      </c>
      <c r="D69" s="23">
        <v>1</v>
      </c>
      <c r="E69" s="23">
        <v>6145</v>
      </c>
      <c r="F69" s="23"/>
      <c r="G69" s="25" t="s">
        <v>68</v>
      </c>
      <c r="H69" s="25"/>
      <c r="I69" s="25">
        <v>0</v>
      </c>
      <c r="J69" s="19"/>
      <c r="K69" s="19"/>
      <c r="L69" s="19"/>
      <c r="M69" s="19"/>
    </row>
    <row r="70" spans="1:13" hidden="1" x14ac:dyDescent="0.2">
      <c r="A70" s="22">
        <v>75</v>
      </c>
      <c r="B70" s="23">
        <v>3806599</v>
      </c>
      <c r="C70" s="23">
        <v>26.3</v>
      </c>
      <c r="D70" s="23">
        <v>3.2</v>
      </c>
      <c r="E70" s="23">
        <v>6000</v>
      </c>
      <c r="F70" s="23"/>
      <c r="G70" s="25"/>
      <c r="H70" s="25" t="s">
        <v>122</v>
      </c>
      <c r="I70" s="25">
        <v>0</v>
      </c>
      <c r="J70" s="19"/>
      <c r="K70" s="19"/>
      <c r="L70" s="19"/>
      <c r="M70" s="19"/>
    </row>
    <row r="71" spans="1:13" hidden="1" x14ac:dyDescent="0.2">
      <c r="A71" s="22">
        <v>125</v>
      </c>
      <c r="B71" s="23">
        <v>3597587</v>
      </c>
      <c r="C71" s="23">
        <v>48.6</v>
      </c>
      <c r="D71" s="23">
        <v>2</v>
      </c>
      <c r="E71" s="23">
        <v>6550</v>
      </c>
      <c r="F71" s="23"/>
      <c r="G71" s="25" t="s">
        <v>114</v>
      </c>
      <c r="H71" s="25"/>
      <c r="I71" s="25">
        <v>0</v>
      </c>
      <c r="J71" s="19"/>
      <c r="K71" s="19"/>
      <c r="L71" s="19"/>
      <c r="M71" s="19"/>
    </row>
    <row r="72" spans="1:13" hidden="1" x14ac:dyDescent="0.2">
      <c r="A72" s="22">
        <v>11</v>
      </c>
      <c r="B72" s="24">
        <v>3188792</v>
      </c>
      <c r="C72" s="24">
        <v>16</v>
      </c>
      <c r="D72" s="24">
        <v>2.8</v>
      </c>
      <c r="E72" s="24">
        <v>3600</v>
      </c>
      <c r="F72" s="23"/>
      <c r="G72" s="25" t="s">
        <v>104</v>
      </c>
      <c r="H72" s="25" t="s">
        <v>106</v>
      </c>
      <c r="I72" s="25">
        <v>0</v>
      </c>
      <c r="J72" s="19"/>
      <c r="K72" s="19"/>
      <c r="L72" s="19"/>
      <c r="M72" s="19"/>
    </row>
    <row r="73" spans="1:13" hidden="1" x14ac:dyDescent="0.2">
      <c r="A73" s="22">
        <v>124</v>
      </c>
      <c r="B73" s="24">
        <v>3502301</v>
      </c>
      <c r="C73" s="24">
        <v>48.6</v>
      </c>
      <c r="D73" s="24">
        <v>2</v>
      </c>
      <c r="E73" s="24">
        <v>6270</v>
      </c>
      <c r="F73" s="24"/>
      <c r="G73" s="28"/>
      <c r="H73" s="25"/>
      <c r="I73" s="25">
        <v>0</v>
      </c>
      <c r="J73" s="19"/>
      <c r="K73" s="19"/>
      <c r="L73" s="19"/>
      <c r="M73" s="19"/>
    </row>
    <row r="74" spans="1:13" hidden="1" x14ac:dyDescent="0.2">
      <c r="A74" s="22">
        <v>144</v>
      </c>
      <c r="B74" s="24">
        <v>3499583</v>
      </c>
      <c r="C74" s="24">
        <v>76.2</v>
      </c>
      <c r="D74" s="24">
        <v>1.6</v>
      </c>
      <c r="E74" s="24">
        <v>6000</v>
      </c>
      <c r="F74" s="24"/>
      <c r="G74" s="28" t="s">
        <v>68</v>
      </c>
      <c r="H74" s="25" t="s">
        <v>124</v>
      </c>
      <c r="I74" s="25">
        <v>0</v>
      </c>
      <c r="J74" s="19"/>
      <c r="K74" s="19"/>
      <c r="L74" s="19"/>
      <c r="M74" s="19"/>
    </row>
    <row r="75" spans="1:13" hidden="1" x14ac:dyDescent="0.2">
      <c r="A75" s="22">
        <v>109</v>
      </c>
      <c r="B75" s="23">
        <v>3500240</v>
      </c>
      <c r="C75" s="24">
        <v>38.1</v>
      </c>
      <c r="D75" s="24">
        <v>2.5</v>
      </c>
      <c r="E75" s="24">
        <v>5650</v>
      </c>
      <c r="F75" s="23"/>
      <c r="G75" s="25" t="s">
        <v>125</v>
      </c>
      <c r="H75" s="25"/>
      <c r="I75" s="25">
        <v>0</v>
      </c>
      <c r="J75" s="19"/>
      <c r="K75" s="19"/>
      <c r="L75" s="19"/>
      <c r="M75" s="19"/>
    </row>
    <row r="76" spans="1:13" hidden="1" x14ac:dyDescent="0.2">
      <c r="A76" s="22">
        <v>3</v>
      </c>
      <c r="B76" s="24">
        <v>3870802</v>
      </c>
      <c r="C76" s="24" t="s">
        <v>10</v>
      </c>
      <c r="D76" s="24">
        <v>1.6</v>
      </c>
      <c r="E76" s="24">
        <v>6030</v>
      </c>
      <c r="F76" s="24"/>
      <c r="G76" s="25" t="s">
        <v>126</v>
      </c>
      <c r="H76" s="25"/>
      <c r="I76" s="25">
        <v>0</v>
      </c>
      <c r="J76" s="19"/>
      <c r="K76" s="19"/>
      <c r="L76" s="19"/>
      <c r="M76" s="19"/>
    </row>
    <row r="77" spans="1:13" hidden="1" x14ac:dyDescent="0.2">
      <c r="A77" s="22">
        <v>116</v>
      </c>
      <c r="B77" s="23">
        <v>3499828</v>
      </c>
      <c r="C77" s="24">
        <v>41.28</v>
      </c>
      <c r="D77" s="24">
        <v>3.15</v>
      </c>
      <c r="E77" s="24">
        <v>5050</v>
      </c>
      <c r="F77" s="24"/>
      <c r="G77" s="25" t="s">
        <v>68</v>
      </c>
      <c r="H77" s="25"/>
      <c r="I77" s="25">
        <v>0</v>
      </c>
      <c r="J77" s="19"/>
      <c r="K77" s="19"/>
      <c r="L77" s="19"/>
      <c r="M77" s="19"/>
    </row>
    <row r="78" spans="1:13" hidden="1" x14ac:dyDescent="0.2">
      <c r="A78" s="22">
        <v>132</v>
      </c>
      <c r="B78" s="24">
        <v>2385287</v>
      </c>
      <c r="C78" s="24">
        <v>50.8</v>
      </c>
      <c r="D78" s="24">
        <v>2.6</v>
      </c>
      <c r="E78" s="24">
        <v>5940</v>
      </c>
      <c r="F78" s="24"/>
      <c r="G78" s="28" t="s">
        <v>68</v>
      </c>
      <c r="H78" s="25" t="s">
        <v>106</v>
      </c>
      <c r="I78" s="25">
        <v>0</v>
      </c>
      <c r="J78" s="19"/>
      <c r="K78" s="19"/>
      <c r="L78" s="19"/>
      <c r="M78" s="19"/>
    </row>
    <row r="79" spans="1:13" hidden="1" x14ac:dyDescent="0.2">
      <c r="A79" s="22">
        <v>17</v>
      </c>
      <c r="B79" s="23">
        <v>3702201</v>
      </c>
      <c r="C79" s="24">
        <v>17.3</v>
      </c>
      <c r="D79" s="24">
        <v>1.2</v>
      </c>
      <c r="E79" s="24">
        <v>6000</v>
      </c>
      <c r="F79" s="23"/>
      <c r="G79" s="25" t="s">
        <v>68</v>
      </c>
      <c r="H79" s="25"/>
      <c r="I79" s="25">
        <v>0</v>
      </c>
      <c r="J79" s="19"/>
      <c r="K79" s="19"/>
      <c r="L79" s="19"/>
      <c r="M79" s="19"/>
    </row>
    <row r="80" spans="1:13" hidden="1" x14ac:dyDescent="0.2">
      <c r="A80" s="22">
        <v>129</v>
      </c>
      <c r="B80" s="23">
        <v>3502422</v>
      </c>
      <c r="C80" s="23">
        <v>48.6</v>
      </c>
      <c r="D80" s="23">
        <v>3.5</v>
      </c>
      <c r="E80" s="23">
        <v>4650</v>
      </c>
      <c r="F80" s="23" t="s">
        <v>127</v>
      </c>
      <c r="G80" s="25" t="s">
        <v>68</v>
      </c>
      <c r="H80" s="25"/>
      <c r="I80" s="25">
        <v>0</v>
      </c>
      <c r="J80" s="19"/>
      <c r="K80" s="19"/>
      <c r="L80" s="19"/>
      <c r="M80" s="19"/>
    </row>
    <row r="81" spans="1:13" hidden="1" x14ac:dyDescent="0.2">
      <c r="A81" s="22">
        <v>20</v>
      </c>
      <c r="B81" s="23">
        <v>2288945</v>
      </c>
      <c r="C81" s="23">
        <v>18.2</v>
      </c>
      <c r="D81" s="23">
        <v>1</v>
      </c>
      <c r="E81" s="23">
        <v>6145</v>
      </c>
      <c r="F81" s="23"/>
      <c r="G81" s="25" t="s">
        <v>68</v>
      </c>
      <c r="H81" s="25"/>
      <c r="I81" s="25">
        <v>0</v>
      </c>
      <c r="J81" s="19"/>
      <c r="K81" s="19"/>
      <c r="L81" s="19"/>
      <c r="M81" s="19"/>
    </row>
    <row r="87" spans="1:13" x14ac:dyDescent="0.2">
      <c r="B87" t="s">
        <v>147</v>
      </c>
      <c r="D87" s="51">
        <v>46032</v>
      </c>
    </row>
    <row r="88" spans="1:13" x14ac:dyDescent="0.2">
      <c r="B88" s="19" t="s">
        <v>155</v>
      </c>
      <c r="C88" s="1" t="s">
        <v>3</v>
      </c>
      <c r="D88" s="52" t="s">
        <v>151</v>
      </c>
      <c r="E88" s="1" t="s">
        <v>152</v>
      </c>
      <c r="G88" s="1" t="s">
        <v>153</v>
      </c>
      <c r="H88" s="1" t="s">
        <v>154</v>
      </c>
    </row>
    <row r="89" spans="1:13" x14ac:dyDescent="0.2">
      <c r="B89" s="19" t="s">
        <v>144</v>
      </c>
      <c r="C89" s="1">
        <v>54</v>
      </c>
      <c r="D89" s="1">
        <v>3</v>
      </c>
      <c r="E89" s="1">
        <v>1140</v>
      </c>
      <c r="G89" s="1">
        <f>(C89-D89)*D89*E89*H89*0.02465/1000/1000</f>
        <v>4.2994530000000006</v>
      </c>
      <c r="H89" s="1">
        <v>1000</v>
      </c>
    </row>
    <row r="90" spans="1:13" x14ac:dyDescent="0.2">
      <c r="B90" s="19" t="s">
        <v>144</v>
      </c>
      <c r="C90" s="1">
        <v>50</v>
      </c>
      <c r="D90" s="1">
        <v>1.6</v>
      </c>
      <c r="E90" s="1">
        <v>636</v>
      </c>
      <c r="G90" s="1">
        <f t="shared" ref="G90:G100" si="0">(C90-D90)*D90*E90*H90*0.02465/1000/1000</f>
        <v>7.2843471360000001</v>
      </c>
      <c r="H90" s="1">
        <v>6000</v>
      </c>
    </row>
    <row r="91" spans="1:13" x14ac:dyDescent="0.2">
      <c r="B91" s="19" t="s">
        <v>145</v>
      </c>
      <c r="C91" s="1">
        <v>17.3</v>
      </c>
      <c r="D91" s="1">
        <v>1.6</v>
      </c>
      <c r="E91" s="1">
        <v>355</v>
      </c>
      <c r="G91" s="1">
        <f t="shared" si="0"/>
        <v>2.1981884000000003</v>
      </c>
      <c r="H91" s="1">
        <v>10000</v>
      </c>
    </row>
    <row r="92" spans="1:13" x14ac:dyDescent="0.2">
      <c r="B92" s="19" t="s">
        <v>145</v>
      </c>
      <c r="C92" s="1">
        <v>19</v>
      </c>
      <c r="D92" s="1">
        <v>3.25</v>
      </c>
      <c r="E92" s="1">
        <v>588</v>
      </c>
      <c r="G92" s="1">
        <f t="shared" si="0"/>
        <v>2.2257655875000002</v>
      </c>
      <c r="H92" s="1">
        <v>3000</v>
      </c>
    </row>
    <row r="93" spans="1:13" x14ac:dyDescent="0.2">
      <c r="B93" s="19" t="s">
        <v>146</v>
      </c>
      <c r="C93" s="1">
        <v>22.23</v>
      </c>
      <c r="D93" s="1">
        <v>1.2</v>
      </c>
      <c r="E93" s="1">
        <v>681</v>
      </c>
      <c r="G93" s="1">
        <f t="shared" si="0"/>
        <v>2.118139497</v>
      </c>
      <c r="H93" s="1">
        <v>5000</v>
      </c>
    </row>
    <row r="94" spans="1:13" x14ac:dyDescent="0.2">
      <c r="B94" s="19" t="s">
        <v>146</v>
      </c>
      <c r="C94" s="1">
        <v>17.3</v>
      </c>
      <c r="D94" s="1">
        <v>1.6</v>
      </c>
      <c r="E94" s="1">
        <v>400</v>
      </c>
      <c r="G94" s="1">
        <f t="shared" si="0"/>
        <v>1.238416</v>
      </c>
      <c r="H94" s="1">
        <v>5000</v>
      </c>
    </row>
    <row r="95" spans="1:13" x14ac:dyDescent="0.2">
      <c r="B95" s="19" t="s">
        <v>146</v>
      </c>
      <c r="C95" s="1">
        <v>22.23</v>
      </c>
      <c r="D95" s="1">
        <v>1.2</v>
      </c>
      <c r="E95" s="1">
        <v>297</v>
      </c>
      <c r="G95" s="1">
        <f t="shared" si="0"/>
        <v>0.92377008899999991</v>
      </c>
      <c r="H95" s="1">
        <v>5000</v>
      </c>
    </row>
    <row r="96" spans="1:13" x14ac:dyDescent="0.2">
      <c r="B96" s="19" t="s">
        <v>156</v>
      </c>
      <c r="C96" s="1">
        <v>54</v>
      </c>
      <c r="D96" s="1">
        <v>3</v>
      </c>
      <c r="E96" s="1">
        <v>1140</v>
      </c>
      <c r="G96" s="1">
        <f t="shared" si="0"/>
        <v>4.2994530000000006</v>
      </c>
      <c r="H96" s="1">
        <v>1000</v>
      </c>
    </row>
    <row r="97" spans="2:13" x14ac:dyDescent="0.2">
      <c r="B97" s="19" t="s">
        <v>156</v>
      </c>
      <c r="C97" s="1">
        <v>50</v>
      </c>
      <c r="D97" s="1">
        <v>1.6</v>
      </c>
      <c r="E97" s="1">
        <v>604</v>
      </c>
      <c r="G97" s="1">
        <f t="shared" si="0"/>
        <v>5.7648659200000001</v>
      </c>
      <c r="H97" s="1">
        <v>5000</v>
      </c>
    </row>
    <row r="98" spans="2:13" x14ac:dyDescent="0.2">
      <c r="B98" s="19" t="s">
        <v>157</v>
      </c>
      <c r="C98" s="1">
        <v>63.5</v>
      </c>
      <c r="D98" s="1">
        <v>4</v>
      </c>
      <c r="E98" s="1">
        <v>234</v>
      </c>
      <c r="G98" s="1">
        <f t="shared" si="0"/>
        <v>4.1184233999999993</v>
      </c>
      <c r="H98" s="1">
        <v>3000</v>
      </c>
    </row>
    <row r="99" spans="2:13" x14ac:dyDescent="0.2">
      <c r="B99" s="19" t="s">
        <v>158</v>
      </c>
      <c r="C99" s="1">
        <v>25.4</v>
      </c>
      <c r="D99" s="1">
        <v>2.5</v>
      </c>
      <c r="E99" s="1">
        <v>783</v>
      </c>
      <c r="G99" s="1">
        <f t="shared" si="0"/>
        <v>5.5248969374999994</v>
      </c>
      <c r="H99" s="1">
        <v>5000</v>
      </c>
    </row>
    <row r="100" spans="2:13" x14ac:dyDescent="0.2">
      <c r="B100" s="19"/>
      <c r="C100" s="1"/>
      <c r="D100" s="1"/>
      <c r="E100" s="1"/>
      <c r="G100" s="1">
        <f t="shared" si="0"/>
        <v>0</v>
      </c>
      <c r="H100" s="1"/>
    </row>
    <row r="101" spans="2:13" x14ac:dyDescent="0.2">
      <c r="G101" s="53">
        <f>SUBTOTAL(9,G89:G100)</f>
        <v>39.995718967000002</v>
      </c>
      <c r="H101">
        <f>SUBTOTAL(9,H89:H100)</f>
        <v>49000</v>
      </c>
    </row>
    <row r="104" spans="2:13" ht="15.75" thickBot="1" x14ac:dyDescent="0.25">
      <c r="C104" s="19"/>
      <c r="D104" s="19"/>
      <c r="E104" s="19"/>
      <c r="G104" s="19"/>
      <c r="H104" s="19"/>
      <c r="I104" s="19"/>
      <c r="J104" s="19"/>
      <c r="K104" s="19"/>
      <c r="L104" s="19"/>
      <c r="M104" s="19"/>
    </row>
    <row r="105" spans="2:13" ht="16.5" x14ac:dyDescent="0.25">
      <c r="C105" s="19"/>
      <c r="D105" s="19"/>
      <c r="E105" s="57">
        <v>17.3</v>
      </c>
      <c r="F105" s="56">
        <v>0</v>
      </c>
      <c r="G105" s="57">
        <v>1.6</v>
      </c>
      <c r="H105" s="57">
        <v>355</v>
      </c>
      <c r="I105" s="55"/>
      <c r="J105" s="55"/>
      <c r="K105" s="54">
        <v>3000</v>
      </c>
      <c r="L105" s="19"/>
      <c r="M105" s="19"/>
    </row>
    <row r="106" spans="2:13" x14ac:dyDescent="0.2">
      <c r="C106" s="19"/>
      <c r="D106" s="19"/>
      <c r="E106" s="19"/>
      <c r="G106" s="19"/>
      <c r="H106" s="19"/>
      <c r="I106" s="19"/>
      <c r="J106" s="19"/>
      <c r="K106" s="19"/>
      <c r="L106" s="19"/>
      <c r="M106" s="19"/>
    </row>
    <row r="107" spans="2:13" x14ac:dyDescent="0.2">
      <c r="C107" s="19"/>
      <c r="D107" s="19"/>
      <c r="E107" s="19"/>
      <c r="G107" s="19"/>
      <c r="H107" s="19"/>
      <c r="I107" s="19"/>
      <c r="J107" s="19"/>
      <c r="K107" s="19"/>
      <c r="L107" s="19"/>
      <c r="M107" s="19"/>
    </row>
    <row r="108" spans="2:13" x14ac:dyDescent="0.2">
      <c r="C108" s="19"/>
      <c r="D108" s="19"/>
      <c r="E108" s="19"/>
      <c r="G108" s="19"/>
      <c r="H108" s="19"/>
      <c r="I108" s="19"/>
      <c r="J108" s="19"/>
      <c r="K108" s="19"/>
      <c r="L108" s="19"/>
      <c r="M108" s="19"/>
    </row>
    <row r="109" spans="2:13" x14ac:dyDescent="0.2">
      <c r="C109" s="19"/>
      <c r="D109" s="19"/>
      <c r="E109" s="19"/>
      <c r="G109" s="19"/>
      <c r="H109" s="19"/>
      <c r="I109" s="19"/>
      <c r="J109" s="19"/>
      <c r="K109" s="19"/>
      <c r="L109" s="19"/>
      <c r="M109" s="19"/>
    </row>
    <row r="110" spans="2:13" x14ac:dyDescent="0.2">
      <c r="C110" s="19"/>
      <c r="D110" s="19"/>
      <c r="E110" s="19"/>
      <c r="G110" s="19"/>
      <c r="H110" s="19"/>
      <c r="I110" s="19"/>
      <c r="J110" s="19"/>
      <c r="K110" s="19"/>
      <c r="L110" s="19"/>
      <c r="M110" s="19"/>
    </row>
    <row r="111" spans="2:13" x14ac:dyDescent="0.2">
      <c r="C111" s="19"/>
      <c r="D111" s="19"/>
      <c r="E111" s="19"/>
      <c r="G111" s="19"/>
      <c r="H111" s="19"/>
      <c r="I111" s="19"/>
      <c r="J111" s="19"/>
      <c r="K111" s="19"/>
      <c r="L111" s="19"/>
      <c r="M111" s="19"/>
    </row>
    <row r="112" spans="2:13" x14ac:dyDescent="0.2">
      <c r="C112" s="19"/>
      <c r="D112" s="19"/>
      <c r="E112" s="19"/>
      <c r="G112" s="19"/>
      <c r="H112" s="19"/>
      <c r="I112" s="19"/>
      <c r="J112" s="19"/>
      <c r="K112" s="19"/>
      <c r="L112" s="19"/>
      <c r="M112" s="19"/>
    </row>
    <row r="113" spans="3:13" x14ac:dyDescent="0.2">
      <c r="C113" s="19"/>
      <c r="D113" s="19"/>
      <c r="E113" s="19"/>
      <c r="G113" s="19"/>
      <c r="H113" s="19"/>
      <c r="I113" s="19"/>
      <c r="J113" s="19"/>
      <c r="K113" s="19"/>
      <c r="L113" s="19"/>
      <c r="M113" s="19"/>
    </row>
    <row r="114" spans="3:13" x14ac:dyDescent="0.2">
      <c r="C114" s="19"/>
      <c r="D114" s="19"/>
      <c r="E114" s="19"/>
      <c r="G114" s="19"/>
      <c r="H114" s="19"/>
      <c r="I114" s="19"/>
      <c r="J114" s="19"/>
      <c r="K114" s="19"/>
      <c r="L114" s="19"/>
      <c r="M114" s="19"/>
    </row>
    <row r="115" spans="3:13" x14ac:dyDescent="0.2">
      <c r="C115" s="19"/>
      <c r="D115" s="19"/>
      <c r="E115" s="19"/>
      <c r="G115" s="19"/>
      <c r="H115" s="19"/>
      <c r="I115" s="19"/>
      <c r="J115" s="19"/>
      <c r="K115" s="19"/>
      <c r="L115" s="19"/>
      <c r="M115" s="19"/>
    </row>
    <row r="116" spans="3:13" x14ac:dyDescent="0.2">
      <c r="C116" s="19"/>
      <c r="D116" s="19"/>
      <c r="E116" s="19"/>
      <c r="G116" s="19"/>
      <c r="H116" s="19"/>
      <c r="I116" s="19"/>
      <c r="J116" s="19"/>
      <c r="K116" s="19"/>
      <c r="L116" s="19"/>
      <c r="M116" s="19"/>
    </row>
    <row r="117" spans="3:13" x14ac:dyDescent="0.2">
      <c r="C117" s="19"/>
      <c r="D117" s="19"/>
      <c r="E117" s="19"/>
      <c r="G117" s="19"/>
      <c r="H117" s="19"/>
      <c r="I117" s="19"/>
      <c r="J117" s="19"/>
      <c r="K117" s="19"/>
      <c r="L117" s="19"/>
      <c r="M117" s="19"/>
    </row>
    <row r="118" spans="3:13" x14ac:dyDescent="0.2">
      <c r="C118" s="19"/>
      <c r="D118" s="19"/>
      <c r="E118" s="19"/>
      <c r="G118" s="19"/>
      <c r="H118" s="19"/>
      <c r="I118" s="19"/>
      <c r="J118" s="19"/>
      <c r="K118" s="19"/>
      <c r="L118" s="19"/>
      <c r="M118" s="19"/>
    </row>
    <row r="119" spans="3:13" x14ac:dyDescent="0.2">
      <c r="C119" s="19"/>
      <c r="D119" s="19"/>
      <c r="E119" s="19"/>
      <c r="G119" s="19"/>
      <c r="H119" s="19"/>
      <c r="I119" s="19"/>
      <c r="J119" s="19"/>
      <c r="K119" s="19"/>
      <c r="L119" s="19"/>
      <c r="M119" s="19"/>
    </row>
  </sheetData>
  <autoFilter ref="A1:M81" xr:uid="{00000000-0009-0000-0000-000001000000}">
    <filterColumn colId="8">
      <filters blank="1">
        <filter val="11500"/>
        <filter val="15000"/>
        <filter val="2000"/>
        <filter val="2000/2000"/>
        <filter val="3000"/>
        <filter val="30000/17500"/>
        <filter val="4000"/>
        <filter val="5000"/>
        <filter val="6000/2500"/>
      </filters>
    </filterColumn>
  </autoFilter>
  <mergeCells count="8">
    <mergeCell ref="H1:H2"/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"/>
  <sheetViews>
    <sheetView topLeftCell="A37" workbookViewId="0">
      <selection activeCell="G13" sqref="G13"/>
    </sheetView>
  </sheetViews>
  <sheetFormatPr defaultRowHeight="15" x14ac:dyDescent="0.2"/>
  <sheetData>
    <row r="1" spans="1:12" ht="37.5" x14ac:dyDescent="0.2">
      <c r="A1" s="31" t="s">
        <v>132</v>
      </c>
      <c r="B1" s="33" t="s">
        <v>133</v>
      </c>
      <c r="C1" s="33" t="s">
        <v>134</v>
      </c>
      <c r="D1" s="33" t="s">
        <v>135</v>
      </c>
      <c r="E1" s="33" t="s">
        <v>136</v>
      </c>
      <c r="F1" s="47" t="s">
        <v>137</v>
      </c>
      <c r="G1" s="47" t="s">
        <v>138</v>
      </c>
      <c r="H1" s="47" t="s">
        <v>139</v>
      </c>
      <c r="I1" s="36" t="s">
        <v>140</v>
      </c>
      <c r="J1" s="48" t="s">
        <v>141</v>
      </c>
      <c r="K1" s="48" t="s">
        <v>142</v>
      </c>
      <c r="L1" s="48" t="s">
        <v>143</v>
      </c>
    </row>
    <row r="2" spans="1:12" x14ac:dyDescent="0.2">
      <c r="A2" s="31" t="s">
        <v>128</v>
      </c>
      <c r="B2" s="33">
        <v>19.05</v>
      </c>
      <c r="C2" s="33">
        <v>1.2</v>
      </c>
      <c r="D2" s="33">
        <v>0.65</v>
      </c>
      <c r="E2" s="33">
        <v>4000</v>
      </c>
      <c r="F2" s="34">
        <v>0</v>
      </c>
      <c r="G2" s="35">
        <v>1.3728078000000001</v>
      </c>
      <c r="H2" s="34">
        <v>0</v>
      </c>
      <c r="I2" s="36">
        <f>E2-K2-J2</f>
        <v>-150</v>
      </c>
      <c r="J2" s="19">
        <v>4150</v>
      </c>
      <c r="K2" s="19"/>
      <c r="L2" s="49">
        <v>0</v>
      </c>
    </row>
    <row r="3" spans="1:12" x14ac:dyDescent="0.2">
      <c r="A3" s="31" t="s">
        <v>128</v>
      </c>
      <c r="B3" s="33">
        <v>19.05</v>
      </c>
      <c r="C3" s="33">
        <v>1.2</v>
      </c>
      <c r="D3" s="33">
        <v>0.51300000000000001</v>
      </c>
      <c r="E3" s="33">
        <v>3000</v>
      </c>
      <c r="F3" s="34">
        <v>0</v>
      </c>
      <c r="G3" s="35">
        <v>0.81259661700000008</v>
      </c>
      <c r="H3" s="34">
        <v>0</v>
      </c>
      <c r="I3" s="36">
        <f t="shared" ref="I3:I66" si="0">E3-K3-J3</f>
        <v>3000</v>
      </c>
      <c r="J3" s="19">
        <v>0</v>
      </c>
      <c r="K3" s="19"/>
      <c r="L3" s="49">
        <v>0</v>
      </c>
    </row>
    <row r="4" spans="1:12" x14ac:dyDescent="0.2">
      <c r="A4" s="31" t="s">
        <v>128</v>
      </c>
      <c r="B4" s="33">
        <v>19.05</v>
      </c>
      <c r="C4" s="33">
        <v>1.2</v>
      </c>
      <c r="D4" s="33">
        <v>0.33</v>
      </c>
      <c r="E4" s="33">
        <v>4000</v>
      </c>
      <c r="F4" s="34">
        <v>0</v>
      </c>
      <c r="G4" s="35">
        <v>0.69696396000000005</v>
      </c>
      <c r="H4" s="34">
        <v>0</v>
      </c>
      <c r="I4" s="36">
        <f t="shared" si="0"/>
        <v>4000</v>
      </c>
      <c r="J4" s="19">
        <v>0</v>
      </c>
      <c r="K4" s="19"/>
      <c r="L4" s="49">
        <v>0</v>
      </c>
    </row>
    <row r="5" spans="1:12" x14ac:dyDescent="0.2">
      <c r="A5" s="31" t="s">
        <v>128</v>
      </c>
      <c r="B5" s="33">
        <v>19.05</v>
      </c>
      <c r="C5" s="33">
        <v>1.2</v>
      </c>
      <c r="D5" s="33">
        <v>0.109</v>
      </c>
      <c r="E5" s="33">
        <v>3000</v>
      </c>
      <c r="F5" s="34">
        <v>0</v>
      </c>
      <c r="G5" s="35">
        <v>0.17265698100000001</v>
      </c>
      <c r="H5" s="34">
        <v>0</v>
      </c>
      <c r="I5" s="36">
        <f t="shared" si="0"/>
        <v>3000</v>
      </c>
      <c r="J5" s="19">
        <v>0</v>
      </c>
      <c r="K5" s="19"/>
      <c r="L5" s="49">
        <v>0</v>
      </c>
    </row>
    <row r="6" spans="1:12" x14ac:dyDescent="0.2">
      <c r="A6" s="31" t="s">
        <v>128</v>
      </c>
      <c r="B6" s="33">
        <v>15.88</v>
      </c>
      <c r="C6" s="33">
        <v>1.22</v>
      </c>
      <c r="D6" s="33">
        <v>0.68</v>
      </c>
      <c r="E6" s="33">
        <v>3000</v>
      </c>
      <c r="F6" s="34">
        <v>1000</v>
      </c>
      <c r="G6" s="35">
        <v>0.29979172240000002</v>
      </c>
      <c r="H6" s="34">
        <v>0.29979172240000002</v>
      </c>
      <c r="I6" s="36">
        <f t="shared" si="0"/>
        <v>1300</v>
      </c>
      <c r="J6" s="19">
        <v>1700</v>
      </c>
      <c r="K6" s="19"/>
      <c r="L6" s="19"/>
    </row>
    <row r="7" spans="1:12" x14ac:dyDescent="0.2">
      <c r="A7" s="31" t="s">
        <v>128</v>
      </c>
      <c r="B7" s="33">
        <v>22.23</v>
      </c>
      <c r="C7" s="33">
        <v>1.2</v>
      </c>
      <c r="D7" s="33">
        <v>1.3080000000000001</v>
      </c>
      <c r="E7" s="33">
        <v>1667</v>
      </c>
      <c r="F7" s="34">
        <v>0</v>
      </c>
      <c r="G7" s="35">
        <v>1.3563781533863999</v>
      </c>
      <c r="H7" s="34">
        <v>0</v>
      </c>
      <c r="I7" s="36">
        <f t="shared" si="0"/>
        <v>667</v>
      </c>
      <c r="J7" s="19">
        <v>1000</v>
      </c>
      <c r="K7" s="19"/>
      <c r="L7" s="19"/>
    </row>
    <row r="8" spans="1:12" x14ac:dyDescent="0.2">
      <c r="A8" s="31" t="s">
        <v>128</v>
      </c>
      <c r="B8" s="33">
        <v>22.23</v>
      </c>
      <c r="C8" s="33">
        <v>1.2</v>
      </c>
      <c r="D8" s="33">
        <v>0.68100000000000005</v>
      </c>
      <c r="E8" s="33">
        <v>1000</v>
      </c>
      <c r="F8" s="34">
        <v>0</v>
      </c>
      <c r="G8" s="35">
        <v>0.42362789940000006</v>
      </c>
      <c r="H8" s="34">
        <v>0</v>
      </c>
      <c r="I8" s="36">
        <f t="shared" si="0"/>
        <v>1000</v>
      </c>
      <c r="J8" s="19">
        <v>0</v>
      </c>
      <c r="K8" s="19"/>
      <c r="L8" s="19"/>
    </row>
    <row r="9" spans="1:12" x14ac:dyDescent="0.2">
      <c r="A9" s="31" t="s">
        <v>128</v>
      </c>
      <c r="B9" s="33">
        <v>22.23</v>
      </c>
      <c r="C9" s="33">
        <v>1.6</v>
      </c>
      <c r="D9" s="33">
        <v>0.29699999999999999</v>
      </c>
      <c r="E9" s="33">
        <v>1667</v>
      </c>
      <c r="F9" s="34">
        <v>0</v>
      </c>
      <c r="G9" s="35">
        <v>0.40283591507279998</v>
      </c>
      <c r="H9" s="34">
        <v>0</v>
      </c>
      <c r="I9" s="36">
        <f t="shared" si="0"/>
        <v>1667</v>
      </c>
      <c r="J9" s="19">
        <v>0</v>
      </c>
      <c r="K9" s="19"/>
      <c r="L9" s="50">
        <v>0</v>
      </c>
    </row>
    <row r="10" spans="1:12" x14ac:dyDescent="0.2">
      <c r="A10" s="31" t="s">
        <v>128</v>
      </c>
      <c r="B10" s="33">
        <v>22.23</v>
      </c>
      <c r="C10" s="33">
        <v>1.6</v>
      </c>
      <c r="D10" s="33">
        <v>0.80900000000000005</v>
      </c>
      <c r="E10" s="33">
        <v>2000</v>
      </c>
      <c r="F10" s="34">
        <v>0</v>
      </c>
      <c r="G10" s="35">
        <v>1.3164811696000001</v>
      </c>
      <c r="H10" s="34">
        <v>0</v>
      </c>
      <c r="I10" s="36">
        <f t="shared" si="0"/>
        <v>2000</v>
      </c>
      <c r="J10" s="19">
        <v>0</v>
      </c>
      <c r="K10" s="19"/>
      <c r="L10" s="50">
        <v>0</v>
      </c>
    </row>
    <row r="11" spans="1:12" x14ac:dyDescent="0.2">
      <c r="A11" s="31" t="s">
        <v>128</v>
      </c>
      <c r="B11" s="33">
        <v>22.23</v>
      </c>
      <c r="C11" s="33">
        <v>1.6</v>
      </c>
      <c r="D11" s="33">
        <v>0.39400000000000002</v>
      </c>
      <c r="E11" s="33">
        <v>1667</v>
      </c>
      <c r="F11" s="34">
        <v>0</v>
      </c>
      <c r="G11" s="35">
        <v>0.5344018536656</v>
      </c>
      <c r="H11" s="34">
        <v>0</v>
      </c>
      <c r="I11" s="36">
        <f t="shared" si="0"/>
        <v>1667</v>
      </c>
      <c r="J11" s="19">
        <v>0</v>
      </c>
      <c r="K11" s="19"/>
      <c r="L11" s="50">
        <v>0</v>
      </c>
    </row>
    <row r="12" spans="1:12" x14ac:dyDescent="0.2">
      <c r="A12" s="31" t="s">
        <v>128</v>
      </c>
      <c r="B12" s="33">
        <v>22.23</v>
      </c>
      <c r="C12" s="33">
        <v>1.2</v>
      </c>
      <c r="D12" s="33">
        <v>0.14000000000000001</v>
      </c>
      <c r="E12" s="33">
        <v>1000</v>
      </c>
      <c r="F12" s="34">
        <v>0</v>
      </c>
      <c r="G12" s="35">
        <v>8.7089436000000006E-2</v>
      </c>
      <c r="H12" s="34">
        <v>0</v>
      </c>
      <c r="I12" s="36">
        <f t="shared" si="0"/>
        <v>1000</v>
      </c>
      <c r="J12" s="19">
        <v>0</v>
      </c>
      <c r="K12" s="19"/>
      <c r="L12" s="19"/>
    </row>
    <row r="13" spans="1:12" x14ac:dyDescent="0.2">
      <c r="A13" s="31" t="s">
        <v>128</v>
      </c>
      <c r="B13" s="33">
        <v>15.88</v>
      </c>
      <c r="C13" s="33">
        <v>1.22</v>
      </c>
      <c r="D13" s="33">
        <v>0.755</v>
      </c>
      <c r="E13" s="33">
        <v>2000</v>
      </c>
      <c r="F13" s="34">
        <v>0</v>
      </c>
      <c r="G13" s="35">
        <v>0.66571397179999992</v>
      </c>
      <c r="H13" s="34">
        <v>0</v>
      </c>
      <c r="I13" s="36">
        <f t="shared" si="0"/>
        <v>2000</v>
      </c>
      <c r="J13" s="19">
        <v>0</v>
      </c>
      <c r="K13" s="19"/>
      <c r="L13" s="19"/>
    </row>
    <row r="14" spans="1:12" x14ac:dyDescent="0.2">
      <c r="A14" s="32" t="s">
        <v>129</v>
      </c>
      <c r="B14" s="33">
        <v>29.4</v>
      </c>
      <c r="C14" s="33">
        <v>4.5</v>
      </c>
      <c r="D14" s="33">
        <v>0.45</v>
      </c>
      <c r="E14" s="33">
        <v>4000</v>
      </c>
      <c r="F14" s="34">
        <v>0</v>
      </c>
      <c r="G14" s="35">
        <v>4.9716584999999993</v>
      </c>
      <c r="H14" s="34">
        <v>0</v>
      </c>
      <c r="I14" s="36">
        <f t="shared" si="0"/>
        <v>2000</v>
      </c>
      <c r="J14" s="19">
        <v>0</v>
      </c>
      <c r="K14" s="19">
        <v>2000</v>
      </c>
      <c r="L14" s="19"/>
    </row>
    <row r="15" spans="1:12" x14ac:dyDescent="0.2">
      <c r="A15" s="37" t="s">
        <v>130</v>
      </c>
      <c r="B15" s="33">
        <v>22.23</v>
      </c>
      <c r="C15" s="33">
        <v>1.2</v>
      </c>
      <c r="D15" s="33">
        <v>1.1619999999999999</v>
      </c>
      <c r="E15" s="33">
        <v>6000</v>
      </c>
      <c r="F15" s="34">
        <v>3000</v>
      </c>
      <c r="G15" s="35">
        <v>4.3370539127999992</v>
      </c>
      <c r="H15" s="34">
        <v>2.1685269563999996</v>
      </c>
      <c r="I15" s="36">
        <f t="shared" si="0"/>
        <v>0</v>
      </c>
      <c r="J15" s="19">
        <v>6000</v>
      </c>
      <c r="K15" s="19"/>
      <c r="L15" s="19"/>
    </row>
    <row r="16" spans="1:12" x14ac:dyDescent="0.2">
      <c r="A16" s="37" t="s">
        <v>130</v>
      </c>
      <c r="B16" s="33">
        <v>19.05</v>
      </c>
      <c r="C16" s="33">
        <v>1.2</v>
      </c>
      <c r="D16" s="33">
        <v>1.2749999999999999</v>
      </c>
      <c r="E16" s="33">
        <v>6000</v>
      </c>
      <c r="F16" s="34">
        <v>0</v>
      </c>
      <c r="G16" s="35">
        <v>4.0392229500000001</v>
      </c>
      <c r="H16" s="34">
        <v>0</v>
      </c>
      <c r="I16" s="36">
        <f t="shared" si="0"/>
        <v>6000</v>
      </c>
      <c r="J16" s="19">
        <v>0</v>
      </c>
      <c r="K16" s="19"/>
      <c r="L16" s="50">
        <v>0</v>
      </c>
    </row>
    <row r="17" spans="1:12" x14ac:dyDescent="0.2">
      <c r="A17" s="37" t="s">
        <v>130</v>
      </c>
      <c r="B17" s="33">
        <v>19.05</v>
      </c>
      <c r="C17" s="33">
        <v>1.2</v>
      </c>
      <c r="D17" s="33">
        <v>1.075</v>
      </c>
      <c r="E17" s="33">
        <v>1667</v>
      </c>
      <c r="F17" s="34">
        <v>0</v>
      </c>
      <c r="G17" s="35">
        <v>0.94619457607500013</v>
      </c>
      <c r="H17" s="34">
        <v>0</v>
      </c>
      <c r="I17" s="36">
        <f t="shared" si="0"/>
        <v>667</v>
      </c>
      <c r="J17" s="19">
        <v>1000</v>
      </c>
      <c r="K17" s="19"/>
      <c r="L17" s="50">
        <v>0</v>
      </c>
    </row>
    <row r="18" spans="1:12" x14ac:dyDescent="0.2">
      <c r="A18" s="37" t="s">
        <v>130</v>
      </c>
      <c r="B18" s="33">
        <v>19.05</v>
      </c>
      <c r="C18" s="33">
        <v>1.2</v>
      </c>
      <c r="D18" s="33">
        <v>1.1299999999999999</v>
      </c>
      <c r="E18" s="33">
        <v>3000</v>
      </c>
      <c r="F18" s="34">
        <v>2000</v>
      </c>
      <c r="G18" s="35">
        <v>1.7899301699999999</v>
      </c>
      <c r="H18" s="34">
        <v>1.19328678</v>
      </c>
      <c r="I18" s="36">
        <f t="shared" si="0"/>
        <v>1000</v>
      </c>
      <c r="J18" s="19">
        <v>2000</v>
      </c>
      <c r="K18" s="19"/>
      <c r="L18" s="50">
        <v>0</v>
      </c>
    </row>
    <row r="19" spans="1:12" x14ac:dyDescent="0.2">
      <c r="A19" s="37" t="s">
        <v>130</v>
      </c>
      <c r="B19" s="33">
        <v>19.05</v>
      </c>
      <c r="C19" s="33">
        <v>1.2</v>
      </c>
      <c r="D19" s="33">
        <v>0.33</v>
      </c>
      <c r="E19" s="33">
        <v>12000</v>
      </c>
      <c r="F19" s="34">
        <v>0</v>
      </c>
      <c r="G19" s="35">
        <v>2.09089188</v>
      </c>
      <c r="H19" s="34">
        <v>0</v>
      </c>
      <c r="I19" s="36">
        <f t="shared" si="0"/>
        <v>12000</v>
      </c>
      <c r="J19" s="19">
        <v>0</v>
      </c>
      <c r="K19" s="19"/>
      <c r="L19" s="50">
        <v>0</v>
      </c>
    </row>
    <row r="20" spans="1:12" x14ac:dyDescent="0.2">
      <c r="A20" s="37" t="s">
        <v>130</v>
      </c>
      <c r="B20" s="33">
        <v>19.05</v>
      </c>
      <c r="C20" s="33">
        <v>1.2</v>
      </c>
      <c r="D20" s="33">
        <v>0.68</v>
      </c>
      <c r="E20" s="33">
        <v>3000</v>
      </c>
      <c r="F20" s="34">
        <v>0</v>
      </c>
      <c r="G20" s="35">
        <v>1.07712612</v>
      </c>
      <c r="H20" s="34">
        <v>0</v>
      </c>
      <c r="I20" s="36">
        <f t="shared" si="0"/>
        <v>3000</v>
      </c>
      <c r="J20" s="19">
        <v>0</v>
      </c>
      <c r="K20" s="19"/>
      <c r="L20" s="50">
        <v>0</v>
      </c>
    </row>
    <row r="21" spans="1:12" x14ac:dyDescent="0.2">
      <c r="A21" s="37" t="s">
        <v>130</v>
      </c>
      <c r="B21" s="38">
        <v>22.2</v>
      </c>
      <c r="C21" s="39">
        <v>1.6</v>
      </c>
      <c r="D21" s="40">
        <v>0.28299999999999997</v>
      </c>
      <c r="E21" s="40">
        <v>1000</v>
      </c>
      <c r="F21" s="34">
        <v>0</v>
      </c>
      <c r="G21" s="35">
        <v>0.22992731199999994</v>
      </c>
      <c r="H21" s="34">
        <v>0</v>
      </c>
      <c r="I21" s="36">
        <f t="shared" si="0"/>
        <v>1000</v>
      </c>
      <c r="J21" s="19">
        <v>0</v>
      </c>
      <c r="K21" s="19"/>
      <c r="L21" s="50">
        <v>0</v>
      </c>
    </row>
    <row r="22" spans="1:12" x14ac:dyDescent="0.2">
      <c r="A22" s="32" t="s">
        <v>129</v>
      </c>
      <c r="B22" s="38">
        <v>47.63</v>
      </c>
      <c r="C22" s="39">
        <v>4</v>
      </c>
      <c r="D22" s="40">
        <v>0.216</v>
      </c>
      <c r="E22" s="40">
        <v>70000</v>
      </c>
      <c r="F22" s="34"/>
      <c r="G22" s="35"/>
      <c r="H22" s="34"/>
      <c r="I22" s="36">
        <f t="shared" si="0"/>
        <v>60500</v>
      </c>
      <c r="J22" s="19">
        <v>500</v>
      </c>
      <c r="K22" s="19">
        <v>9000</v>
      </c>
      <c r="L22" s="19"/>
    </row>
    <row r="23" spans="1:12" x14ac:dyDescent="0.2">
      <c r="A23" s="32" t="s">
        <v>129</v>
      </c>
      <c r="B23" s="38">
        <v>37.6</v>
      </c>
      <c r="C23" s="39">
        <v>3.2</v>
      </c>
      <c r="D23" s="40">
        <v>0.29499999999999998</v>
      </c>
      <c r="E23" s="40">
        <v>2500</v>
      </c>
      <c r="F23" s="35">
        <v>0</v>
      </c>
      <c r="G23" s="35">
        <v>2.0011855999999999</v>
      </c>
      <c r="H23" s="34">
        <v>0</v>
      </c>
      <c r="I23" s="36">
        <f t="shared" si="0"/>
        <v>2500</v>
      </c>
      <c r="J23" s="19">
        <v>0</v>
      </c>
      <c r="K23" s="19"/>
      <c r="L23" s="19"/>
    </row>
    <row r="24" spans="1:12" x14ac:dyDescent="0.2">
      <c r="A24" s="32" t="s">
        <v>129</v>
      </c>
      <c r="B24" s="38">
        <v>30.15</v>
      </c>
      <c r="C24" s="39">
        <v>2.3199999999999998</v>
      </c>
      <c r="D24" s="40">
        <v>0.46500000000000002</v>
      </c>
      <c r="E24" s="40">
        <v>1000</v>
      </c>
      <c r="F24" s="35">
        <v>0</v>
      </c>
      <c r="G24" s="35">
        <v>0.74006704859999994</v>
      </c>
      <c r="H24" s="34">
        <v>0</v>
      </c>
      <c r="I24" s="36">
        <f t="shared" si="0"/>
        <v>1000</v>
      </c>
      <c r="J24" s="19">
        <v>0</v>
      </c>
      <c r="K24" s="19"/>
      <c r="L24" s="19"/>
    </row>
    <row r="25" spans="1:12" x14ac:dyDescent="0.2">
      <c r="A25" s="37" t="s">
        <v>130</v>
      </c>
      <c r="B25" s="38">
        <v>17.3</v>
      </c>
      <c r="C25" s="39">
        <v>1.6</v>
      </c>
      <c r="D25" s="40">
        <v>0.35499999999999998</v>
      </c>
      <c r="E25" s="40">
        <v>43333</v>
      </c>
      <c r="F25" s="34">
        <v>0</v>
      </c>
      <c r="G25" s="35">
        <v>9.5254097937200015</v>
      </c>
      <c r="H25" s="34">
        <v>0</v>
      </c>
      <c r="I25" s="36">
        <f t="shared" si="0"/>
        <v>37533</v>
      </c>
      <c r="J25" s="19">
        <v>400</v>
      </c>
      <c r="K25" s="19">
        <v>5400</v>
      </c>
      <c r="L25" s="19"/>
    </row>
    <row r="26" spans="1:12" x14ac:dyDescent="0.2">
      <c r="A26" s="37" t="s">
        <v>130</v>
      </c>
      <c r="B26" s="38">
        <v>17.3</v>
      </c>
      <c r="C26" s="39">
        <v>1.6</v>
      </c>
      <c r="D26" s="40">
        <v>0.4</v>
      </c>
      <c r="E26" s="40">
        <v>39000</v>
      </c>
      <c r="F26" s="34">
        <v>0</v>
      </c>
      <c r="G26" s="35">
        <v>9.6596448000000006</v>
      </c>
      <c r="H26" s="34">
        <v>0</v>
      </c>
      <c r="I26" s="36">
        <f t="shared" si="0"/>
        <v>30900</v>
      </c>
      <c r="J26" s="19">
        <v>2825</v>
      </c>
      <c r="K26" s="19">
        <v>5275</v>
      </c>
      <c r="L26" s="19"/>
    </row>
    <row r="27" spans="1:12" x14ac:dyDescent="0.2">
      <c r="A27" s="32" t="s">
        <v>129</v>
      </c>
      <c r="B27" s="38">
        <v>39</v>
      </c>
      <c r="C27" s="39">
        <v>2.5</v>
      </c>
      <c r="D27" s="40">
        <v>0.27200000000000002</v>
      </c>
      <c r="E27" s="40">
        <v>14000</v>
      </c>
      <c r="F27" s="35">
        <v>0</v>
      </c>
      <c r="G27" s="35">
        <v>8.5653819999999996</v>
      </c>
      <c r="H27" s="34">
        <v>0</v>
      </c>
      <c r="I27" s="36">
        <f t="shared" si="0"/>
        <v>3700</v>
      </c>
      <c r="J27" s="19">
        <v>10300</v>
      </c>
      <c r="K27" s="19"/>
      <c r="L27" s="19"/>
    </row>
    <row r="28" spans="1:12" x14ac:dyDescent="0.2">
      <c r="A28" s="37" t="s">
        <v>130</v>
      </c>
      <c r="B28" s="38">
        <v>17.3</v>
      </c>
      <c r="C28" s="39">
        <v>1.6</v>
      </c>
      <c r="D28" s="40">
        <v>0.64</v>
      </c>
      <c r="E28" s="40">
        <v>1667</v>
      </c>
      <c r="F28" s="34">
        <v>0</v>
      </c>
      <c r="G28" s="35">
        <v>0.66062063104000002</v>
      </c>
      <c r="H28" s="34">
        <v>0</v>
      </c>
      <c r="I28" s="36">
        <f t="shared" si="0"/>
        <v>1367</v>
      </c>
      <c r="J28" s="19">
        <v>300</v>
      </c>
      <c r="K28" s="19"/>
      <c r="L28" s="19"/>
    </row>
    <row r="29" spans="1:12" x14ac:dyDescent="0.2">
      <c r="A29" s="37" t="s">
        <v>130</v>
      </c>
      <c r="B29" s="38">
        <v>25.4</v>
      </c>
      <c r="C29" s="39">
        <v>3.5</v>
      </c>
      <c r="D29" s="40">
        <v>0.26300000000000001</v>
      </c>
      <c r="E29" s="40">
        <v>10000</v>
      </c>
      <c r="F29" s="35">
        <v>0</v>
      </c>
      <c r="G29" s="35">
        <v>4.9691811749999992</v>
      </c>
      <c r="H29" s="34">
        <v>0</v>
      </c>
      <c r="I29" s="36">
        <f t="shared" si="0"/>
        <v>7050</v>
      </c>
      <c r="J29" s="19">
        <v>0</v>
      </c>
      <c r="K29" s="19">
        <v>2950</v>
      </c>
      <c r="L29" s="50">
        <v>0</v>
      </c>
    </row>
    <row r="30" spans="1:12" x14ac:dyDescent="0.2">
      <c r="A30" s="37" t="s">
        <v>130</v>
      </c>
      <c r="B30" s="38">
        <v>25.4</v>
      </c>
      <c r="C30" s="39">
        <v>3.5</v>
      </c>
      <c r="D30" s="40">
        <v>0.247</v>
      </c>
      <c r="E30" s="40">
        <v>10000</v>
      </c>
      <c r="F30" s="35">
        <v>0</v>
      </c>
      <c r="G30" s="35">
        <v>4.6668735749999994</v>
      </c>
      <c r="H30" s="34">
        <v>0</v>
      </c>
      <c r="I30" s="36">
        <f t="shared" si="0"/>
        <v>10000</v>
      </c>
      <c r="J30" s="19">
        <v>0</v>
      </c>
      <c r="K30" s="19"/>
      <c r="L30" s="50">
        <v>0</v>
      </c>
    </row>
    <row r="31" spans="1:12" x14ac:dyDescent="0.2">
      <c r="A31" s="32" t="s">
        <v>129</v>
      </c>
      <c r="B31" s="38">
        <v>29.4</v>
      </c>
      <c r="C31" s="39">
        <v>4.5</v>
      </c>
      <c r="D31" s="40">
        <v>0.36099999999999999</v>
      </c>
      <c r="E31" s="40">
        <v>3500</v>
      </c>
      <c r="F31" s="35">
        <v>0</v>
      </c>
      <c r="G31" s="35">
        <v>3.4898280637499992</v>
      </c>
      <c r="H31" s="34">
        <v>0</v>
      </c>
      <c r="I31" s="36">
        <f t="shared" si="0"/>
        <v>330</v>
      </c>
      <c r="J31" s="19">
        <v>0</v>
      </c>
      <c r="K31" s="19">
        <v>3170</v>
      </c>
      <c r="L31" s="19"/>
    </row>
    <row r="32" spans="1:12" x14ac:dyDescent="0.2">
      <c r="A32" s="37" t="s">
        <v>130</v>
      </c>
      <c r="B32" s="38">
        <v>25.4</v>
      </c>
      <c r="C32" s="39">
        <v>2.5</v>
      </c>
      <c r="D32" s="40">
        <v>0.217</v>
      </c>
      <c r="E32" s="40">
        <v>5000</v>
      </c>
      <c r="F32" s="35">
        <v>0</v>
      </c>
      <c r="G32" s="35">
        <v>1.5311655624999998</v>
      </c>
      <c r="H32" s="34">
        <v>0</v>
      </c>
      <c r="I32" s="36">
        <f t="shared" si="0"/>
        <v>-660</v>
      </c>
      <c r="J32" s="19">
        <v>5660</v>
      </c>
      <c r="K32" s="19"/>
      <c r="L32" s="19"/>
    </row>
    <row r="33" spans="1:12" x14ac:dyDescent="0.2">
      <c r="A33" s="41" t="s">
        <v>128</v>
      </c>
      <c r="B33" s="42">
        <v>15.88</v>
      </c>
      <c r="C33" s="42">
        <v>1.22</v>
      </c>
      <c r="D33" s="42">
        <v>0.54</v>
      </c>
      <c r="E33" s="40">
        <v>4000</v>
      </c>
      <c r="F33" s="34">
        <v>0</v>
      </c>
      <c r="G33" s="35">
        <v>0.95227958879999997</v>
      </c>
      <c r="H33" s="34">
        <v>0</v>
      </c>
      <c r="I33" s="36">
        <f t="shared" si="0"/>
        <v>1108</v>
      </c>
      <c r="J33" s="19">
        <v>2892</v>
      </c>
      <c r="K33" s="19"/>
      <c r="L33" s="19"/>
    </row>
    <row r="34" spans="1:12" x14ac:dyDescent="0.2">
      <c r="A34" s="37" t="s">
        <v>130</v>
      </c>
      <c r="B34" s="38">
        <v>15.88</v>
      </c>
      <c r="C34" s="39">
        <v>1.2</v>
      </c>
      <c r="D34" s="40">
        <v>0.88800000000000001</v>
      </c>
      <c r="E34" s="40">
        <v>20000</v>
      </c>
      <c r="F34" s="34">
        <v>4620</v>
      </c>
      <c r="G34" s="35">
        <v>7.7120029439999991</v>
      </c>
      <c r="H34" s="34">
        <v>1.7814726800639999</v>
      </c>
      <c r="I34" s="36">
        <f t="shared" si="0"/>
        <v>14660</v>
      </c>
      <c r="J34" s="19">
        <f>4620+720</f>
        <v>5340</v>
      </c>
      <c r="K34" s="19"/>
      <c r="L34" s="19"/>
    </row>
    <row r="35" spans="1:12" x14ac:dyDescent="0.2">
      <c r="A35" s="41" t="s">
        <v>128</v>
      </c>
      <c r="B35" s="42">
        <v>15.88</v>
      </c>
      <c r="C35" s="42">
        <v>1.22</v>
      </c>
      <c r="D35" s="42">
        <v>1.31</v>
      </c>
      <c r="E35" s="42">
        <v>3000</v>
      </c>
      <c r="F35" s="34">
        <v>0</v>
      </c>
      <c r="G35" s="35">
        <v>1.7326198074000001</v>
      </c>
      <c r="H35" s="34">
        <v>0</v>
      </c>
      <c r="I35" s="36">
        <f t="shared" si="0"/>
        <v>0</v>
      </c>
      <c r="J35" s="19">
        <v>3000</v>
      </c>
      <c r="K35" s="19"/>
      <c r="L35" s="19"/>
    </row>
    <row r="36" spans="1:12" x14ac:dyDescent="0.2">
      <c r="A36" s="37" t="s">
        <v>130</v>
      </c>
      <c r="B36" s="38">
        <v>19.05</v>
      </c>
      <c r="C36" s="39">
        <v>2.2999999999999998</v>
      </c>
      <c r="D36" s="40">
        <v>0.19500000000000001</v>
      </c>
      <c r="E36" s="42">
        <v>2000</v>
      </c>
      <c r="F36" s="34">
        <v>0</v>
      </c>
      <c r="G36" s="35">
        <v>0.37036008749999999</v>
      </c>
      <c r="H36" s="34">
        <v>0</v>
      </c>
      <c r="I36" s="36">
        <f t="shared" si="0"/>
        <v>2000</v>
      </c>
      <c r="J36" s="19">
        <v>0</v>
      </c>
      <c r="K36" s="19"/>
      <c r="L36" s="50">
        <v>0</v>
      </c>
    </row>
    <row r="37" spans="1:12" x14ac:dyDescent="0.2">
      <c r="A37" s="37" t="s">
        <v>130</v>
      </c>
      <c r="B37" s="38">
        <v>19.05</v>
      </c>
      <c r="C37" s="39">
        <v>2.2999999999999998</v>
      </c>
      <c r="D37" s="40">
        <v>0.23599999999999999</v>
      </c>
      <c r="E37" s="42">
        <v>10000</v>
      </c>
      <c r="F37" s="34">
        <v>0</v>
      </c>
      <c r="G37" s="35">
        <v>2.2411533499999994</v>
      </c>
      <c r="H37" s="34">
        <v>0</v>
      </c>
      <c r="I37" s="36">
        <f t="shared" si="0"/>
        <v>5000</v>
      </c>
      <c r="J37" s="19">
        <v>5000</v>
      </c>
      <c r="K37" s="19"/>
      <c r="L37" s="50">
        <v>0</v>
      </c>
    </row>
    <row r="38" spans="1:12" x14ac:dyDescent="0.2">
      <c r="A38" s="37" t="s">
        <v>130</v>
      </c>
      <c r="B38" s="38">
        <v>19.05</v>
      </c>
      <c r="C38" s="39">
        <v>2.2999999999999998</v>
      </c>
      <c r="D38" s="40">
        <v>0.252</v>
      </c>
      <c r="E38" s="42">
        <v>50000</v>
      </c>
      <c r="F38" s="34">
        <v>0</v>
      </c>
      <c r="G38" s="35">
        <v>11.965479749999998</v>
      </c>
      <c r="H38" s="34">
        <v>0</v>
      </c>
      <c r="I38" s="36">
        <f t="shared" si="0"/>
        <v>50000</v>
      </c>
      <c r="J38" s="19">
        <v>0</v>
      </c>
      <c r="K38" s="19"/>
      <c r="L38" s="50">
        <v>0</v>
      </c>
    </row>
    <row r="39" spans="1:12" x14ac:dyDescent="0.2">
      <c r="A39" s="37" t="s">
        <v>130</v>
      </c>
      <c r="B39" s="38">
        <v>19.05</v>
      </c>
      <c r="C39" s="39">
        <v>2.2999999999999998</v>
      </c>
      <c r="D39" s="40">
        <v>0.29499999999999998</v>
      </c>
      <c r="E39" s="42">
        <v>50000</v>
      </c>
      <c r="F39" s="34">
        <v>0</v>
      </c>
      <c r="G39" s="35">
        <v>14.007208437499999</v>
      </c>
      <c r="H39" s="34">
        <v>0</v>
      </c>
      <c r="I39" s="36">
        <f t="shared" si="0"/>
        <v>48800</v>
      </c>
      <c r="J39" s="19">
        <v>1200</v>
      </c>
      <c r="K39" s="19"/>
      <c r="L39" s="50">
        <v>0</v>
      </c>
    </row>
    <row r="40" spans="1:12" x14ac:dyDescent="0.2">
      <c r="A40" s="37" t="s">
        <v>130</v>
      </c>
      <c r="B40" s="38">
        <v>19.05</v>
      </c>
      <c r="C40" s="39">
        <v>2.2999999999999998</v>
      </c>
      <c r="D40" s="40">
        <v>0.30299999999999999</v>
      </c>
      <c r="E40" s="42">
        <v>4667</v>
      </c>
      <c r="F40" s="34">
        <v>0</v>
      </c>
      <c r="G40" s="35">
        <v>1.3428886412662497</v>
      </c>
      <c r="H40" s="34">
        <v>0</v>
      </c>
      <c r="I40" s="36">
        <f t="shared" si="0"/>
        <v>4667</v>
      </c>
      <c r="J40" s="19">
        <v>0</v>
      </c>
      <c r="K40" s="19"/>
      <c r="L40" s="50">
        <v>0</v>
      </c>
    </row>
    <row r="41" spans="1:12" x14ac:dyDescent="0.2">
      <c r="A41" s="37" t="s">
        <v>130</v>
      </c>
      <c r="B41" s="38">
        <v>19.05</v>
      </c>
      <c r="C41" s="39">
        <v>2.2999999999999998</v>
      </c>
      <c r="D41" s="40">
        <v>0.58499999999999996</v>
      </c>
      <c r="E41" s="42">
        <v>1000</v>
      </c>
      <c r="F41" s="34">
        <v>0</v>
      </c>
      <c r="G41" s="35">
        <v>0.55554013124999979</v>
      </c>
      <c r="H41" s="34">
        <v>0</v>
      </c>
      <c r="I41" s="36">
        <f t="shared" si="0"/>
        <v>-3250</v>
      </c>
      <c r="J41" s="19">
        <v>4250</v>
      </c>
      <c r="K41" s="19"/>
      <c r="L41" s="50">
        <v>0</v>
      </c>
    </row>
    <row r="42" spans="1:12" x14ac:dyDescent="0.2">
      <c r="A42" s="37" t="s">
        <v>130</v>
      </c>
      <c r="B42" s="38">
        <v>22.23</v>
      </c>
      <c r="C42" s="39">
        <v>1.6</v>
      </c>
      <c r="D42" s="40">
        <v>0.74</v>
      </c>
      <c r="E42" s="42">
        <v>1000</v>
      </c>
      <c r="F42" s="34">
        <v>0</v>
      </c>
      <c r="G42" s="35">
        <v>0.60209892799999998</v>
      </c>
      <c r="H42" s="34">
        <v>0</v>
      </c>
      <c r="I42" s="36">
        <f t="shared" si="0"/>
        <v>1000</v>
      </c>
      <c r="J42" s="19">
        <v>0</v>
      </c>
      <c r="K42" s="19"/>
      <c r="L42" s="50">
        <v>0</v>
      </c>
    </row>
    <row r="43" spans="1:12" x14ac:dyDescent="0.2">
      <c r="A43" s="37" t="s">
        <v>130</v>
      </c>
      <c r="B43" s="38">
        <v>22.23</v>
      </c>
      <c r="C43" s="39">
        <v>1.6</v>
      </c>
      <c r="D43" s="40">
        <v>1.175</v>
      </c>
      <c r="E43" s="42">
        <v>2000</v>
      </c>
      <c r="F43" s="35">
        <v>0</v>
      </c>
      <c r="G43" s="35">
        <v>1.9120709200000003</v>
      </c>
      <c r="H43" s="34">
        <v>0</v>
      </c>
      <c r="I43" s="36">
        <f t="shared" si="0"/>
        <v>2000</v>
      </c>
      <c r="J43" s="19">
        <v>0</v>
      </c>
      <c r="K43" s="19"/>
      <c r="L43" s="50">
        <v>0</v>
      </c>
    </row>
    <row r="44" spans="1:12" x14ac:dyDescent="0.2">
      <c r="A44" s="37" t="s">
        <v>128</v>
      </c>
      <c r="B44" s="43">
        <v>34.93</v>
      </c>
      <c r="C44" s="43">
        <v>2.5</v>
      </c>
      <c r="D44" s="43">
        <v>1.7210000000000001</v>
      </c>
      <c r="E44" s="43">
        <v>2000</v>
      </c>
      <c r="F44" s="34">
        <v>0</v>
      </c>
      <c r="G44" s="35">
        <v>6.8788326975</v>
      </c>
      <c r="H44" s="34">
        <v>0</v>
      </c>
      <c r="I44" s="36">
        <f t="shared" si="0"/>
        <v>959</v>
      </c>
      <c r="J44" s="19">
        <v>1041</v>
      </c>
      <c r="K44" s="19"/>
      <c r="L44" s="50"/>
    </row>
    <row r="45" spans="1:12" x14ac:dyDescent="0.2">
      <c r="A45" s="32" t="s">
        <v>128</v>
      </c>
      <c r="B45" s="38">
        <v>38.1</v>
      </c>
      <c r="C45" s="39">
        <v>2</v>
      </c>
      <c r="D45" s="40">
        <v>0.81200000000000006</v>
      </c>
      <c r="E45" s="40">
        <v>6000</v>
      </c>
      <c r="F45" s="35">
        <v>2850</v>
      </c>
      <c r="G45" s="35">
        <v>8.670844559999999</v>
      </c>
      <c r="H45" s="34">
        <v>4.1186511660000003</v>
      </c>
      <c r="I45" s="36">
        <f t="shared" si="0"/>
        <v>3200</v>
      </c>
      <c r="J45" s="19">
        <v>0</v>
      </c>
      <c r="K45" s="19">
        <v>2800</v>
      </c>
      <c r="L45" s="50">
        <v>0</v>
      </c>
    </row>
    <row r="46" spans="1:12" x14ac:dyDescent="0.2">
      <c r="A46" s="32" t="s">
        <v>129</v>
      </c>
      <c r="B46" s="38">
        <v>29.4</v>
      </c>
      <c r="C46" s="39">
        <v>4.5</v>
      </c>
      <c r="D46" s="40">
        <v>0.36099999999999999</v>
      </c>
      <c r="E46" s="40">
        <v>8000</v>
      </c>
      <c r="F46" s="35">
        <v>2300</v>
      </c>
      <c r="G46" s="35">
        <v>7.9767498599999991</v>
      </c>
      <c r="H46" s="34">
        <v>2.2933155847499997</v>
      </c>
      <c r="I46" s="36">
        <f t="shared" si="0"/>
        <v>1750</v>
      </c>
      <c r="J46" s="19">
        <v>0</v>
      </c>
      <c r="K46" s="19">
        <v>6250</v>
      </c>
      <c r="L46" s="19"/>
    </row>
    <row r="47" spans="1:12" x14ac:dyDescent="0.2">
      <c r="A47" s="32" t="s">
        <v>128</v>
      </c>
      <c r="B47" s="38">
        <v>48.6</v>
      </c>
      <c r="C47" s="39">
        <v>2</v>
      </c>
      <c r="D47" s="40">
        <v>0.31</v>
      </c>
      <c r="E47" s="40">
        <v>9000</v>
      </c>
      <c r="F47" s="35">
        <v>0</v>
      </c>
      <c r="G47" s="35">
        <v>6.4096902</v>
      </c>
      <c r="H47" s="34">
        <v>0</v>
      </c>
      <c r="I47" s="36">
        <f t="shared" si="0"/>
        <v>9000</v>
      </c>
      <c r="J47" s="19">
        <v>0</v>
      </c>
      <c r="K47" s="19"/>
      <c r="L47" s="50">
        <v>0</v>
      </c>
    </row>
    <row r="48" spans="1:12" x14ac:dyDescent="0.2">
      <c r="A48" s="32" t="s">
        <v>128</v>
      </c>
      <c r="B48" s="38">
        <v>48.6</v>
      </c>
      <c r="C48" s="39">
        <v>2.2999999999999998</v>
      </c>
      <c r="D48" s="40">
        <v>0.31</v>
      </c>
      <c r="E48" s="40">
        <v>9000</v>
      </c>
      <c r="F48" s="35">
        <v>0</v>
      </c>
      <c r="G48" s="35">
        <v>7.3236900149999995</v>
      </c>
      <c r="H48" s="34">
        <v>0</v>
      </c>
      <c r="I48" s="36">
        <f t="shared" si="0"/>
        <v>8600</v>
      </c>
      <c r="J48" s="19">
        <v>400</v>
      </c>
      <c r="K48" s="19"/>
      <c r="L48" s="19"/>
    </row>
    <row r="49" spans="1:12" x14ac:dyDescent="0.2">
      <c r="A49" s="41" t="s">
        <v>128</v>
      </c>
      <c r="B49" s="42">
        <v>12.7</v>
      </c>
      <c r="C49" s="42">
        <v>1.6</v>
      </c>
      <c r="D49" s="42">
        <v>0.7</v>
      </c>
      <c r="E49" s="42">
        <v>10000</v>
      </c>
      <c r="F49" s="34">
        <v>0</v>
      </c>
      <c r="G49" s="35">
        <v>3.0644879999999999</v>
      </c>
      <c r="H49" s="34">
        <v>0</v>
      </c>
      <c r="I49" s="36">
        <f t="shared" si="0"/>
        <v>10000</v>
      </c>
      <c r="J49" s="19">
        <v>0</v>
      </c>
      <c r="K49" s="19"/>
      <c r="L49" s="50">
        <v>0</v>
      </c>
    </row>
    <row r="50" spans="1:12" x14ac:dyDescent="0.2">
      <c r="A50" s="32" t="s">
        <v>129</v>
      </c>
      <c r="B50" s="38">
        <v>30</v>
      </c>
      <c r="C50" s="39">
        <v>2.25</v>
      </c>
      <c r="D50" s="40">
        <v>0.48499999999999999</v>
      </c>
      <c r="E50" s="40">
        <v>8000</v>
      </c>
      <c r="F50" s="35">
        <v>0</v>
      </c>
      <c r="G50" s="35">
        <v>5.9716473749999999</v>
      </c>
      <c r="H50" s="34">
        <v>0</v>
      </c>
      <c r="I50" s="36">
        <f t="shared" si="0"/>
        <v>900</v>
      </c>
      <c r="J50" s="19">
        <v>7100</v>
      </c>
      <c r="K50" s="19"/>
      <c r="L50" s="19"/>
    </row>
    <row r="51" spans="1:12" x14ac:dyDescent="0.2">
      <c r="A51" s="32" t="s">
        <v>129</v>
      </c>
      <c r="B51" s="38">
        <v>29.4</v>
      </c>
      <c r="C51" s="39">
        <v>4.5</v>
      </c>
      <c r="D51" s="40">
        <v>0.376</v>
      </c>
      <c r="E51" s="40">
        <v>5000</v>
      </c>
      <c r="F51" s="35">
        <v>5500</v>
      </c>
      <c r="G51" s="35">
        <v>5.1926210999999993</v>
      </c>
      <c r="H51" s="34">
        <v>5.711883209999999</v>
      </c>
      <c r="I51" s="36">
        <f t="shared" si="0"/>
        <v>-1690</v>
      </c>
      <c r="J51" s="19">
        <v>2000</v>
      </c>
      <c r="K51" s="19">
        <v>4690</v>
      </c>
      <c r="L51" s="19"/>
    </row>
    <row r="52" spans="1:12" x14ac:dyDescent="0.2">
      <c r="A52" s="37" t="s">
        <v>130</v>
      </c>
      <c r="B52" s="38">
        <v>25.4</v>
      </c>
      <c r="C52" s="39">
        <v>1.4</v>
      </c>
      <c r="D52" s="40">
        <v>0.78300000000000003</v>
      </c>
      <c r="E52" s="40">
        <v>15000</v>
      </c>
      <c r="F52" s="35">
        <v>2975</v>
      </c>
      <c r="G52" s="35">
        <v>9.7276787999999978</v>
      </c>
      <c r="H52" s="34">
        <v>1.9293229619999996</v>
      </c>
      <c r="I52" s="36">
        <f t="shared" si="0"/>
        <v>5835</v>
      </c>
      <c r="J52" s="19">
        <v>9165</v>
      </c>
      <c r="K52" s="19"/>
      <c r="L52" s="19"/>
    </row>
    <row r="53" spans="1:12" x14ac:dyDescent="0.2">
      <c r="A53" s="32" t="s">
        <v>129</v>
      </c>
      <c r="B53" s="38">
        <v>42.7</v>
      </c>
      <c r="C53" s="39">
        <v>3.5</v>
      </c>
      <c r="D53" s="40">
        <v>0.21</v>
      </c>
      <c r="E53" s="40">
        <v>12000</v>
      </c>
      <c r="F53" s="35">
        <v>1830</v>
      </c>
      <c r="G53" s="35">
        <v>8.5225895999999999</v>
      </c>
      <c r="H53" s="34">
        <v>1.299694914</v>
      </c>
      <c r="I53" s="36">
        <f t="shared" si="0"/>
        <v>10170</v>
      </c>
      <c r="J53" s="19">
        <v>0</v>
      </c>
      <c r="K53" s="19">
        <v>1830</v>
      </c>
      <c r="L53" s="19"/>
    </row>
    <row r="54" spans="1:12" x14ac:dyDescent="0.2">
      <c r="A54" s="37" t="s">
        <v>130</v>
      </c>
      <c r="B54" s="38">
        <v>22.23</v>
      </c>
      <c r="C54" s="39">
        <v>1.6</v>
      </c>
      <c r="D54" s="40">
        <v>0.88</v>
      </c>
      <c r="E54" s="40">
        <v>1000</v>
      </c>
      <c r="F54" s="34">
        <v>0</v>
      </c>
      <c r="G54" s="35">
        <v>0.71600953600000006</v>
      </c>
      <c r="H54" s="34">
        <v>0</v>
      </c>
      <c r="I54" s="36">
        <f t="shared" si="0"/>
        <v>1000</v>
      </c>
      <c r="J54" s="19">
        <v>0</v>
      </c>
      <c r="K54" s="19"/>
      <c r="L54" s="50">
        <v>0</v>
      </c>
    </row>
    <row r="55" spans="1:12" x14ac:dyDescent="0.2">
      <c r="A55" s="37" t="s">
        <v>130</v>
      </c>
      <c r="B55" s="38">
        <v>25.4</v>
      </c>
      <c r="C55" s="39">
        <v>1.4</v>
      </c>
      <c r="D55" s="40">
        <v>0.46600000000000003</v>
      </c>
      <c r="E55" s="40">
        <v>10000</v>
      </c>
      <c r="F55" s="35">
        <v>2000</v>
      </c>
      <c r="G55" s="35">
        <v>3.8595983999999999</v>
      </c>
      <c r="H55" s="34">
        <v>0.77191967999999989</v>
      </c>
      <c r="I55" s="36">
        <f t="shared" si="0"/>
        <v>3500</v>
      </c>
      <c r="J55" s="19">
        <v>6500</v>
      </c>
      <c r="K55" s="19"/>
      <c r="L55" s="19"/>
    </row>
    <row r="56" spans="1:12" x14ac:dyDescent="0.2">
      <c r="A56" s="41" t="s">
        <v>128</v>
      </c>
      <c r="B56" s="42">
        <v>22.23</v>
      </c>
      <c r="C56" s="42">
        <v>1.2</v>
      </c>
      <c r="D56" s="42">
        <v>1.3280000000000001</v>
      </c>
      <c r="E56" s="42">
        <v>3000</v>
      </c>
      <c r="F56" s="34">
        <v>0</v>
      </c>
      <c r="G56" s="35">
        <v>2.4783165216</v>
      </c>
      <c r="H56" s="34">
        <v>0</v>
      </c>
      <c r="I56" s="36">
        <f t="shared" si="0"/>
        <v>0</v>
      </c>
      <c r="J56" s="19">
        <v>3000</v>
      </c>
      <c r="K56" s="19"/>
      <c r="L56" s="19"/>
    </row>
    <row r="57" spans="1:12" x14ac:dyDescent="0.2">
      <c r="A57" s="37" t="s">
        <v>130</v>
      </c>
      <c r="B57" s="38">
        <v>19.05</v>
      </c>
      <c r="C57" s="39">
        <v>2.2999999999999998</v>
      </c>
      <c r="D57" s="40">
        <v>0.28499999999999998</v>
      </c>
      <c r="E57" s="40">
        <v>2333</v>
      </c>
      <c r="F57" s="34">
        <v>0</v>
      </c>
      <c r="G57" s="35">
        <v>0.63142121533124984</v>
      </c>
      <c r="H57" s="34">
        <v>0</v>
      </c>
      <c r="I57" s="36">
        <f t="shared" si="0"/>
        <v>2333</v>
      </c>
      <c r="J57" s="19">
        <v>0</v>
      </c>
      <c r="K57" s="19"/>
      <c r="L57" s="50">
        <v>0</v>
      </c>
    </row>
    <row r="58" spans="1:12" x14ac:dyDescent="0.2">
      <c r="A58" s="37" t="s">
        <v>130</v>
      </c>
      <c r="B58" s="38">
        <v>19.05</v>
      </c>
      <c r="C58" s="39">
        <v>2.2999999999999998</v>
      </c>
      <c r="D58" s="40">
        <v>0.255</v>
      </c>
      <c r="E58" s="40">
        <v>2333</v>
      </c>
      <c r="F58" s="34">
        <v>0</v>
      </c>
      <c r="G58" s="35">
        <v>0.5649558242437499</v>
      </c>
      <c r="H58" s="34">
        <v>0</v>
      </c>
      <c r="I58" s="36">
        <f t="shared" si="0"/>
        <v>2333</v>
      </c>
      <c r="J58" s="19">
        <v>0</v>
      </c>
      <c r="K58" s="19"/>
      <c r="L58" s="50">
        <v>0</v>
      </c>
    </row>
    <row r="59" spans="1:12" x14ac:dyDescent="0.2">
      <c r="A59" s="41" t="s">
        <v>128</v>
      </c>
      <c r="B59" s="42">
        <v>22.23</v>
      </c>
      <c r="C59" s="42">
        <v>1.6</v>
      </c>
      <c r="D59" s="42">
        <v>0.67</v>
      </c>
      <c r="E59" s="42">
        <v>2000</v>
      </c>
      <c r="F59" s="34">
        <v>0</v>
      </c>
      <c r="G59" s="35">
        <v>1.0902872480000001</v>
      </c>
      <c r="H59" s="34">
        <v>0</v>
      </c>
      <c r="I59" s="36">
        <f t="shared" si="0"/>
        <v>130</v>
      </c>
      <c r="J59" s="19">
        <v>1870</v>
      </c>
      <c r="K59" s="19"/>
      <c r="L59" s="50">
        <v>0</v>
      </c>
    </row>
    <row r="60" spans="1:12" x14ac:dyDescent="0.2">
      <c r="A60" s="32" t="s">
        <v>128</v>
      </c>
      <c r="B60" s="38">
        <v>63.5</v>
      </c>
      <c r="C60" s="39">
        <v>4</v>
      </c>
      <c r="D60" s="40">
        <v>0.23599999999999999</v>
      </c>
      <c r="E60" s="40">
        <v>2000</v>
      </c>
      <c r="F60" s="35">
        <v>2035</v>
      </c>
      <c r="G60" s="35">
        <v>2.7690823999999998</v>
      </c>
      <c r="H60" s="34">
        <v>2.8175413420000002</v>
      </c>
      <c r="I60" s="36">
        <f t="shared" si="0"/>
        <v>0</v>
      </c>
      <c r="J60" s="19">
        <v>2000</v>
      </c>
      <c r="K60" s="19"/>
      <c r="L60" s="19"/>
    </row>
    <row r="61" spans="1:12" x14ac:dyDescent="0.2">
      <c r="A61" s="32" t="s">
        <v>129</v>
      </c>
      <c r="B61" s="38">
        <v>29.4</v>
      </c>
      <c r="C61" s="39">
        <v>4.5</v>
      </c>
      <c r="D61" s="40">
        <v>0.35699999999999998</v>
      </c>
      <c r="E61" s="40">
        <v>10000</v>
      </c>
      <c r="F61" s="35">
        <v>4800</v>
      </c>
      <c r="G61" s="35">
        <v>9.8604560249999995</v>
      </c>
      <c r="H61" s="34">
        <v>4.7330188919999987</v>
      </c>
      <c r="I61" s="36">
        <f t="shared" si="0"/>
        <v>-1310</v>
      </c>
      <c r="J61" s="19">
        <v>1830</v>
      </c>
      <c r="K61" s="19">
        <v>9480</v>
      </c>
      <c r="L61" s="19"/>
    </row>
    <row r="62" spans="1:12" x14ac:dyDescent="0.2">
      <c r="A62" s="37" t="s">
        <v>128</v>
      </c>
      <c r="B62" s="43">
        <v>20</v>
      </c>
      <c r="C62" s="43">
        <v>1.42</v>
      </c>
      <c r="D62" s="43">
        <v>0.27300000000000002</v>
      </c>
      <c r="E62" s="43">
        <v>5000</v>
      </c>
      <c r="F62" s="34">
        <v>0</v>
      </c>
      <c r="G62" s="35">
        <v>0.88773558509999995</v>
      </c>
      <c r="H62" s="34">
        <v>0</v>
      </c>
      <c r="I62" s="36">
        <f t="shared" si="0"/>
        <v>-5400</v>
      </c>
      <c r="J62" s="19">
        <v>10400</v>
      </c>
      <c r="K62" s="19"/>
      <c r="L62" s="19"/>
    </row>
    <row r="63" spans="1:12" x14ac:dyDescent="0.2">
      <c r="A63" s="41" t="s">
        <v>128</v>
      </c>
      <c r="B63" s="42">
        <v>34.93</v>
      </c>
      <c r="C63" s="42">
        <v>2.2999999999999998</v>
      </c>
      <c r="D63" s="42">
        <v>1.5</v>
      </c>
      <c r="E63" s="40">
        <v>3000</v>
      </c>
      <c r="F63" s="34">
        <v>804</v>
      </c>
      <c r="G63" s="35">
        <v>8.3248103249999996</v>
      </c>
      <c r="H63" s="34">
        <v>2.2310491671000001</v>
      </c>
      <c r="I63" s="36">
        <f t="shared" si="0"/>
        <v>396</v>
      </c>
      <c r="J63" s="19">
        <f>596+2008-1360</f>
        <v>1244</v>
      </c>
      <c r="K63" s="19">
        <v>1360</v>
      </c>
      <c r="L63" s="19"/>
    </row>
    <row r="64" spans="1:12" x14ac:dyDescent="0.2">
      <c r="A64" s="37" t="s">
        <v>130</v>
      </c>
      <c r="B64" s="38">
        <v>19.05</v>
      </c>
      <c r="C64" s="39">
        <v>2.2999999999999998</v>
      </c>
      <c r="D64" s="40">
        <v>0.56999999999999995</v>
      </c>
      <c r="E64" s="40">
        <v>16000</v>
      </c>
      <c r="F64" s="34">
        <v>0</v>
      </c>
      <c r="G64" s="35">
        <v>8.6607281999999977</v>
      </c>
      <c r="H64" s="34">
        <v>0</v>
      </c>
      <c r="I64" s="36">
        <f t="shared" si="0"/>
        <v>14600</v>
      </c>
      <c r="J64" s="19">
        <v>1400</v>
      </c>
      <c r="K64" s="19"/>
      <c r="L64" s="50">
        <v>0</v>
      </c>
    </row>
    <row r="65" spans="1:12" x14ac:dyDescent="0.2">
      <c r="A65" s="37" t="s">
        <v>130</v>
      </c>
      <c r="B65" s="38">
        <v>22.2</v>
      </c>
      <c r="C65" s="39">
        <v>1.6</v>
      </c>
      <c r="D65" s="40">
        <v>0.96699999999999997</v>
      </c>
      <c r="E65" s="40">
        <v>333</v>
      </c>
      <c r="F65" s="34">
        <v>0</v>
      </c>
      <c r="G65" s="35">
        <v>0.26162234510399995</v>
      </c>
      <c r="H65" s="34">
        <v>0</v>
      </c>
      <c r="I65" s="36">
        <f t="shared" si="0"/>
        <v>333</v>
      </c>
      <c r="J65" s="19">
        <v>0</v>
      </c>
      <c r="K65" s="19"/>
      <c r="L65" s="50">
        <v>0</v>
      </c>
    </row>
    <row r="66" spans="1:12" x14ac:dyDescent="0.2">
      <c r="A66" s="37" t="s">
        <v>130</v>
      </c>
      <c r="B66" s="38">
        <v>19.05</v>
      </c>
      <c r="C66" s="39">
        <v>2.2999999999999998</v>
      </c>
      <c r="D66" s="40">
        <v>0.61</v>
      </c>
      <c r="E66" s="40">
        <v>15000</v>
      </c>
      <c r="F66" s="34">
        <v>0</v>
      </c>
      <c r="G66" s="35">
        <v>8.6892174374999982</v>
      </c>
      <c r="H66" s="34">
        <v>0</v>
      </c>
      <c r="I66" s="36">
        <f t="shared" si="0"/>
        <v>15000</v>
      </c>
      <c r="J66" s="19">
        <v>0</v>
      </c>
      <c r="K66" s="19"/>
      <c r="L66" s="50">
        <v>0</v>
      </c>
    </row>
    <row r="67" spans="1:12" x14ac:dyDescent="0.2">
      <c r="A67" s="37" t="s">
        <v>130</v>
      </c>
      <c r="B67" s="38">
        <v>25.4</v>
      </c>
      <c r="C67" s="39">
        <v>1.4</v>
      </c>
      <c r="D67" s="40">
        <v>0.46</v>
      </c>
      <c r="E67" s="40">
        <v>3000</v>
      </c>
      <c r="F67" s="35">
        <v>0</v>
      </c>
      <c r="G67" s="35">
        <v>1.1429711999999996</v>
      </c>
      <c r="H67" s="34">
        <v>0</v>
      </c>
      <c r="I67" s="36">
        <f t="shared" ref="I67:I86" si="1">E67-K67-J67</f>
        <v>3000</v>
      </c>
      <c r="J67" s="19">
        <v>0</v>
      </c>
      <c r="K67" s="19"/>
      <c r="L67" s="50">
        <v>0</v>
      </c>
    </row>
    <row r="68" spans="1:12" x14ac:dyDescent="0.2">
      <c r="A68" s="37" t="s">
        <v>130</v>
      </c>
      <c r="B68" s="38">
        <v>25.4</v>
      </c>
      <c r="C68" s="39">
        <v>1.4</v>
      </c>
      <c r="D68" s="40">
        <v>0.77800000000000002</v>
      </c>
      <c r="E68" s="40">
        <v>3000</v>
      </c>
      <c r="F68" s="35">
        <v>0</v>
      </c>
      <c r="G68" s="35">
        <v>1.9331121599999994</v>
      </c>
      <c r="H68" s="34">
        <v>0</v>
      </c>
      <c r="I68" s="36">
        <f t="shared" si="1"/>
        <v>3000</v>
      </c>
      <c r="J68" s="19">
        <v>0</v>
      </c>
      <c r="K68" s="19"/>
      <c r="L68" s="50">
        <v>0</v>
      </c>
    </row>
    <row r="69" spans="1:12" x14ac:dyDescent="0.2">
      <c r="A69" s="37" t="s">
        <v>128</v>
      </c>
      <c r="B69" s="43">
        <v>22.23</v>
      </c>
      <c r="C69" s="43">
        <v>1.6</v>
      </c>
      <c r="D69" s="43">
        <v>1.21</v>
      </c>
      <c r="E69" s="43">
        <v>1000</v>
      </c>
      <c r="F69" s="34">
        <v>0</v>
      </c>
      <c r="G69" s="35">
        <v>0.98451311200000002</v>
      </c>
      <c r="H69" s="34">
        <v>0</v>
      </c>
      <c r="I69" s="36">
        <f t="shared" si="1"/>
        <v>1000</v>
      </c>
      <c r="J69" s="19">
        <v>0</v>
      </c>
      <c r="K69" s="19"/>
      <c r="L69" s="50">
        <v>0</v>
      </c>
    </row>
    <row r="70" spans="1:12" x14ac:dyDescent="0.2">
      <c r="A70" s="37" t="s">
        <v>130</v>
      </c>
      <c r="B70" s="38">
        <v>22.2</v>
      </c>
      <c r="C70" s="39">
        <v>1.6</v>
      </c>
      <c r="D70" s="40">
        <v>0.64</v>
      </c>
      <c r="E70" s="40">
        <v>2000</v>
      </c>
      <c r="F70" s="34">
        <v>0</v>
      </c>
      <c r="G70" s="35">
        <v>1.0399539199999999</v>
      </c>
      <c r="H70" s="34">
        <v>0</v>
      </c>
      <c r="I70" s="36">
        <f t="shared" si="1"/>
        <v>2000</v>
      </c>
      <c r="J70" s="19">
        <v>0</v>
      </c>
      <c r="K70" s="19"/>
      <c r="L70" s="50">
        <v>0</v>
      </c>
    </row>
    <row r="71" spans="1:12" x14ac:dyDescent="0.2">
      <c r="A71" s="32" t="s">
        <v>129</v>
      </c>
      <c r="B71" s="38">
        <v>41.28</v>
      </c>
      <c r="C71" s="39">
        <v>2.41</v>
      </c>
      <c r="D71" s="40">
        <v>0.20399999999999999</v>
      </c>
      <c r="E71" s="40">
        <v>10000</v>
      </c>
      <c r="F71" s="35">
        <v>2380</v>
      </c>
      <c r="G71" s="35">
        <v>4.7106265362000004</v>
      </c>
      <c r="H71" s="34">
        <v>1.1211291156156</v>
      </c>
      <c r="I71" s="36">
        <f t="shared" si="1"/>
        <v>7620</v>
      </c>
      <c r="J71" s="19">
        <v>2380</v>
      </c>
      <c r="K71" s="19"/>
      <c r="L71" s="19"/>
    </row>
    <row r="72" spans="1:12" x14ac:dyDescent="0.2">
      <c r="A72" s="37" t="s">
        <v>130</v>
      </c>
      <c r="B72" s="38">
        <v>22.23</v>
      </c>
      <c r="C72" s="39">
        <v>1.6</v>
      </c>
      <c r="D72" s="40">
        <v>0.94499999999999995</v>
      </c>
      <c r="E72" s="40">
        <v>1000</v>
      </c>
      <c r="F72" s="34">
        <v>0</v>
      </c>
      <c r="G72" s="35">
        <v>0.76889660400000004</v>
      </c>
      <c r="H72" s="34">
        <v>0</v>
      </c>
      <c r="I72" s="36">
        <f t="shared" si="1"/>
        <v>1000</v>
      </c>
      <c r="J72" s="19">
        <v>0</v>
      </c>
      <c r="K72" s="19"/>
      <c r="L72" s="50">
        <v>0</v>
      </c>
    </row>
    <row r="73" spans="1:12" x14ac:dyDescent="0.2">
      <c r="A73" s="37" t="s">
        <v>130</v>
      </c>
      <c r="B73" s="38">
        <v>28.6</v>
      </c>
      <c r="C73" s="39">
        <v>2.65</v>
      </c>
      <c r="D73" s="40">
        <v>0.20899999999999999</v>
      </c>
      <c r="E73" s="40">
        <v>11500</v>
      </c>
      <c r="F73" s="35">
        <v>0</v>
      </c>
      <c r="G73" s="35">
        <v>4.0742182160624996</v>
      </c>
      <c r="H73" s="34">
        <v>0</v>
      </c>
      <c r="I73" s="36">
        <f t="shared" si="1"/>
        <v>11500</v>
      </c>
      <c r="J73" s="19">
        <v>0</v>
      </c>
      <c r="K73" s="19"/>
      <c r="L73" s="19"/>
    </row>
    <row r="74" spans="1:12" x14ac:dyDescent="0.2">
      <c r="A74" s="37" t="s">
        <v>130</v>
      </c>
      <c r="B74" s="38">
        <v>22.2</v>
      </c>
      <c r="C74" s="39">
        <v>2.2999999999999998</v>
      </c>
      <c r="D74" s="40">
        <v>0.42699999999999999</v>
      </c>
      <c r="E74" s="40">
        <v>5000</v>
      </c>
      <c r="F74" s="34">
        <v>2700</v>
      </c>
      <c r="G74" s="35">
        <v>2.4087721174999994</v>
      </c>
      <c r="H74" s="34">
        <v>1.3007369434499996</v>
      </c>
      <c r="I74" s="36">
        <f t="shared" si="1"/>
        <v>2300</v>
      </c>
      <c r="J74" s="19">
        <f>1600+1100</f>
        <v>2700</v>
      </c>
      <c r="K74" s="19"/>
      <c r="L74" s="19"/>
    </row>
    <row r="75" spans="1:12" x14ac:dyDescent="0.2">
      <c r="A75" s="37" t="s">
        <v>130</v>
      </c>
      <c r="B75" s="38">
        <v>22.23</v>
      </c>
      <c r="C75" s="39">
        <v>1.6</v>
      </c>
      <c r="D75" s="40">
        <v>0.94899999999999995</v>
      </c>
      <c r="E75" s="40">
        <v>2333</v>
      </c>
      <c r="F75" s="34">
        <v>0</v>
      </c>
      <c r="G75" s="35">
        <v>1.8014287328023999</v>
      </c>
      <c r="H75" s="34">
        <v>0</v>
      </c>
      <c r="I75" s="36">
        <f t="shared" si="1"/>
        <v>2333</v>
      </c>
      <c r="J75" s="19">
        <v>0</v>
      </c>
      <c r="K75" s="19"/>
      <c r="L75" s="50">
        <v>0</v>
      </c>
    </row>
    <row r="76" spans="1:12" x14ac:dyDescent="0.2">
      <c r="A76" s="37" t="s">
        <v>130</v>
      </c>
      <c r="B76" s="38">
        <v>22.23</v>
      </c>
      <c r="C76" s="39">
        <v>1.6</v>
      </c>
      <c r="D76" s="40">
        <v>1.304</v>
      </c>
      <c r="E76" s="40">
        <v>1667</v>
      </c>
      <c r="F76" s="35">
        <v>0</v>
      </c>
      <c r="G76" s="35">
        <v>1.7686802466495999</v>
      </c>
      <c r="H76" s="34">
        <v>0</v>
      </c>
      <c r="I76" s="36">
        <f t="shared" si="1"/>
        <v>1667</v>
      </c>
      <c r="J76" s="19">
        <v>0</v>
      </c>
      <c r="K76" s="19"/>
      <c r="L76" s="50">
        <v>0</v>
      </c>
    </row>
    <row r="77" spans="1:12" x14ac:dyDescent="0.2">
      <c r="A77" s="41" t="s">
        <v>128</v>
      </c>
      <c r="B77" s="42">
        <v>22.23</v>
      </c>
      <c r="C77" s="42">
        <v>1.6</v>
      </c>
      <c r="D77" s="42">
        <v>0.69</v>
      </c>
      <c r="E77" s="42">
        <v>2000</v>
      </c>
      <c r="F77" s="34">
        <v>0</v>
      </c>
      <c r="G77" s="35">
        <v>1.1228331359999999</v>
      </c>
      <c r="H77" s="34">
        <v>0</v>
      </c>
      <c r="I77" s="36">
        <f t="shared" si="1"/>
        <v>2000</v>
      </c>
      <c r="J77" s="19">
        <v>0</v>
      </c>
      <c r="K77" s="19"/>
      <c r="L77" s="50">
        <v>0</v>
      </c>
    </row>
    <row r="78" spans="1:12" x14ac:dyDescent="0.2">
      <c r="A78" s="32" t="s">
        <v>129</v>
      </c>
      <c r="B78" s="38">
        <v>42.7</v>
      </c>
      <c r="C78" s="39">
        <v>3.5</v>
      </c>
      <c r="D78" s="40">
        <v>0.20799999999999999</v>
      </c>
      <c r="E78" s="40">
        <v>8000</v>
      </c>
      <c r="F78" s="35">
        <v>0</v>
      </c>
      <c r="G78" s="35">
        <v>5.6276147200000004</v>
      </c>
      <c r="H78" s="34">
        <v>0</v>
      </c>
      <c r="I78" s="36">
        <f t="shared" si="1"/>
        <v>3190</v>
      </c>
      <c r="J78" s="19">
        <v>0</v>
      </c>
      <c r="K78" s="19">
        <v>4810</v>
      </c>
      <c r="L78" s="19"/>
    </row>
    <row r="79" spans="1:12" x14ac:dyDescent="0.2">
      <c r="A79" s="37" t="s">
        <v>130</v>
      </c>
      <c r="B79" s="38">
        <v>25.4</v>
      </c>
      <c r="C79" s="39">
        <v>1.4</v>
      </c>
      <c r="D79" s="40">
        <v>0.40799999999999997</v>
      </c>
      <c r="E79" s="40">
        <v>18000</v>
      </c>
      <c r="F79" s="35">
        <v>3000</v>
      </c>
      <c r="G79" s="35">
        <v>6.0825945599999978</v>
      </c>
      <c r="H79" s="34">
        <v>1.0137657599999996</v>
      </c>
      <c r="I79" s="36">
        <f t="shared" si="1"/>
        <v>15000</v>
      </c>
      <c r="J79" s="19">
        <v>3000</v>
      </c>
      <c r="K79" s="19"/>
      <c r="L79" s="19"/>
    </row>
    <row r="80" spans="1:12" x14ac:dyDescent="0.2">
      <c r="A80" s="37" t="s">
        <v>128</v>
      </c>
      <c r="B80" s="43">
        <v>63.5</v>
      </c>
      <c r="C80" s="43">
        <v>4</v>
      </c>
      <c r="D80" s="43">
        <v>0.23400000000000001</v>
      </c>
      <c r="E80" s="43">
        <v>2000</v>
      </c>
      <c r="F80" s="34">
        <v>600</v>
      </c>
      <c r="G80" s="35">
        <v>2.7456155999999998</v>
      </c>
      <c r="H80" s="34">
        <v>0.82368467999999984</v>
      </c>
      <c r="I80" s="36">
        <f t="shared" si="1"/>
        <v>-2033</v>
      </c>
      <c r="J80" s="19">
        <v>4033</v>
      </c>
      <c r="K80" s="19"/>
      <c r="L80" s="19"/>
    </row>
    <row r="81" spans="1:12" x14ac:dyDescent="0.2">
      <c r="A81" s="32" t="s">
        <v>128</v>
      </c>
      <c r="B81" s="38">
        <v>63.5</v>
      </c>
      <c r="C81" s="39">
        <v>4</v>
      </c>
      <c r="D81" s="40">
        <v>0.26500000000000001</v>
      </c>
      <c r="E81" s="40">
        <v>50000</v>
      </c>
      <c r="F81" s="35">
        <v>0</v>
      </c>
      <c r="G81" s="35">
        <v>77.733774999999994</v>
      </c>
      <c r="H81" s="34">
        <v>0</v>
      </c>
      <c r="I81" s="36">
        <f t="shared" si="1"/>
        <v>50000</v>
      </c>
      <c r="J81" s="19">
        <v>0</v>
      </c>
      <c r="K81" s="19"/>
      <c r="L81" s="19"/>
    </row>
    <row r="82" spans="1:12" x14ac:dyDescent="0.2">
      <c r="A82" s="37" t="s">
        <v>130</v>
      </c>
      <c r="B82" s="43">
        <v>25.4</v>
      </c>
      <c r="C82" s="43">
        <v>2.5</v>
      </c>
      <c r="D82" s="43">
        <v>0.78300000000000003</v>
      </c>
      <c r="E82" s="43">
        <v>3000</v>
      </c>
      <c r="F82" s="34">
        <v>0</v>
      </c>
      <c r="G82" s="35">
        <v>3.3149381624999998</v>
      </c>
      <c r="H82" s="34">
        <v>0</v>
      </c>
      <c r="I82" s="36">
        <f t="shared" si="1"/>
        <v>-3195</v>
      </c>
      <c r="J82" s="19">
        <v>6195</v>
      </c>
      <c r="K82" s="19"/>
      <c r="L82" s="19"/>
    </row>
    <row r="83" spans="1:12" x14ac:dyDescent="0.2">
      <c r="A83" s="37" t="s">
        <v>128</v>
      </c>
      <c r="B83" s="43">
        <v>22.23</v>
      </c>
      <c r="C83" s="43">
        <v>1.6</v>
      </c>
      <c r="D83" s="43">
        <v>0.40100000000000002</v>
      </c>
      <c r="E83" s="42">
        <v>1333</v>
      </c>
      <c r="F83" s="34">
        <v>0</v>
      </c>
      <c r="G83" s="35">
        <v>0.43492127875759995</v>
      </c>
      <c r="H83" s="34">
        <v>0</v>
      </c>
      <c r="I83" s="36">
        <f t="shared" si="1"/>
        <v>-2367</v>
      </c>
      <c r="J83" s="19">
        <v>3700</v>
      </c>
      <c r="K83" s="19"/>
      <c r="L83" s="50">
        <v>0</v>
      </c>
    </row>
    <row r="84" spans="1:12" x14ac:dyDescent="0.2">
      <c r="A84" s="32" t="s">
        <v>129</v>
      </c>
      <c r="B84" s="38">
        <v>42.7</v>
      </c>
      <c r="C84" s="39">
        <v>4</v>
      </c>
      <c r="D84" s="40">
        <v>0.215</v>
      </c>
      <c r="E84" s="40">
        <v>8000</v>
      </c>
      <c r="F84" s="35">
        <v>0</v>
      </c>
      <c r="G84" s="35">
        <v>6.5632104</v>
      </c>
      <c r="H84" s="34">
        <v>0</v>
      </c>
      <c r="I84" s="36">
        <f t="shared" si="1"/>
        <v>8000</v>
      </c>
      <c r="J84" s="19">
        <v>0</v>
      </c>
      <c r="K84" s="19"/>
      <c r="L84" s="19"/>
    </row>
    <row r="85" spans="1:12" x14ac:dyDescent="0.2">
      <c r="A85" s="37" t="s">
        <v>130</v>
      </c>
      <c r="B85" s="38">
        <v>25.4</v>
      </c>
      <c r="C85" s="39">
        <v>1.4</v>
      </c>
      <c r="D85" s="40">
        <v>0.89500000000000002</v>
      </c>
      <c r="E85" s="40">
        <v>10000</v>
      </c>
      <c r="F85" s="35">
        <v>0</v>
      </c>
      <c r="G85" s="35">
        <v>7.4127479999999979</v>
      </c>
      <c r="H85" s="34">
        <v>0</v>
      </c>
      <c r="I85" s="36">
        <f t="shared" si="1"/>
        <v>7700</v>
      </c>
      <c r="J85" s="19">
        <v>2300</v>
      </c>
      <c r="K85" s="19"/>
      <c r="L85" s="19"/>
    </row>
    <row r="86" spans="1:12" x14ac:dyDescent="0.2">
      <c r="A86" s="41" t="s">
        <v>128</v>
      </c>
      <c r="B86" s="42">
        <v>22.23</v>
      </c>
      <c r="C86" s="42">
        <v>1.6</v>
      </c>
      <c r="D86" s="42">
        <v>0.27400000000000002</v>
      </c>
      <c r="E86" s="40">
        <v>2667</v>
      </c>
      <c r="F86" s="34">
        <v>0</v>
      </c>
      <c r="G86" s="35">
        <v>0.59457920057759994</v>
      </c>
      <c r="H86" s="34">
        <v>0</v>
      </c>
      <c r="I86" s="36">
        <f t="shared" si="1"/>
        <v>2667</v>
      </c>
      <c r="J86" s="19">
        <v>0</v>
      </c>
      <c r="K86" s="19"/>
      <c r="L86" s="50">
        <v>0</v>
      </c>
    </row>
    <row r="87" spans="1:12" x14ac:dyDescent="0.2">
      <c r="A87" s="32"/>
      <c r="B87" s="44"/>
      <c r="C87" s="44"/>
      <c r="D87" s="44" t="s">
        <v>131</v>
      </c>
      <c r="E87" s="40"/>
      <c r="F87" s="45">
        <v>39494</v>
      </c>
      <c r="G87" s="45">
        <v>340.232064320755</v>
      </c>
      <c r="H87" s="45">
        <v>36.676584396979599</v>
      </c>
      <c r="I87" s="46">
        <v>-540672</v>
      </c>
      <c r="J87" s="19"/>
      <c r="K87" s="19"/>
      <c r="L87" s="19"/>
    </row>
  </sheetData>
  <autoFilter ref="A1:K87" xr:uid="{00000000-0009-0000-0000-00000200000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admin4</dc:creator>
  <cp:lastModifiedBy>Sahil Prasad</cp:lastModifiedBy>
  <dcterms:created xsi:type="dcterms:W3CDTF">2024-10-15T17:35:13Z</dcterms:created>
  <dcterms:modified xsi:type="dcterms:W3CDTF">2026-07-30T03:36:54Z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2026-03-05T10:53:04Z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c7337f49-17b0-4e62-bee9-39fffc18c67f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</Properties>
</file>
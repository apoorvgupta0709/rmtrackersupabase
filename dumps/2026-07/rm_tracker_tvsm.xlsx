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lin-my.sharepoint.com/personal/163559_tatasteel_com/Documents/Tubes/DM/July26/pq/"/>
    </mc:Choice>
  </mc:AlternateContent>
  <xr:revisionPtr revIDLastSave="0" documentId="8_{9CC9440E-598B-4768-9591-617ECF109B0E}" xr6:coauthVersionLast="47" xr6:coauthVersionMax="47" xr10:uidLastSave="{00000000-0000-0000-0000-000000000000}"/>
  <bookViews>
    <workbookView xWindow="-120" yWindow="-120" windowWidth="20730" windowHeight="11040" firstSheet="3" activeTab="3" xr2:uid="{6222D266-C0B1-4AA1-8AC5-0C22E99CFAD2}"/>
  </bookViews>
  <sheets>
    <sheet name="SOP" sheetId="3" r:id="rId1"/>
    <sheet name="vsm req" sheetId="4" r:id="rId2"/>
    <sheet name="TVSM" sheetId="1" r:id="rId3"/>
    <sheet name="vsm stock" sheetId="2" r:id="rId4"/>
  </sheets>
  <definedNames>
    <definedName name="_xlnm._FilterDatabase" localSheetId="3" hidden="1">'vsm stock'!$A$3:$T$37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" i="1" l="1"/>
  <c r="K92" i="1"/>
  <c r="K67" i="1"/>
  <c r="K66" i="1"/>
  <c r="K61" i="1"/>
  <c r="K60" i="1"/>
  <c r="K59" i="1"/>
  <c r="K49" i="1"/>
  <c r="K39" i="1"/>
  <c r="K29" i="1"/>
  <c r="K25" i="1"/>
  <c r="K23" i="1"/>
  <c r="K20" i="1"/>
  <c r="K19" i="1"/>
  <c r="K4" i="1"/>
  <c r="K71" i="1"/>
  <c r="K64" i="1"/>
  <c r="U38" i="2"/>
  <c r="P38" i="2"/>
  <c r="K88" i="1"/>
  <c r="K15" i="1"/>
  <c r="K72" i="1"/>
  <c r="K70" i="1"/>
  <c r="K82" i="1"/>
  <c r="K36" i="1"/>
  <c r="K34" i="1"/>
  <c r="K17" i="1"/>
  <c r="W88" i="2"/>
  <c r="U67" i="2"/>
  <c r="U115" i="2"/>
  <c r="U103" i="2"/>
  <c r="U75" i="2"/>
  <c r="U73" i="2"/>
  <c r="U33" i="2"/>
  <c r="U31" i="2"/>
  <c r="K47" i="1" l="1"/>
  <c r="K12" i="1"/>
  <c r="P72" i="2"/>
  <c r="Q72" i="2"/>
  <c r="T72" i="2" s="1"/>
  <c r="Q113" i="2"/>
  <c r="Z113" i="2" s="1"/>
  <c r="Y113" i="2" s="1"/>
  <c r="T113" i="2"/>
  <c r="Q101" i="2"/>
  <c r="T101" i="2" s="1"/>
  <c r="K14" i="1"/>
  <c r="K53" i="1"/>
  <c r="K97" i="1"/>
  <c r="M2" i="1"/>
  <c r="N2" i="1"/>
  <c r="O2" i="1"/>
  <c r="P2" i="1"/>
  <c r="Q2" i="1"/>
  <c r="R2" i="1"/>
  <c r="S2" i="1"/>
  <c r="T2" i="1"/>
  <c r="K2" i="1"/>
  <c r="L5" i="1"/>
  <c r="L6" i="1"/>
  <c r="L7" i="1"/>
  <c r="L9" i="1"/>
  <c r="L10" i="1"/>
  <c r="L13" i="1"/>
  <c r="L18" i="1"/>
  <c r="L22" i="1"/>
  <c r="L24" i="1"/>
  <c r="L27" i="1"/>
  <c r="L28" i="1"/>
  <c r="L32" i="1"/>
  <c r="L33" i="1"/>
  <c r="L35" i="1"/>
  <c r="L37" i="1"/>
  <c r="L41" i="1"/>
  <c r="L44" i="1"/>
  <c r="L45" i="1"/>
  <c r="L46" i="1"/>
  <c r="L48" i="1"/>
  <c r="L50" i="1"/>
  <c r="L51" i="1"/>
  <c r="L52" i="1"/>
  <c r="L54" i="1"/>
  <c r="L55" i="1"/>
  <c r="L56" i="1"/>
  <c r="L57" i="1"/>
  <c r="L62" i="1"/>
  <c r="L63" i="1"/>
  <c r="L65" i="1"/>
  <c r="L68" i="1"/>
  <c r="L69" i="1"/>
  <c r="L73" i="1"/>
  <c r="L74" i="1"/>
  <c r="L75" i="1"/>
  <c r="L76" i="1"/>
  <c r="L77" i="1"/>
  <c r="L78" i="1"/>
  <c r="L79" i="1"/>
  <c r="L80" i="1"/>
  <c r="L81" i="1"/>
  <c r="L83" i="1"/>
  <c r="L84" i="1"/>
  <c r="L85" i="1"/>
  <c r="L86" i="1"/>
  <c r="L87" i="1"/>
  <c r="L89" i="1"/>
  <c r="L90" i="1"/>
  <c r="L93" i="1"/>
  <c r="L94" i="1"/>
  <c r="L96" i="1"/>
  <c r="K79" i="1"/>
  <c r="K21" i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20" i="2"/>
  <c r="P21" i="2"/>
  <c r="P22" i="2"/>
  <c r="P23" i="2"/>
  <c r="P24" i="2"/>
  <c r="P25" i="2"/>
  <c r="P26" i="2"/>
  <c r="P27" i="2"/>
  <c r="P28" i="2"/>
  <c r="P29" i="2"/>
  <c r="P30" i="2"/>
  <c r="P31" i="2"/>
  <c r="P33" i="2"/>
  <c r="P34" i="2"/>
  <c r="P35" i="2"/>
  <c r="P36" i="2"/>
  <c r="P39" i="2"/>
  <c r="P40" i="2"/>
  <c r="P41" i="2"/>
  <c r="P42" i="2"/>
  <c r="P43" i="2"/>
  <c r="P44" i="2"/>
  <c r="P45" i="2"/>
  <c r="P46" i="2"/>
  <c r="P47" i="2"/>
  <c r="P49" i="2"/>
  <c r="P50" i="2"/>
  <c r="P51" i="2"/>
  <c r="P52" i="2"/>
  <c r="P53" i="2"/>
  <c r="P54" i="2"/>
  <c r="P56" i="2"/>
  <c r="P57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2" i="2"/>
  <c r="P103" i="2"/>
  <c r="P104" i="2"/>
  <c r="P105" i="2"/>
  <c r="P106" i="2"/>
  <c r="P107" i="2"/>
  <c r="P108" i="2"/>
  <c r="P110" i="2"/>
  <c r="P111" i="2"/>
  <c r="P112" i="2"/>
  <c r="P114" i="2"/>
  <c r="P115" i="2"/>
  <c r="P116" i="2"/>
  <c r="P117" i="2"/>
  <c r="P118" i="2"/>
  <c r="P119" i="2"/>
  <c r="P120" i="2"/>
  <c r="P121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21" i="1"/>
  <c r="J22" i="1"/>
  <c r="J24" i="1"/>
  <c r="J26" i="1"/>
  <c r="J27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3" i="1"/>
  <c r="J94" i="1"/>
  <c r="J96" i="1"/>
  <c r="J4" i="1"/>
  <c r="Q56" i="2"/>
  <c r="T56" i="2" s="1"/>
  <c r="Q102" i="2"/>
  <c r="T102" i="2" s="1"/>
  <c r="Q26" i="2"/>
  <c r="T26" i="2" s="1"/>
  <c r="Q82" i="2"/>
  <c r="R2" i="2"/>
  <c r="Z72" i="2" l="1"/>
  <c r="Y72" i="2" s="1"/>
  <c r="Z101" i="2"/>
  <c r="Y101" i="2" s="1"/>
  <c r="Z56" i="2"/>
  <c r="Y56" i="2" s="1"/>
  <c r="J2" i="1"/>
  <c r="Z102" i="2"/>
  <c r="Y102" i="2" s="1"/>
  <c r="Z26" i="2"/>
  <c r="Y26" i="2" s="1"/>
  <c r="Q84" i="2"/>
  <c r="Z84" i="2" s="1"/>
  <c r="Y84" i="2" s="1"/>
  <c r="T84" i="2" l="1"/>
  <c r="Q79" i="2" l="1"/>
  <c r="Z79" i="2" s="1"/>
  <c r="Y79" i="2" s="1"/>
  <c r="T79" i="2" l="1"/>
  <c r="Q115" i="2" l="1"/>
  <c r="T115" i="2" s="1"/>
  <c r="Z82" i="2"/>
  <c r="Z98" i="2"/>
  <c r="Y98" i="2" s="1"/>
  <c r="Q10" i="2"/>
  <c r="Z10" i="2" s="1"/>
  <c r="Y10" i="2" s="1"/>
  <c r="Q18" i="2"/>
  <c r="Z18" i="2" s="1"/>
  <c r="Z115" i="2" l="1"/>
  <c r="Y115" i="2" s="1"/>
  <c r="T10" i="2"/>
  <c r="T98" i="2"/>
  <c r="P2" i="2"/>
  <c r="Q25" i="2"/>
  <c r="T25" i="2" l="1"/>
  <c r="Z25" i="2"/>
  <c r="Y25" i="2" s="1"/>
  <c r="Q85" i="2" l="1"/>
  <c r="Q121" i="2"/>
  <c r="Q88" i="2"/>
  <c r="Q89" i="2"/>
  <c r="Q28" i="2"/>
  <c r="Q43" i="2"/>
  <c r="Q46" i="2"/>
  <c r="Z89" i="2" l="1"/>
  <c r="Z88" i="2"/>
  <c r="L71" i="1"/>
  <c r="T46" i="2"/>
  <c r="Z46" i="2"/>
  <c r="Y46" i="2" s="1"/>
  <c r="T43" i="2"/>
  <c r="Z43" i="2"/>
  <c r="Y43" i="2" s="1"/>
  <c r="Z28" i="2"/>
  <c r="Y28" i="2" s="1"/>
  <c r="T121" i="2"/>
  <c r="Z121" i="2"/>
  <c r="Y121" i="2" s="1"/>
  <c r="Z85" i="2"/>
  <c r="Y85" i="2" s="1"/>
  <c r="T85" i="2"/>
  <c r="T28" i="2"/>
  <c r="Q62" i="2"/>
  <c r="Q119" i="2"/>
  <c r="T119" i="2" l="1"/>
  <c r="Z119" i="2"/>
  <c r="Y119" i="2" s="1"/>
  <c r="T62" i="2"/>
  <c r="Z62" i="2"/>
  <c r="Y62" i="2" s="1"/>
  <c r="Q29" i="2"/>
  <c r="Q120" i="2"/>
  <c r="Q4" i="2"/>
  <c r="L4" i="1" s="1"/>
  <c r="Q65" i="2"/>
  <c r="Z65" i="2" s="1"/>
  <c r="Q38" i="2"/>
  <c r="Z38" i="2" s="1"/>
  <c r="Q71" i="2"/>
  <c r="Q69" i="2"/>
  <c r="Q70" i="2"/>
  <c r="Q58" i="2"/>
  <c r="Z96" i="2"/>
  <c r="Z97" i="2"/>
  <c r="Q66" i="2"/>
  <c r="Q67" i="2"/>
  <c r="Q48" i="2"/>
  <c r="Q42" i="2"/>
  <c r="Z42" i="2" s="1"/>
  <c r="Q76" i="2"/>
  <c r="Z76" i="2" s="1"/>
  <c r="Q41" i="2"/>
  <c r="Z41" i="2" s="1"/>
  <c r="Q94" i="2"/>
  <c r="Q34" i="2"/>
  <c r="Z34" i="2" s="1"/>
  <c r="Q23" i="2"/>
  <c r="Q81" i="2"/>
  <c r="Z81" i="2" s="1"/>
  <c r="Q5" i="2"/>
  <c r="Q6" i="2"/>
  <c r="Z6" i="2" s="1"/>
  <c r="Q7" i="2"/>
  <c r="Z7" i="2" s="1"/>
  <c r="Q8" i="2"/>
  <c r="Q9" i="2"/>
  <c r="Q11" i="2"/>
  <c r="Q12" i="2"/>
  <c r="Q13" i="2"/>
  <c r="Z13" i="2" s="1"/>
  <c r="Q14" i="2"/>
  <c r="Q15" i="2"/>
  <c r="L15" i="1" s="1"/>
  <c r="Q16" i="2"/>
  <c r="Q17" i="2"/>
  <c r="Q19" i="2"/>
  <c r="Z19" i="2" s="1"/>
  <c r="Q20" i="2"/>
  <c r="Q21" i="2"/>
  <c r="Q22" i="2"/>
  <c r="Z22" i="2" s="1"/>
  <c r="Q24" i="2"/>
  <c r="Q27" i="2"/>
  <c r="Q30" i="2"/>
  <c r="Q31" i="2"/>
  <c r="Z31" i="2" s="1"/>
  <c r="Q33" i="2"/>
  <c r="Q32" i="2"/>
  <c r="Q35" i="2"/>
  <c r="Z35" i="2" s="1"/>
  <c r="Q36" i="2"/>
  <c r="L29" i="1" s="1"/>
  <c r="Q39" i="2"/>
  <c r="Q37" i="2"/>
  <c r="Q40" i="2"/>
  <c r="Z40" i="2" s="1"/>
  <c r="Q44" i="2"/>
  <c r="Q45" i="2"/>
  <c r="Q47" i="2"/>
  <c r="Q49" i="2"/>
  <c r="Q50" i="2"/>
  <c r="Z50" i="2" s="1"/>
  <c r="Q51" i="2"/>
  <c r="Z51" i="2" s="1"/>
  <c r="Q52" i="2"/>
  <c r="L42" i="1" s="1"/>
  <c r="Q55" i="2"/>
  <c r="Z55" i="2" s="1"/>
  <c r="Q53" i="2"/>
  <c r="Q54" i="2"/>
  <c r="Z54" i="2" s="1"/>
  <c r="Q57" i="2"/>
  <c r="Z57" i="2" s="1"/>
  <c r="Q59" i="2"/>
  <c r="Z59" i="2" s="1"/>
  <c r="Q60" i="2"/>
  <c r="Q61" i="2"/>
  <c r="Z61" i="2" s="1"/>
  <c r="Q63" i="2"/>
  <c r="Z63" i="2" s="1"/>
  <c r="Q64" i="2"/>
  <c r="Z64" i="2" s="1"/>
  <c r="Q68" i="2"/>
  <c r="Q73" i="2"/>
  <c r="Q74" i="2"/>
  <c r="Q75" i="2"/>
  <c r="Q80" i="2"/>
  <c r="Q83" i="2"/>
  <c r="Q86" i="2"/>
  <c r="Q87" i="2"/>
  <c r="Z87" i="2" s="1"/>
  <c r="Q91" i="2"/>
  <c r="Z91" i="2" s="1"/>
  <c r="Q92" i="2"/>
  <c r="Q93" i="2"/>
  <c r="Z93" i="2" s="1"/>
  <c r="Q95" i="2"/>
  <c r="Q103" i="2"/>
  <c r="Z103" i="2" s="1"/>
  <c r="Q104" i="2"/>
  <c r="Q105" i="2"/>
  <c r="Z105" i="2" s="1"/>
  <c r="Y105" i="2" s="1"/>
  <c r="Q107" i="2"/>
  <c r="Z107" i="2" s="1"/>
  <c r="Q106" i="2"/>
  <c r="Z106" i="2" s="1"/>
  <c r="Q108" i="2"/>
  <c r="Q114" i="2"/>
  <c r="Z114" i="2" s="1"/>
  <c r="Q110" i="2"/>
  <c r="Z110" i="2" s="1"/>
  <c r="Q112" i="2"/>
  <c r="Z112" i="2" s="1"/>
  <c r="Q111" i="2"/>
  <c r="Q109" i="2"/>
  <c r="Q78" i="2"/>
  <c r="Q77" i="2"/>
  <c r="Z77" i="2" s="1"/>
  <c r="Q90" i="2"/>
  <c r="Q118" i="2"/>
  <c r="Q100" i="2"/>
  <c r="Z100" i="2" s="1"/>
  <c r="Q99" i="2"/>
  <c r="Q117" i="2"/>
  <c r="Z117" i="2" s="1"/>
  <c r="Q116" i="2"/>
  <c r="L82" i="1" l="1"/>
  <c r="Z104" i="2"/>
  <c r="Y104" i="2" s="1"/>
  <c r="L88" i="1"/>
  <c r="Z49" i="2"/>
  <c r="L40" i="1"/>
  <c r="Z37" i="2"/>
  <c r="Y37" i="2" s="1"/>
  <c r="L26" i="1"/>
  <c r="Z27" i="2"/>
  <c r="Y27" i="2" s="1"/>
  <c r="L21" i="1"/>
  <c r="L47" i="1"/>
  <c r="Z39" i="2"/>
  <c r="L30" i="1"/>
  <c r="Z14" i="2"/>
  <c r="Y14" i="2" s="1"/>
  <c r="L14" i="1"/>
  <c r="Z48" i="2"/>
  <c r="Y48" i="2" s="1"/>
  <c r="L39" i="1"/>
  <c r="Z73" i="2"/>
  <c r="Y73" i="2" s="1"/>
  <c r="L59" i="1"/>
  <c r="Z86" i="2"/>
  <c r="L70" i="1"/>
  <c r="Z53" i="2"/>
  <c r="Y53" i="2" s="1"/>
  <c r="L43" i="1"/>
  <c r="Z21" i="2"/>
  <c r="Y21" i="2" s="1"/>
  <c r="L19" i="1"/>
  <c r="Z12" i="2"/>
  <c r="Y12" i="2" s="1"/>
  <c r="L12" i="1"/>
  <c r="Z23" i="2"/>
  <c r="Y23" i="2" s="1"/>
  <c r="L20" i="1"/>
  <c r="L58" i="1"/>
  <c r="Z90" i="2"/>
  <c r="Y90" i="2" s="1"/>
  <c r="L72" i="1"/>
  <c r="Z108" i="2"/>
  <c r="Y108" i="2" s="1"/>
  <c r="L91" i="1"/>
  <c r="Z83" i="2"/>
  <c r="Y83" i="2" s="1"/>
  <c r="L67" i="1"/>
  <c r="Z32" i="2"/>
  <c r="L25" i="1"/>
  <c r="Z11" i="2"/>
  <c r="Y11" i="2" s="1"/>
  <c r="L11" i="1"/>
  <c r="Z8" i="2"/>
  <c r="Y8" i="2" s="1"/>
  <c r="L8" i="1"/>
  <c r="L95" i="1"/>
  <c r="Z74" i="2"/>
  <c r="Y74" i="2" s="1"/>
  <c r="L60" i="1"/>
  <c r="L31" i="1"/>
  <c r="Z16" i="2"/>
  <c r="Y16" i="2" s="1"/>
  <c r="L16" i="1"/>
  <c r="L49" i="1"/>
  <c r="Z66" i="2"/>
  <c r="Y66" i="2" s="1"/>
  <c r="L53" i="1"/>
  <c r="Z109" i="2"/>
  <c r="L92" i="1"/>
  <c r="Z78" i="2"/>
  <c r="Y78" i="2" s="1"/>
  <c r="L64" i="1"/>
  <c r="Z17" i="2"/>
  <c r="Y17" i="2" s="1"/>
  <c r="L17" i="1"/>
  <c r="Z44" i="2"/>
  <c r="Y44" i="2" s="1"/>
  <c r="L34" i="1"/>
  <c r="Z80" i="2"/>
  <c r="Y80" i="2" s="1"/>
  <c r="L66" i="1"/>
  <c r="Z30" i="2"/>
  <c r="Y30" i="2" s="1"/>
  <c r="L23" i="1"/>
  <c r="Z47" i="2"/>
  <c r="Y47" i="2" s="1"/>
  <c r="L38" i="1"/>
  <c r="Z45" i="2"/>
  <c r="Y45" i="2" s="1"/>
  <c r="L36" i="1"/>
  <c r="Z75" i="2"/>
  <c r="Y75" i="2" s="1"/>
  <c r="L61" i="1"/>
  <c r="Z116" i="2"/>
  <c r="Y116" i="2" s="1"/>
  <c r="T118" i="2"/>
  <c r="Z118" i="2"/>
  <c r="Y118" i="2" s="1"/>
  <c r="T111" i="2"/>
  <c r="Z111" i="2"/>
  <c r="Y111" i="2" s="1"/>
  <c r="T95" i="2"/>
  <c r="Z95" i="2"/>
  <c r="Y95" i="2" s="1"/>
  <c r="Z68" i="2"/>
  <c r="Y68" i="2" s="1"/>
  <c r="T60" i="2"/>
  <c r="Z60" i="2"/>
  <c r="Y60" i="2" s="1"/>
  <c r="Z36" i="2"/>
  <c r="Y36" i="2" s="1"/>
  <c r="T33" i="2"/>
  <c r="Z33" i="2"/>
  <c r="Y33" i="2" s="1"/>
  <c r="T24" i="2"/>
  <c r="Z24" i="2"/>
  <c r="Y24" i="2" s="1"/>
  <c r="T20" i="2"/>
  <c r="Z20" i="2"/>
  <c r="Y20" i="2" s="1"/>
  <c r="Z15" i="2"/>
  <c r="Y15" i="2" s="1"/>
  <c r="T9" i="2"/>
  <c r="Z9" i="2"/>
  <c r="Y9" i="2" s="1"/>
  <c r="T5" i="2"/>
  <c r="Z5" i="2"/>
  <c r="Y5" i="2" s="1"/>
  <c r="T94" i="2"/>
  <c r="Z94" i="2"/>
  <c r="Y94" i="2" s="1"/>
  <c r="T67" i="2"/>
  <c r="Z67" i="2"/>
  <c r="Y67" i="2" s="1"/>
  <c r="T58" i="2"/>
  <c r="Z58" i="2"/>
  <c r="Y58" i="2" s="1"/>
  <c r="T70" i="2"/>
  <c r="Z70" i="2"/>
  <c r="Y70" i="2" s="1"/>
  <c r="T69" i="2"/>
  <c r="Z69" i="2"/>
  <c r="Y69" i="2" s="1"/>
  <c r="T71" i="2"/>
  <c r="Z71" i="2"/>
  <c r="Y71" i="2" s="1"/>
  <c r="Z4" i="2"/>
  <c r="Y4" i="2" s="1"/>
  <c r="T120" i="2"/>
  <c r="Z120" i="2"/>
  <c r="Y120" i="2" s="1"/>
  <c r="Z52" i="2"/>
  <c r="Y52" i="2" s="1"/>
  <c r="Z99" i="2"/>
  <c r="Y99" i="2" s="1"/>
  <c r="T29" i="2"/>
  <c r="Z29" i="2"/>
  <c r="Y29" i="2" s="1"/>
  <c r="T92" i="2"/>
  <c r="Z92" i="2"/>
  <c r="Y92" i="2" s="1"/>
  <c r="T77" i="2"/>
  <c r="T86" i="2"/>
  <c r="T53" i="2"/>
  <c r="T52" i="2"/>
  <c r="T66" i="2"/>
  <c r="T4" i="2"/>
  <c r="T117" i="2"/>
  <c r="T74" i="2"/>
  <c r="T30" i="2"/>
  <c r="T82" i="2"/>
  <c r="Y41" i="2"/>
  <c r="T73" i="2"/>
  <c r="T36" i="2"/>
  <c r="T18" i="2"/>
  <c r="T38" i="2"/>
  <c r="T75" i="2"/>
  <c r="T23" i="2"/>
  <c r="T80" i="2"/>
  <c r="T37" i="2"/>
  <c r="T83" i="2"/>
  <c r="T97" i="2"/>
  <c r="Y97" i="2"/>
  <c r="T89" i="2"/>
  <c r="Y89" i="2"/>
  <c r="T100" i="2"/>
  <c r="T90" i="2"/>
  <c r="Y88" i="2"/>
  <c r="T88" i="2"/>
  <c r="Y50" i="2"/>
  <c r="T50" i="2"/>
  <c r="T17" i="2"/>
  <c r="T8" i="2"/>
  <c r="Y96" i="2"/>
  <c r="T96" i="2"/>
  <c r="Y49" i="2"/>
  <c r="T49" i="2"/>
  <c r="T27" i="2"/>
  <c r="T16" i="2"/>
  <c r="Y7" i="2"/>
  <c r="T7" i="2"/>
  <c r="Y91" i="2"/>
  <c r="T91" i="2"/>
  <c r="T108" i="2"/>
  <c r="Y57" i="2"/>
  <c r="T57" i="2"/>
  <c r="T47" i="2"/>
  <c r="Y39" i="2"/>
  <c r="T39" i="2"/>
  <c r="Y6" i="2"/>
  <c r="T6" i="2"/>
  <c r="T41" i="2"/>
  <c r="Y110" i="2"/>
  <c r="T110" i="2"/>
  <c r="Y61" i="2"/>
  <c r="T61" i="2"/>
  <c r="Y34" i="2"/>
  <c r="T34" i="2"/>
  <c r="Y87" i="2"/>
  <c r="T87" i="2"/>
  <c r="Y59" i="2"/>
  <c r="T59" i="2"/>
  <c r="Y106" i="2"/>
  <c r="T106" i="2"/>
  <c r="T116" i="2"/>
  <c r="Y107" i="2"/>
  <c r="T107" i="2"/>
  <c r="Y54" i="2"/>
  <c r="T54" i="2"/>
  <c r="T45" i="2"/>
  <c r="Y22" i="2"/>
  <c r="T22" i="2"/>
  <c r="T14" i="2"/>
  <c r="Y65" i="2"/>
  <c r="T65" i="2"/>
  <c r="T68" i="2"/>
  <c r="Y35" i="2"/>
  <c r="T35" i="2"/>
  <c r="Y13" i="2"/>
  <c r="T13" i="2"/>
  <c r="Y81" i="2"/>
  <c r="T81" i="2"/>
  <c r="Y76" i="2"/>
  <c r="T76" i="2"/>
  <c r="Y51" i="2"/>
  <c r="T51" i="2"/>
  <c r="Y31" i="2"/>
  <c r="T31" i="2"/>
  <c r="T99" i="2"/>
  <c r="T104" i="2"/>
  <c r="Y64" i="2"/>
  <c r="T64" i="2"/>
  <c r="Y55" i="2"/>
  <c r="T55" i="2"/>
  <c r="T44" i="2"/>
  <c r="T12" i="2"/>
  <c r="Y42" i="2"/>
  <c r="T42" i="2"/>
  <c r="Y63" i="2"/>
  <c r="T63" i="2"/>
  <c r="Y19" i="2"/>
  <c r="T19" i="2"/>
  <c r="T11" i="2"/>
  <c r="T48" i="2"/>
  <c r="Y112" i="2"/>
  <c r="T112" i="2"/>
  <c r="Y40" i="2"/>
  <c r="T40" i="2"/>
  <c r="T15" i="2"/>
  <c r="Y109" i="2"/>
  <c r="T109" i="2"/>
  <c r="Y114" i="2"/>
  <c r="T114" i="2"/>
  <c r="Y93" i="2"/>
  <c r="T93" i="2"/>
  <c r="T105" i="2"/>
  <c r="Y103" i="2"/>
  <c r="T103" i="2"/>
  <c r="T21" i="2"/>
  <c r="T78" i="2"/>
  <c r="T32" i="2"/>
  <c r="Y77" i="2"/>
  <c r="Y18" i="2"/>
  <c r="Y100" i="2"/>
  <c r="Q2" i="2"/>
  <c r="Y38" i="2"/>
  <c r="Y82" i="2"/>
  <c r="Y117" i="2"/>
  <c r="Y86" i="2"/>
  <c r="L2" i="1" l="1"/>
  <c r="L97" i="1" s="1"/>
  <c r="Y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tc={F8B716AB-F6D3-4137-9AD4-843F8A7EF411}</author>
    <author>tc={5259FDE8-04D1-4110-A093-D3B95CAB6763}</author>
  </authors>
  <commentList>
    <comment ref="M40" authorId="0" shapeId="0" xr:uid="{F8B716AB-F6D3-4137-9AD4-843F8A7EF411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length to 5530</t>
      </text>
    </comment>
    <comment ref="F66" authorId="1" shapeId="0" xr:uid="{5259FDE8-04D1-4110-A093-D3B95CAB6763}">
      <text>
        <t>[Threaded comment]
Your version of Excel allows you to read this threaded comment; however, any edits to it will get removed if the file is opened in a newer version of Excel. Learn more: https://go.microsoft.com/fwlink/?linkid=870924
Comment:
    6.3/5530</t>
      </text>
    </comment>
  </commentList>
</comments>
</file>

<file path=xl/sharedStrings.xml><?xml version="1.0" encoding="utf-8"?>
<sst xmlns="http://schemas.openxmlformats.org/spreadsheetml/2006/main" count="3403" uniqueCount="128">
  <si>
    <t>Last refreshed: 7/31/2026, 5:36:08 AM</t>
  </si>
  <si>
    <t>For TSL</t>
  </si>
  <si>
    <t>Update OMS for 056</t>
  </si>
  <si>
    <t>Filter greater than 0 in qty to be logged</t>
  </si>
  <si>
    <t>Log order min 5 MT</t>
  </si>
  <si>
    <t>Update only peach color columns</t>
  </si>
  <si>
    <t> </t>
  </si>
  <si>
    <t>VSM To Update</t>
  </si>
  <si>
    <t>Total schedule</t>
  </si>
  <si>
    <t>Rucha</t>
  </si>
  <si>
    <t>Metalman</t>
  </si>
  <si>
    <t>Marathwada</t>
  </si>
  <si>
    <t>Rajsriya tvs</t>
  </si>
  <si>
    <t>supangita</t>
  </si>
  <si>
    <t>pams eng</t>
  </si>
  <si>
    <t>KP ENG</t>
  </si>
  <si>
    <t>Rajsriya RE</t>
  </si>
  <si>
    <t>belrise chennai</t>
  </si>
  <si>
    <t>Belrise malur</t>
  </si>
  <si>
    <t>S.NO</t>
  </si>
  <si>
    <t>Section</t>
  </si>
  <si>
    <t>Column1</t>
  </si>
  <si>
    <t>O D</t>
  </si>
  <si>
    <t>Thk.</t>
  </si>
  <si>
    <t>Length</t>
  </si>
  <si>
    <t>Wt/Len</t>
  </si>
  <si>
    <t>key</t>
  </si>
  <si>
    <t>Grade</t>
  </si>
  <si>
    <t>FC/NFC</t>
  </si>
  <si>
    <t>12.7-0-1.2-ERW 1-PE</t>
  </si>
  <si>
    <t>ERW 1</t>
  </si>
  <si>
    <t>NFC</t>
  </si>
  <si>
    <t>12.7-0-1.6-ERW 1-PE</t>
  </si>
  <si>
    <t>15.88-0-1-ERW 1-PE</t>
  </si>
  <si>
    <t>15.88-0-1.2-ERW 1-PE</t>
  </si>
  <si>
    <t>15.88-0-1.6-ERW 1-PE</t>
  </si>
  <si>
    <t>15.88-0-2-ERW 1-PE</t>
  </si>
  <si>
    <t>16.1-10.4-2.7-CEW-CEW</t>
  </si>
  <si>
    <t>18.2-0-1-ERW 1-PE</t>
  </si>
  <si>
    <t>ERW 2</t>
  </si>
  <si>
    <t>19.05-0-1.6-ERW 1-PE</t>
  </si>
  <si>
    <t>19.05-0-2-ERW 1-PE</t>
  </si>
  <si>
    <t>19.05-0-2.3-ERW 1-PE</t>
  </si>
  <si>
    <t>21.4-0-1.6-ERW 1-PE</t>
  </si>
  <si>
    <t>22.23-0-1.2-ERW 1-PE</t>
  </si>
  <si>
    <t>22.23-0-1.6-ERW 1-PE</t>
  </si>
  <si>
    <t>22.23-0-2-ERW 1-PE</t>
  </si>
  <si>
    <t>22.23-0-2-ERW 1-FC</t>
  </si>
  <si>
    <t>FC</t>
  </si>
  <si>
    <t>22.23-0-2-ERW 2-FC</t>
  </si>
  <si>
    <t>22.23-0-2.3-ERW 1-PE</t>
  </si>
  <si>
    <t>25.4-0-1.6-ERW 1-FC</t>
  </si>
  <si>
    <t>25.4-0-2-ERW 1-FC</t>
  </si>
  <si>
    <t>25.4-0-2.5-ERW 1-FC</t>
  </si>
  <si>
    <t xml:space="preserve">25.4-0-2.5-ERW 1-FC </t>
  </si>
  <si>
    <t>25.4-0-2.5-CEW-CEW</t>
  </si>
  <si>
    <t>CEW</t>
  </si>
  <si>
    <t>28.58-0-1.2-ERW 1-PE</t>
  </si>
  <si>
    <t>28.6-0-2.65-CEW-CEW</t>
  </si>
  <si>
    <t>31.75-0-1.2-ERW 1-FC</t>
  </si>
  <si>
    <t>.</t>
  </si>
  <si>
    <t>31.75-0-2.3-ERW 1-FC</t>
  </si>
  <si>
    <t>34.93-0-1.2-ERW 1-FC</t>
  </si>
  <si>
    <t>38.1-0-1.6-ERW 1-FC</t>
  </si>
  <si>
    <t>38.1-0-1.6-ERW 2 MAHS-FC</t>
  </si>
  <si>
    <t>HST</t>
  </si>
  <si>
    <t>38.1-0-2-ERW 1-FC</t>
  </si>
  <si>
    <t>38.1-0-2.5-ERW 2 MAHS-FC</t>
  </si>
  <si>
    <t>cew</t>
  </si>
  <si>
    <t>40X25</t>
  </si>
  <si>
    <t>40-25-1.6-ERW 1-FC</t>
  </si>
  <si>
    <t>41.28-0-2.6-ERW 1-FC</t>
  </si>
  <si>
    <t>41.28-0-3.2-ERW 1-FC</t>
  </si>
  <si>
    <t>42.7-0-3.5-ERW 1-FC</t>
  </si>
  <si>
    <t>42.7-0-4-ERW 1-FC</t>
  </si>
  <si>
    <t>40X30</t>
  </si>
  <si>
    <t>40-30-1.6-ERW 1-FC</t>
  </si>
  <si>
    <t>59X30</t>
  </si>
  <si>
    <t>59-30-1.6-ERW 1-FIN CUT</t>
  </si>
  <si>
    <t>48.6-0-3.5-ERW 1-FC</t>
  </si>
  <si>
    <t>54-0-3-ERW 1-FC</t>
  </si>
  <si>
    <t>57.15-0-2.5-ERW 1-FC</t>
  </si>
  <si>
    <t>60.3-0-2-ERW 1-FC</t>
  </si>
  <si>
    <t>50X50</t>
  </si>
  <si>
    <t>50-50-1.6-ERW 1-PE</t>
  </si>
  <si>
    <t>30.07.26</t>
  </si>
  <si>
    <t>VSM Requirement</t>
  </si>
  <si>
    <t>VSM Sales</t>
  </si>
  <si>
    <t>VSM Stock</t>
  </si>
  <si>
    <t> 2</t>
  </si>
  <si>
    <t>29.4-20.4-4.5-CEW-CEW</t>
  </si>
  <si>
    <t>TSL to update</t>
  </si>
  <si>
    <t>HR/CR</t>
  </si>
  <si>
    <t>NOS</t>
  </si>
  <si>
    <t>056</t>
  </si>
  <si>
    <t>0789</t>
  </si>
  <si>
    <t>0788</t>
  </si>
  <si>
    <t>Schedule</t>
  </si>
  <si>
    <t>Stock</t>
  </si>
  <si>
    <t>In Transit</t>
  </si>
  <si>
    <t>Column2</t>
  </si>
  <si>
    <t>Coverage</t>
  </si>
  <si>
    <t>056 Order</t>
  </si>
  <si>
    <t>0789 Order</t>
  </si>
  <si>
    <t>0788 Order</t>
  </si>
  <si>
    <t>789 Order</t>
  </si>
  <si>
    <t>Order qty to be logged</t>
  </si>
  <si>
    <t>Coverage post order</t>
  </si>
  <si>
    <t>Remark</t>
  </si>
  <si>
    <t>Check</t>
  </si>
  <si>
    <t>don't log</t>
  </si>
  <si>
    <t>x</t>
  </si>
  <si>
    <t>CR</t>
  </si>
  <si>
    <t>30 MT order</t>
  </si>
  <si>
    <t>NEW MCR</t>
  </si>
  <si>
    <t>SEE CODE</t>
  </si>
  <si>
    <t>no</t>
  </si>
  <si>
    <t>no need log order</t>
  </si>
  <si>
    <t>don't log order as stock in 5.1 meter length</t>
  </si>
  <si>
    <t>dont log</t>
  </si>
  <si>
    <t>log in jsr only</t>
  </si>
  <si>
    <t>10MT place in 0789 - 21/4/26</t>
  </si>
  <si>
    <t>50 - 0789 - 65mt &amp; 50- 056 - 65mt</t>
  </si>
  <si>
    <t xml:space="preserve">check 1 or 2 </t>
  </si>
  <si>
    <t>old one you will check</t>
  </si>
  <si>
    <t xml:space="preserve">789 - 30 MT </t>
  </si>
  <si>
    <t>1 MT PLAN</t>
  </si>
  <si>
    <t>new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</si>
</sst>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000000"/>
      <name val="Calibri"/>
      <family val="2"/>
      <charset val="1"/>
    </font>
    <font>
      <b/>
      <sz val="11"/>
      <color theme="5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64" fontId="0" fillId="4" borderId="1" xfId="0" applyNumberFormat="1" applyFill="1" applyBorder="1"/>
    <xf numFmtId="0" fontId="2" fillId="0" borderId="1" xfId="0" applyFont="1" applyBorder="1"/>
    <xf numFmtId="0" fontId="2" fillId="0" borderId="4" xfId="0" applyFont="1" applyBorder="1"/>
    <xf numFmtId="0" fontId="2" fillId="0" borderId="3" xfId="0" applyFont="1" applyBorder="1"/>
    <xf numFmtId="0" fontId="2" fillId="0" borderId="2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0" xfId="0" applyFont="1"/>
    <xf numFmtId="0" fontId="3" fillId="0" borderId="3" xfId="0" applyFont="1" applyBorder="1"/>
    <xf numFmtId="0" fontId="3" fillId="0" borderId="2" xfId="0" applyFont="1" applyBorder="1"/>
    <xf numFmtId="0" fontId="3" fillId="2" borderId="2" xfId="0" applyFont="1" applyFill="1" applyBorder="1"/>
    <xf numFmtId="0" fontId="4" fillId="2" borderId="0" xfId="0" applyFont="1" applyFill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9" xfId="0" applyFont="1" applyFill="1" applyBorder="1"/>
    <xf numFmtId="0" fontId="5" fillId="0" borderId="2" xfId="0" applyFont="1" applyBorder="1"/>
    <xf numFmtId="0" fontId="5" fillId="2" borderId="2" xfId="0" applyFont="1" applyFill="1" applyBorder="1"/>
    <xf numFmtId="0" fontId="5" fillId="0" borderId="6" xfId="0" applyFont="1" applyBorder="1"/>
    <xf numFmtId="0" fontId="0" fillId="4" borderId="1" xfId="0" applyFill="1" applyBorder="1"/>
    <xf numFmtId="0" fontId="0" fillId="3" borderId="1" xfId="0" applyFill="1" applyBorder="1"/>
    <xf numFmtId="0" fontId="6" fillId="6" borderId="5" xfId="0" applyFont="1" applyFill="1" applyBorder="1" applyAlignment="1">
      <alignment horizontal="center" vertical="center"/>
    </xf>
    <xf numFmtId="0" fontId="6" fillId="6" borderId="5" xfId="0" quotePrefix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7" borderId="1" xfId="0" quotePrefix="1" applyFont="1" applyFill="1" applyBorder="1" applyAlignment="1">
      <alignment horizontal="center" vertical="center"/>
    </xf>
    <xf numFmtId="0" fontId="6" fillId="6" borderId="0" xfId="0" quotePrefix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0" fillId="2" borderId="1" xfId="0" applyFill="1" applyBorder="1"/>
    <xf numFmtId="0" fontId="7" fillId="2" borderId="1" xfId="0" applyFont="1" applyFill="1" applyBorder="1"/>
    <xf numFmtId="1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7" fillId="5" borderId="1" xfId="0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0" fontId="0" fillId="0" borderId="1" xfId="0" applyBorder="1"/>
    <xf numFmtId="1" fontId="7" fillId="2" borderId="1" xfId="0" applyNumberFormat="1" applyFont="1" applyFill="1" applyBorder="1"/>
    <xf numFmtId="1" fontId="0" fillId="3" borderId="1" xfId="0" applyNumberForma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1" fontId="7" fillId="5" borderId="1" xfId="0" applyNumberFormat="1" applyFont="1" applyFill="1" applyBorder="1"/>
    <xf numFmtId="0" fontId="0" fillId="0" borderId="1" xfId="0" quotePrefix="1" applyBorder="1"/>
    <xf numFmtId="0" fontId="8" fillId="4" borderId="1" xfId="0" applyFont="1" applyFill="1" applyBorder="1"/>
    <xf numFmtId="0" fontId="9" fillId="5" borderId="1" xfId="0" applyFont="1" applyFill="1" applyBorder="1"/>
    <xf numFmtId="0" fontId="0" fillId="2" borderId="1" xfId="0" quotePrefix="1" applyFill="1" applyBorder="1" applyAlignment="1">
      <alignment horizontal="center"/>
    </xf>
    <xf numFmtId="0" fontId="2" fillId="4" borderId="1" xfId="0" applyFont="1" applyFill="1" applyBorder="1" applyAlignment="1">
      <alignment wrapText="1"/>
    </xf>
    <xf numFmtId="1" fontId="0" fillId="8" borderId="1" xfId="0" applyNumberFormat="1" applyFill="1" applyBorder="1"/>
    <xf numFmtId="0" fontId="10" fillId="2" borderId="1" xfId="0" applyFont="1" applyFill="1" applyBorder="1"/>
    <xf numFmtId="0" fontId="2" fillId="2" borderId="0" xfId="0" applyFont="1" applyFill="1"/>
    <xf numFmtId="0" fontId="11" fillId="2" borderId="1" xfId="0" applyFont="1" applyFill="1" applyBorder="1"/>
    <xf numFmtId="0" fontId="0" fillId="0" borderId="5" xfId="0" applyBorder="1"/>
    <xf numFmtId="0" fontId="0" fillId="4" borderId="5" xfId="0" applyFill="1" applyBorder="1"/>
    <xf numFmtId="0" fontId="7" fillId="5" borderId="5" xfId="0" applyFont="1" applyFill="1" applyBorder="1"/>
    <xf numFmtId="0" fontId="0" fillId="5" borderId="5" xfId="0" applyFill="1" applyBorder="1"/>
    <xf numFmtId="0" fontId="7" fillId="0" borderId="0" xfId="0" applyFont="1"/>
    <xf numFmtId="0" fontId="0" fillId="4" borderId="1" xfId="0" applyFill="1" applyBorder="1" applyAlignment="1">
      <alignment wrapText="1"/>
    </xf>
    <xf numFmtId="0" fontId="0" fillId="9" borderId="1" xfId="0" applyFill="1" applyBorder="1"/>
    <xf numFmtId="0" fontId="7" fillId="9" borderId="1" xfId="0" applyFont="1" applyFill="1" applyBorder="1"/>
    <xf numFmtId="1" fontId="7" fillId="9" borderId="1" xfId="0" applyNumberFormat="1" applyFont="1" applyFill="1" applyBorder="1"/>
    <xf numFmtId="1" fontId="0" fillId="9" borderId="1" xfId="0" applyNumberFormat="1" applyFill="1" applyBorder="1"/>
    <xf numFmtId="0" fontId="0" fillId="9" borderId="0" xfId="0" applyFill="1"/>
    <xf numFmtId="0" fontId="0" fillId="2" borderId="1" xfId="0" quotePrefix="1" applyFill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numFmt numFmtId="0" formatCode="General"/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fill>
        <patternFill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sz val="11"/>
        <family val="2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poorv Gupta" id="{E777AEA9-1213-40C2-8D76-C991376DA16C}" userId="S::163559@tatasteel.com::9ecb0929-8677-49c6-b468-f366e90eac17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EF9F4-4D3A-44D5-870B-70AA9CF01352}" name="Table1" displayName="Table1" ref="A3:T96" totalsRowShown="0" headerRowDxfId="113" dataDxfId="111" headerRowBorderDxfId="112" tableBorderDxfId="110">
  <autoFilter ref="A3:T96" xr:uid="{A95EF9F4-4D3A-44D5-870B-70AA9CF01352}"/>
  <tableColumns count="20">
    <tableColumn id="1" xr3:uid="{49C2D27F-914D-48B4-B53B-E3E01FDDD0CF}" name="S.NO" dataDxfId="109"/>
    <tableColumn id="2" xr3:uid="{EB187352-D2C4-4202-A23D-721A0D628DB4}" name="Section" dataDxfId="108"/>
    <tableColumn id="3" xr3:uid="{427CCAB9-4232-476F-9B2F-921835F81D9D}" name="Column1" dataDxfId="107"/>
    <tableColumn id="4" xr3:uid="{4C3C0895-6506-4226-AF6D-136758A1DCC6}" name="O D" dataDxfId="106"/>
    <tableColumn id="5" xr3:uid="{525253E0-8FA6-4C18-B709-1620545070C3}" name="Thk." dataDxfId="105"/>
    <tableColumn id="7" xr3:uid="{DF7452BD-FCDA-4FA9-97ED-084F296AED13}" name="Wt/Len" dataDxfId="104"/>
    <tableColumn id="8" xr3:uid="{997B6017-73CA-42B0-8FA5-1CD37E18A544}" name="key" dataDxfId="103"/>
    <tableColumn id="9" xr3:uid="{C5E67704-417C-4956-95D4-B5194E6C1C1E}" name="Grade" dataDxfId="102"/>
    <tableColumn id="10" xr3:uid="{AFC10C33-24FD-4D03-B39A-E989C89AC132}" name="FC/NFC" dataDxfId="101"/>
    <tableColumn id="11" xr3:uid="{3719040A-1986-40A0-8DCB-4932001B4A99}" name="VSM Requirement" dataDxfId="100">
      <calculatedColumnFormula>SUM(M4:R4)</calculatedColumnFormula>
    </tableColumn>
    <tableColumn id="12" xr3:uid="{5DF3D2FC-B981-4866-86FC-B68D0300F28B}" name="VSM Sales" dataDxfId="99"/>
    <tableColumn id="21" xr3:uid="{7D66569C-186E-4F4F-BB9B-73ACC5A742DA}" name="VSM Stock" dataDxfId="98"/>
    <tableColumn id="13" xr3:uid="{850068CB-E3ED-4CB3-B375-8DEB0F6D048E}" name="Rucha" dataDxfId="97"/>
    <tableColumn id="14" xr3:uid="{7CA5B920-FCEA-4343-AA29-93B95573FE25}" name="Metalman" dataDxfId="96"/>
    <tableColumn id="15" xr3:uid="{6679665C-5C82-4C47-BDBD-90DC15C3DCE2}" name="Marathwada" dataDxfId="95"/>
    <tableColumn id="16" xr3:uid="{49521C1F-6216-4303-AA6A-AA622C5B33A4}" name="Rajsriya tvs" dataDxfId="94"/>
    <tableColumn id="17" xr3:uid="{03F1A6C0-31CC-4113-99C3-84DBF8675A85}" name="supangita" dataDxfId="93"/>
    <tableColumn id="18" xr3:uid="{ED213E37-666F-42EC-B088-270375D14D0F}" name="pams eng" dataDxfId="92"/>
    <tableColumn id="19" xr3:uid="{119D7102-0DAB-46CC-8554-18E7C5BC50F0}" name=" " dataDxfId="91"/>
    <tableColumn id="20" xr3:uid="{466C8C1E-1AF7-46B6-82F6-279FCF5DA7AD}" name=" 2" dataDxfId="9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70FECC-C8DB-441D-A1FE-CE75CB838EF7}" name="Table3" displayName="Table3" ref="A3:AA121" totalsRowShown="0" headerRowDxfId="89" dataDxfId="88" tableBorderDxfId="87">
  <autoFilter ref="A3:AA121" xr:uid="{5970FECC-C8DB-441D-A1FE-CE75CB838EF7}"/>
  <tableColumns count="27">
    <tableColumn id="1" xr3:uid="{8C1244B0-B643-4854-9501-71D8D5D5F74C}" name="S.NO" dataDxfId="86"/>
    <tableColumn id="2" xr3:uid="{0BC36141-0A2D-481C-8F23-5D39E603789C}" name="Section" dataDxfId="85"/>
    <tableColumn id="24" xr3:uid="{BDC6E565-2D0C-4FC8-9B47-9598424F429F}" name="Column1" dataDxfId="84"/>
    <tableColumn id="3" xr3:uid="{75C1E727-C16C-40E2-BB6F-5AB316736C1F}" name="O D" dataDxfId="83"/>
    <tableColumn id="4" xr3:uid="{B24E6D35-3F35-45A9-AF7C-C36AE7B06385}" name="Thk." dataDxfId="82"/>
    <tableColumn id="5" xr3:uid="{2905F19A-11BA-4398-89D6-27085B438BEE}" name="Length" dataDxfId="81"/>
    <tableColumn id="6" xr3:uid="{8E8FD8B2-E024-4236-9B6A-77A12DC34849}" name="Wt/Len" dataDxfId="80"/>
    <tableColumn id="7" xr3:uid="{D0AAB649-9C49-44A4-8C93-4556260EBC97}" name="key" dataDxfId="79"/>
    <tableColumn id="8" xr3:uid="{B435130F-ED0D-4C6C-91A1-F6486EF9FD34}" name="Grade" dataDxfId="78"/>
    <tableColumn id="9" xr3:uid="{17AAF7D0-C019-4B18-82C1-564403E2AB86}" name="FC/NFC" dataDxfId="77"/>
    <tableColumn id="10" xr3:uid="{FE4CD104-63F6-4C8D-A983-2062A095C6DB}" name="HR/CR" dataDxfId="76"/>
    <tableColumn id="11" xr3:uid="{D4CE7D9B-93E1-4A56-9A4D-46D1E165D841}" name="NOS" dataDxfId="75"/>
    <tableColumn id="19" xr3:uid="{E71CBB01-EACA-42F6-A525-0591B759797A}" name="056" dataDxfId="74"/>
    <tableColumn id="18" xr3:uid="{AEE07ECA-FF55-4EA5-BF63-A8BA1EB1E873}" name="0789" dataDxfId="73"/>
    <tableColumn id="15" xr3:uid="{19D463D1-101F-48F9-B857-56B2C8C8830A}" name="0788" dataDxfId="72"/>
    <tableColumn id="14" xr3:uid="{D3DDBDCF-5172-44E3-909B-26D8803CA015}" name="Schedule" dataDxfId="71">
      <calculatedColumnFormula>'vsm req'!K4</calculatedColumnFormula>
    </tableColumn>
    <tableColumn id="16" xr3:uid="{5E6341F4-EE75-45CB-A3B0-CDF5F8700B7C}" name="Stock" dataDxfId="70">
      <calculatedColumnFormula>((D4-E4)*E4*0.0246615*F4*L4)</calculatedColumnFormula>
    </tableColumn>
    <tableColumn id="12" xr3:uid="{6E45D67C-326A-45A6-AB73-EF72DDBD4BE7}" name="In Transit" dataDxfId="69"/>
    <tableColumn id="26" xr3:uid="{9B11A325-9F44-4490-A5F8-3E0F92EB04C7}" name="Column2" dataDxfId="68"/>
    <tableColumn id="17" xr3:uid="{142F8EE0-8C4A-4F52-B433-6E16EFFB4F68}" name="Coverage" dataDxfId="67">
      <calculatedColumnFormula>ROUND((Q4+Table3[[#This Row],[In Transit]])/P4*30,0)</calculatedColumnFormula>
    </tableColumn>
    <tableColumn id="23" xr3:uid="{64A78895-0BDE-40C2-A7F8-BA39EA1FCBB5}" name="056 Order" dataDxfId="66"/>
    <tableColumn id="22" xr3:uid="{2053E59C-F208-4452-8DD9-F3EEB97BB984}" name="0789 Order" dataDxfId="65"/>
    <tableColumn id="21" xr3:uid="{4FFA58A4-AF31-45D3-9B65-94409B43BD85}" name="0788 Order" dataDxfId="64"/>
    <tableColumn id="27" xr3:uid="{B6E21D69-3AAD-4545-81FF-3E7CCA4A4BAF}" name="789 Order" dataDxfId="63"/>
    <tableColumn id="13" xr3:uid="{8B4D4A22-DD54-4E3C-8A7A-C3BC233240DA}" name="Order qty to be logged" dataDxfId="62">
      <calculatedColumnFormula>IF((45-Table3[[#This Row],[Coverage post order]])&gt;0,Table3[[#This Row],[Schedule]]*1.5,0)</calculatedColumnFormula>
    </tableColumn>
    <tableColumn id="25" xr3:uid="{C79EBC91-58E3-4259-BC86-81ACA4EFA386}" name="Coverage post order" dataDxfId="61">
      <calculatedColumnFormula>ROUND((Table3[[#This Row],[Stock]]+Table3[[#This Row],[056 Order]]+Table3[[#This Row],[0789 Order]]+Table3[[#This Row],[0788 Order]])/Table3[[#This Row],[Schedule]]*30,0)</calculatedColumnFormula>
    </tableColumn>
    <tableColumn id="20" xr3:uid="{98D20B4C-4DB6-41A5-82DA-7E4662A6A5B9}" name="Remark" dataDxfId="6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40" dT="2026-01-02T06:24:35.68" personId="{E777AEA9-1213-40C2-8D76-C991376DA16C}" id="{F8B716AB-F6D3-4137-9AD4-843F8A7EF411}">
    <text>Change length to 5530</text>
  </threadedComment>
  <threadedComment ref="F66" dT="2025-12-02T09:13:04.96" personId="{E777AEA9-1213-40C2-8D76-C991376DA16C}" id="{5259FDE8-04D1-4110-A093-D3B95CAB6763}">
    <text>6.3/5530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6960-FE7A-4138-BB86-7613FEC608AB}">
  <dimension ref="A1:C7"/>
  <sheetViews>
    <sheetView workbookViewId="0">
      <selection activeCell="C7" sqref="C7"/>
    </sheetView>
  </sheetViews>
  <sheetFormatPr defaultRowHeight="15" x14ac:dyDescent="0.25"/>
  <cols>
    <col min="2" max="2" width="36.140625" bestFit="1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4" spans="1:3" x14ac:dyDescent="0.25">
      <c r="A4">
        <v>1</v>
      </c>
      <c r="B4" t="s">
        <v>2</v>
      </c>
    </row>
    <row r="5" spans="1:3" x14ac:dyDescent="0.25">
      <c r="A5">
        <v>2</v>
      </c>
      <c r="B5" t="s">
        <v>3</v>
      </c>
    </row>
    <row r="6" spans="1:3" x14ac:dyDescent="0.25">
      <c r="A6">
        <v>3</v>
      </c>
      <c r="B6" t="s">
        <v>4</v>
      </c>
    </row>
    <row r="7" spans="1:3" x14ac:dyDescent="0.25">
      <c r="A7">
        <v>4</v>
      </c>
      <c r="B7" t="s">
        <v>5</v>
      </c>
      <c r="C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63D18-7D0B-4BEB-A031-03028B7422B0}">
  <dimension ref="A1:U130"/>
  <sheetViews>
    <sheetView topLeftCell="A32" workbookViewId="0">
      <selection activeCell="Q60" sqref="Q60"/>
    </sheetView>
  </sheetViews>
  <sheetFormatPr defaultRowHeight="15" x14ac:dyDescent="0.25"/>
  <cols>
    <col min="11" max="11" width="9" customWidth="1"/>
  </cols>
  <sheetData>
    <row r="1" spans="1:21" x14ac:dyDescent="0.25">
      <c r="A1" s="2" t="s">
        <v>6</v>
      </c>
      <c r="B1" s="3" t="s">
        <v>6</v>
      </c>
      <c r="C1" s="3" t="s">
        <v>6</v>
      </c>
      <c r="D1" s="3" t="s">
        <v>6</v>
      </c>
      <c r="E1" s="3" t="s">
        <v>6</v>
      </c>
      <c r="F1" s="3" t="s">
        <v>6</v>
      </c>
      <c r="G1" s="3" t="s">
        <v>6</v>
      </c>
      <c r="H1" s="3" t="s">
        <v>7</v>
      </c>
      <c r="I1" s="3" t="s">
        <v>6</v>
      </c>
      <c r="J1" s="3" t="s">
        <v>6</v>
      </c>
      <c r="K1" s="3">
        <v>1721.5</v>
      </c>
      <c r="L1" s="3">
        <v>839</v>
      </c>
      <c r="M1" s="3">
        <v>210</v>
      </c>
      <c r="N1" s="3">
        <v>25</v>
      </c>
      <c r="O1" s="3">
        <v>99</v>
      </c>
      <c r="P1" s="3">
        <v>65</v>
      </c>
      <c r="Q1" s="3">
        <v>25</v>
      </c>
      <c r="R1" s="3">
        <v>25</v>
      </c>
      <c r="S1" s="3">
        <v>109</v>
      </c>
      <c r="T1" s="3">
        <v>126</v>
      </c>
      <c r="U1" s="3">
        <v>198.5</v>
      </c>
    </row>
    <row r="2" spans="1:21" x14ac:dyDescent="0.25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5" t="s">
        <v>6</v>
      </c>
      <c r="H2" s="5" t="s">
        <v>6</v>
      </c>
      <c r="I2" s="5" t="s">
        <v>6</v>
      </c>
      <c r="J2" s="5" t="s">
        <v>6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16</v>
      </c>
      <c r="T2" s="5" t="s">
        <v>17</v>
      </c>
      <c r="U2" s="5" t="s">
        <v>18</v>
      </c>
    </row>
    <row r="3" spans="1:21" x14ac:dyDescent="0.25">
      <c r="A3" s="4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5" t="s">
        <v>28</v>
      </c>
      <c r="K3" s="5" t="s">
        <v>6</v>
      </c>
      <c r="L3" s="5" t="s">
        <v>6</v>
      </c>
      <c r="M3" s="5" t="s">
        <v>6</v>
      </c>
      <c r="N3" s="5" t="s">
        <v>6</v>
      </c>
      <c r="O3" s="5" t="s">
        <v>6</v>
      </c>
      <c r="P3" s="5" t="s">
        <v>6</v>
      </c>
      <c r="Q3" s="5" t="s">
        <v>6</v>
      </c>
      <c r="R3" s="5" t="s">
        <v>6</v>
      </c>
      <c r="S3" s="5" t="s">
        <v>6</v>
      </c>
      <c r="T3" s="5" t="s">
        <v>6</v>
      </c>
      <c r="U3" s="5" t="s">
        <v>6</v>
      </c>
    </row>
    <row r="4" spans="1:21" x14ac:dyDescent="0.25">
      <c r="A4" s="4">
        <v>1</v>
      </c>
      <c r="B4" s="5" t="s">
        <v>6</v>
      </c>
      <c r="C4" s="5">
        <v>943209</v>
      </c>
      <c r="D4" s="5">
        <v>12.7</v>
      </c>
      <c r="E4" s="5">
        <v>1.2</v>
      </c>
      <c r="F4" s="5">
        <v>6</v>
      </c>
      <c r="G4" s="5">
        <v>2.0419999999999998</v>
      </c>
      <c r="H4" s="5" t="s">
        <v>29</v>
      </c>
      <c r="I4" s="5" t="s">
        <v>30</v>
      </c>
      <c r="J4" s="5" t="s">
        <v>31</v>
      </c>
      <c r="K4" s="5">
        <v>6000</v>
      </c>
      <c r="L4" s="5">
        <v>6</v>
      </c>
      <c r="M4" s="5" t="s">
        <v>6</v>
      </c>
      <c r="N4" s="5" t="s">
        <v>6</v>
      </c>
      <c r="O4" s="5" t="s">
        <v>6</v>
      </c>
      <c r="P4" s="5" t="s">
        <v>6</v>
      </c>
      <c r="Q4" s="5" t="s">
        <v>6</v>
      </c>
      <c r="R4" s="5" t="s">
        <v>6</v>
      </c>
      <c r="S4" s="5" t="s">
        <v>6</v>
      </c>
      <c r="T4" s="5" t="s">
        <v>6</v>
      </c>
      <c r="U4" s="5" t="s">
        <v>6</v>
      </c>
    </row>
    <row r="5" spans="1:21" x14ac:dyDescent="0.25">
      <c r="A5" s="4">
        <v>2</v>
      </c>
      <c r="B5" s="5" t="s">
        <v>6</v>
      </c>
      <c r="C5" s="5">
        <v>943210</v>
      </c>
      <c r="D5" s="5">
        <v>12.7</v>
      </c>
      <c r="E5" s="5">
        <v>1.4</v>
      </c>
      <c r="F5" s="5">
        <v>5.67</v>
      </c>
      <c r="G5" s="5">
        <v>2.2120000000000002</v>
      </c>
      <c r="H5" s="5" t="s">
        <v>6</v>
      </c>
      <c r="I5" s="5" t="s">
        <v>30</v>
      </c>
      <c r="J5" s="5" t="s">
        <v>31</v>
      </c>
      <c r="K5" s="5">
        <v>1500</v>
      </c>
      <c r="L5" s="5" t="s">
        <v>6</v>
      </c>
      <c r="M5" s="5" t="s">
        <v>6</v>
      </c>
      <c r="N5" s="5" t="s">
        <v>6</v>
      </c>
      <c r="O5" s="5" t="s">
        <v>6</v>
      </c>
      <c r="P5" s="5" t="s">
        <v>6</v>
      </c>
      <c r="Q5" s="5" t="s">
        <v>6</v>
      </c>
      <c r="R5" s="5" t="s">
        <v>6</v>
      </c>
      <c r="S5" s="5" t="s">
        <v>6</v>
      </c>
      <c r="T5" s="5" t="s">
        <v>6</v>
      </c>
      <c r="U5" s="5">
        <v>1.5</v>
      </c>
    </row>
    <row r="6" spans="1:21" x14ac:dyDescent="0.25">
      <c r="A6" s="4">
        <v>3</v>
      </c>
      <c r="B6" s="5" t="s">
        <v>6</v>
      </c>
      <c r="C6" s="5" t="s">
        <v>6</v>
      </c>
      <c r="D6" s="5">
        <v>12.7</v>
      </c>
      <c r="E6" s="5">
        <v>1.4</v>
      </c>
      <c r="F6" s="5">
        <v>6</v>
      </c>
      <c r="G6" s="5">
        <v>2.3410000000000002</v>
      </c>
      <c r="H6" s="5" t="s">
        <v>6</v>
      </c>
      <c r="I6" s="5" t="s">
        <v>30</v>
      </c>
      <c r="J6" s="5" t="s">
        <v>31</v>
      </c>
      <c r="K6" s="5">
        <v>0</v>
      </c>
      <c r="L6" s="5" t="s">
        <v>6</v>
      </c>
      <c r="M6" s="5" t="s">
        <v>6</v>
      </c>
      <c r="N6" s="5" t="s">
        <v>6</v>
      </c>
      <c r="O6" s="5" t="s">
        <v>6</v>
      </c>
      <c r="P6" s="5" t="s">
        <v>6</v>
      </c>
      <c r="Q6" s="5" t="s">
        <v>6</v>
      </c>
      <c r="R6" s="5" t="s">
        <v>6</v>
      </c>
      <c r="S6" s="5" t="s">
        <v>6</v>
      </c>
      <c r="T6" s="5" t="s">
        <v>6</v>
      </c>
      <c r="U6" s="5" t="s">
        <v>6</v>
      </c>
    </row>
    <row r="7" spans="1:21" x14ac:dyDescent="0.25">
      <c r="A7" s="4">
        <v>4</v>
      </c>
      <c r="B7" s="5" t="s">
        <v>6</v>
      </c>
      <c r="C7" s="5" t="s">
        <v>6</v>
      </c>
      <c r="D7" s="5">
        <v>12.7</v>
      </c>
      <c r="E7" s="5">
        <v>1.4</v>
      </c>
      <c r="F7" s="5">
        <v>6.0350000000000001</v>
      </c>
      <c r="G7" s="5">
        <v>2.355</v>
      </c>
      <c r="H7" s="5" t="s">
        <v>6</v>
      </c>
      <c r="I7" s="5" t="s">
        <v>30</v>
      </c>
      <c r="J7" s="5" t="s">
        <v>31</v>
      </c>
      <c r="K7" s="5">
        <v>0</v>
      </c>
      <c r="L7" s="5" t="s">
        <v>6</v>
      </c>
      <c r="M7" s="5" t="s">
        <v>6</v>
      </c>
      <c r="N7" s="5" t="s">
        <v>6</v>
      </c>
      <c r="O7" s="5" t="s">
        <v>6</v>
      </c>
      <c r="P7" s="5" t="s">
        <v>6</v>
      </c>
      <c r="Q7" s="5" t="s">
        <v>6</v>
      </c>
      <c r="R7" s="5" t="s">
        <v>6</v>
      </c>
      <c r="S7" s="5" t="s">
        <v>6</v>
      </c>
      <c r="T7" s="5" t="s">
        <v>6</v>
      </c>
      <c r="U7" s="5" t="s">
        <v>6</v>
      </c>
    </row>
    <row r="8" spans="1:21" x14ac:dyDescent="0.25">
      <c r="A8" s="4">
        <v>5</v>
      </c>
      <c r="B8" s="5" t="s">
        <v>6</v>
      </c>
      <c r="C8" s="5">
        <v>943210</v>
      </c>
      <c r="D8" s="5">
        <v>12.7</v>
      </c>
      <c r="E8" s="5">
        <v>1.6</v>
      </c>
      <c r="F8" s="5">
        <v>6</v>
      </c>
      <c r="G8" s="5">
        <v>2.6280000000000001</v>
      </c>
      <c r="H8" s="5" t="s">
        <v>32</v>
      </c>
      <c r="I8" s="5" t="s">
        <v>30</v>
      </c>
      <c r="J8" s="5" t="s">
        <v>31</v>
      </c>
      <c r="K8" s="5">
        <v>0</v>
      </c>
      <c r="L8" s="5" t="s">
        <v>6</v>
      </c>
      <c r="M8" s="5" t="s">
        <v>6</v>
      </c>
      <c r="N8" s="5" t="s">
        <v>6</v>
      </c>
      <c r="O8" s="5" t="s">
        <v>6</v>
      </c>
      <c r="P8" s="5" t="s">
        <v>6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</row>
    <row r="9" spans="1:21" x14ac:dyDescent="0.25">
      <c r="A9" s="4">
        <v>6</v>
      </c>
      <c r="B9" s="5" t="s">
        <v>6</v>
      </c>
      <c r="C9" s="5" t="s">
        <v>6</v>
      </c>
      <c r="D9" s="5">
        <v>12.7</v>
      </c>
      <c r="E9" s="5">
        <v>2</v>
      </c>
      <c r="F9" s="5">
        <v>6</v>
      </c>
      <c r="G9" s="5">
        <v>3.1669999999999998</v>
      </c>
      <c r="H9" s="5" t="s">
        <v>6</v>
      </c>
      <c r="I9" s="5" t="s">
        <v>30</v>
      </c>
      <c r="J9" s="5" t="s">
        <v>31</v>
      </c>
      <c r="K9" s="5">
        <v>2000</v>
      </c>
      <c r="L9" s="5">
        <v>2</v>
      </c>
      <c r="M9" s="5" t="s">
        <v>6</v>
      </c>
      <c r="N9" s="5" t="s">
        <v>6</v>
      </c>
      <c r="O9" s="5" t="s">
        <v>6</v>
      </c>
      <c r="P9" s="5" t="s">
        <v>6</v>
      </c>
      <c r="Q9" s="5" t="s">
        <v>6</v>
      </c>
      <c r="R9" s="5" t="s">
        <v>6</v>
      </c>
      <c r="S9" s="5" t="s">
        <v>6</v>
      </c>
      <c r="T9" s="5" t="s">
        <v>6</v>
      </c>
      <c r="U9" s="5" t="s">
        <v>6</v>
      </c>
    </row>
    <row r="10" spans="1:21" x14ac:dyDescent="0.25">
      <c r="A10" s="4">
        <v>7</v>
      </c>
      <c r="B10" s="5" t="s">
        <v>6</v>
      </c>
      <c r="C10" s="5" t="s">
        <v>6</v>
      </c>
      <c r="D10" s="5">
        <v>14</v>
      </c>
      <c r="E10" s="5">
        <v>2.4500000000000002</v>
      </c>
      <c r="F10" s="5">
        <v>5</v>
      </c>
      <c r="G10" s="5" t="s">
        <v>6</v>
      </c>
      <c r="H10" s="5" t="s">
        <v>6</v>
      </c>
      <c r="I10" s="5" t="s">
        <v>6</v>
      </c>
      <c r="J10" s="5" t="s">
        <v>6</v>
      </c>
      <c r="K10" s="5">
        <v>0</v>
      </c>
      <c r="L10" s="5" t="s">
        <v>6</v>
      </c>
      <c r="M10" s="5" t="s">
        <v>6</v>
      </c>
      <c r="N10" s="5" t="s">
        <v>6</v>
      </c>
      <c r="O10" s="5" t="s">
        <v>6</v>
      </c>
      <c r="P10" s="5" t="s">
        <v>6</v>
      </c>
      <c r="Q10" s="5" t="s">
        <v>6</v>
      </c>
      <c r="R10" s="5" t="s">
        <v>6</v>
      </c>
      <c r="S10" s="5" t="s">
        <v>6</v>
      </c>
      <c r="T10" s="5" t="s">
        <v>6</v>
      </c>
      <c r="U10" s="5" t="s">
        <v>6</v>
      </c>
    </row>
    <row r="11" spans="1:21" x14ac:dyDescent="0.25">
      <c r="A11" s="4">
        <v>8</v>
      </c>
      <c r="B11" s="5" t="s">
        <v>6</v>
      </c>
      <c r="C11" s="5" t="s">
        <v>6</v>
      </c>
      <c r="D11" s="5">
        <v>15.88</v>
      </c>
      <c r="E11" s="5">
        <v>1</v>
      </c>
      <c r="F11" s="5">
        <v>6.19</v>
      </c>
      <c r="G11" s="5">
        <v>2.2719999999999998</v>
      </c>
      <c r="H11" s="5" t="s">
        <v>33</v>
      </c>
      <c r="I11" s="5" t="s">
        <v>30</v>
      </c>
      <c r="J11" s="5" t="s">
        <v>31</v>
      </c>
      <c r="K11" s="5">
        <v>0</v>
      </c>
      <c r="L11" s="5" t="s">
        <v>6</v>
      </c>
      <c r="M11" s="5" t="s">
        <v>6</v>
      </c>
      <c r="N11" s="5" t="s">
        <v>6</v>
      </c>
      <c r="O11" s="5" t="s">
        <v>6</v>
      </c>
      <c r="P11" s="5" t="s">
        <v>6</v>
      </c>
      <c r="Q11" s="5" t="s">
        <v>6</v>
      </c>
      <c r="R11" s="5" t="s">
        <v>6</v>
      </c>
      <c r="S11" s="5" t="s">
        <v>6</v>
      </c>
      <c r="T11" s="5" t="s">
        <v>6</v>
      </c>
      <c r="U11" s="5" t="s">
        <v>6</v>
      </c>
    </row>
    <row r="12" spans="1:21" x14ac:dyDescent="0.25">
      <c r="A12" s="4">
        <v>9</v>
      </c>
      <c r="B12" s="5" t="s">
        <v>6</v>
      </c>
      <c r="C12" s="5">
        <v>943210</v>
      </c>
      <c r="D12" s="5">
        <v>15.88</v>
      </c>
      <c r="E12" s="5">
        <v>1.2</v>
      </c>
      <c r="F12" s="5">
        <v>6</v>
      </c>
      <c r="G12" s="5">
        <v>2.6070000000000002</v>
      </c>
      <c r="H12" s="5" t="s">
        <v>34</v>
      </c>
      <c r="I12" s="5" t="s">
        <v>30</v>
      </c>
      <c r="J12" s="5" t="s">
        <v>31</v>
      </c>
      <c r="K12" s="5">
        <v>5000</v>
      </c>
      <c r="L12" s="5">
        <v>5</v>
      </c>
      <c r="M12" s="5" t="s">
        <v>6</v>
      </c>
      <c r="N12" s="5" t="s">
        <v>6</v>
      </c>
      <c r="O12" s="5" t="s">
        <v>6</v>
      </c>
      <c r="P12" s="5" t="s">
        <v>6</v>
      </c>
      <c r="Q12" s="5" t="s">
        <v>6</v>
      </c>
      <c r="R12" s="5" t="s">
        <v>6</v>
      </c>
      <c r="S12" s="5" t="s">
        <v>6</v>
      </c>
      <c r="T12" s="5" t="s">
        <v>6</v>
      </c>
      <c r="U12" s="5" t="s">
        <v>6</v>
      </c>
    </row>
    <row r="13" spans="1:21" x14ac:dyDescent="0.25">
      <c r="A13" s="4">
        <v>10</v>
      </c>
      <c r="B13" s="5" t="s">
        <v>6</v>
      </c>
      <c r="C13" s="5" t="s">
        <v>6</v>
      </c>
      <c r="D13" s="5">
        <v>15.88</v>
      </c>
      <c r="E13" s="5">
        <v>1.4</v>
      </c>
      <c r="F13" s="5">
        <v>6</v>
      </c>
      <c r="G13" s="5">
        <v>2.6070000000000002</v>
      </c>
      <c r="H13" s="5" t="s">
        <v>6</v>
      </c>
      <c r="I13" s="5" t="s">
        <v>30</v>
      </c>
      <c r="J13" s="5" t="s">
        <v>31</v>
      </c>
      <c r="K13" s="5">
        <v>0</v>
      </c>
      <c r="L13" s="5" t="s">
        <v>6</v>
      </c>
      <c r="M13" s="5" t="s">
        <v>6</v>
      </c>
      <c r="N13" s="5" t="s">
        <v>6</v>
      </c>
      <c r="O13" s="5" t="s">
        <v>6</v>
      </c>
      <c r="P13" s="5" t="s">
        <v>6</v>
      </c>
      <c r="Q13" s="5" t="s">
        <v>6</v>
      </c>
      <c r="R13" s="5" t="s">
        <v>6</v>
      </c>
      <c r="S13" s="5" t="s">
        <v>6</v>
      </c>
      <c r="T13" s="5" t="s">
        <v>6</v>
      </c>
      <c r="U13" s="5" t="s">
        <v>6</v>
      </c>
    </row>
    <row r="14" spans="1:21" x14ac:dyDescent="0.25">
      <c r="A14" s="4">
        <v>11</v>
      </c>
      <c r="B14" s="5" t="s">
        <v>6</v>
      </c>
      <c r="C14" s="5" t="s">
        <v>6</v>
      </c>
      <c r="D14" s="5">
        <v>15.88</v>
      </c>
      <c r="E14" s="5">
        <v>1.6</v>
      </c>
      <c r="F14" s="5">
        <v>6</v>
      </c>
      <c r="G14" s="5">
        <v>3.3809999999999998</v>
      </c>
      <c r="H14" s="5" t="s">
        <v>35</v>
      </c>
      <c r="I14" s="5" t="s">
        <v>30</v>
      </c>
      <c r="J14" s="5" t="s">
        <v>31</v>
      </c>
      <c r="K14" s="5">
        <v>1000</v>
      </c>
      <c r="L14" s="5">
        <v>1</v>
      </c>
      <c r="M14" s="5" t="s">
        <v>6</v>
      </c>
      <c r="N14" s="5" t="s">
        <v>6</v>
      </c>
      <c r="O14" s="5" t="s">
        <v>6</v>
      </c>
      <c r="P14" s="5" t="s">
        <v>6</v>
      </c>
      <c r="Q14" s="5" t="s">
        <v>6</v>
      </c>
      <c r="R14" s="5" t="s">
        <v>6</v>
      </c>
      <c r="S14" s="5" t="s">
        <v>6</v>
      </c>
      <c r="T14" s="5" t="s">
        <v>6</v>
      </c>
      <c r="U14" s="5" t="s">
        <v>6</v>
      </c>
    </row>
    <row r="15" spans="1:21" x14ac:dyDescent="0.25">
      <c r="A15" s="4">
        <v>12</v>
      </c>
      <c r="B15" s="5" t="s">
        <v>6</v>
      </c>
      <c r="C15" s="5">
        <v>943209</v>
      </c>
      <c r="D15" s="5">
        <v>15.88</v>
      </c>
      <c r="E15" s="5">
        <v>2</v>
      </c>
      <c r="F15" s="5">
        <v>6</v>
      </c>
      <c r="G15" s="5">
        <v>4.1079999999999997</v>
      </c>
      <c r="H15" s="5" t="s">
        <v>36</v>
      </c>
      <c r="I15" s="5" t="s">
        <v>30</v>
      </c>
      <c r="J15" s="5" t="s">
        <v>31</v>
      </c>
      <c r="K15" s="5">
        <v>3000</v>
      </c>
      <c r="L15" s="5" t="s">
        <v>6</v>
      </c>
      <c r="M15" s="5" t="s">
        <v>6</v>
      </c>
      <c r="N15" s="5" t="s">
        <v>6</v>
      </c>
      <c r="O15" s="5" t="s">
        <v>6</v>
      </c>
      <c r="P15" s="5" t="s">
        <v>6</v>
      </c>
      <c r="Q15" s="5" t="s">
        <v>6</v>
      </c>
      <c r="R15" s="5" t="s">
        <v>6</v>
      </c>
      <c r="S15" s="5" t="s">
        <v>6</v>
      </c>
      <c r="T15" s="5" t="s">
        <v>6</v>
      </c>
      <c r="U15" s="5">
        <v>3</v>
      </c>
    </row>
    <row r="16" spans="1:21" x14ac:dyDescent="0.25">
      <c r="A16" s="4">
        <v>13</v>
      </c>
      <c r="B16" s="5" t="s">
        <v>6</v>
      </c>
      <c r="C16" s="5" t="s">
        <v>6</v>
      </c>
      <c r="D16" s="5">
        <v>16.8</v>
      </c>
      <c r="E16" s="5">
        <v>2.4</v>
      </c>
      <c r="F16" s="5">
        <v>4.4000000000000004</v>
      </c>
      <c r="G16" s="5">
        <v>3.75</v>
      </c>
      <c r="H16" s="5" t="s">
        <v>37</v>
      </c>
      <c r="I16" s="5" t="s">
        <v>30</v>
      </c>
      <c r="J16" s="5" t="s">
        <v>31</v>
      </c>
      <c r="K16" s="5">
        <v>0</v>
      </c>
      <c r="L16" s="5" t="s">
        <v>6</v>
      </c>
      <c r="M16" s="5" t="s">
        <v>6</v>
      </c>
      <c r="N16" s="5" t="s">
        <v>6</v>
      </c>
      <c r="O16" s="5" t="s">
        <v>6</v>
      </c>
      <c r="P16" s="5" t="s">
        <v>6</v>
      </c>
      <c r="Q16" s="5" t="s">
        <v>6</v>
      </c>
      <c r="R16" s="5" t="s">
        <v>6</v>
      </c>
      <c r="S16" s="5" t="s">
        <v>6</v>
      </c>
      <c r="T16" s="5" t="s">
        <v>6</v>
      </c>
      <c r="U16" s="5" t="s">
        <v>6</v>
      </c>
    </row>
    <row r="17" spans="1:21" x14ac:dyDescent="0.25">
      <c r="A17" s="4">
        <v>14</v>
      </c>
      <c r="B17" s="5" t="s">
        <v>6</v>
      </c>
      <c r="C17" s="5" t="s">
        <v>6</v>
      </c>
      <c r="D17" s="5">
        <v>18.2</v>
      </c>
      <c r="E17" s="5">
        <v>1</v>
      </c>
      <c r="F17" s="5">
        <v>6.1449999999999996</v>
      </c>
      <c r="G17" s="5">
        <v>2.6070000000000002</v>
      </c>
      <c r="H17" s="5" t="s">
        <v>38</v>
      </c>
      <c r="I17" s="5" t="s">
        <v>30</v>
      </c>
      <c r="J17" s="5" t="s">
        <v>31</v>
      </c>
      <c r="K17" s="5">
        <v>5000</v>
      </c>
      <c r="L17" s="5">
        <v>5</v>
      </c>
      <c r="M17" s="5" t="s">
        <v>6</v>
      </c>
      <c r="N17" s="5" t="s">
        <v>6</v>
      </c>
      <c r="O17" s="5" t="s">
        <v>6</v>
      </c>
      <c r="P17" s="5" t="s">
        <v>6</v>
      </c>
      <c r="Q17" s="5" t="s">
        <v>6</v>
      </c>
      <c r="R17" s="5" t="s">
        <v>6</v>
      </c>
      <c r="S17" s="5" t="s">
        <v>6</v>
      </c>
      <c r="T17" s="5" t="s">
        <v>6</v>
      </c>
      <c r="U17" s="5" t="s">
        <v>6</v>
      </c>
    </row>
    <row r="18" spans="1:21" x14ac:dyDescent="0.25">
      <c r="A18" s="4">
        <v>15</v>
      </c>
      <c r="B18" s="5" t="s">
        <v>6</v>
      </c>
      <c r="C18" s="5">
        <v>943210</v>
      </c>
      <c r="D18" s="5">
        <v>19.05</v>
      </c>
      <c r="E18" s="5">
        <v>1.4</v>
      </c>
      <c r="F18" s="5">
        <v>6</v>
      </c>
      <c r="G18" s="5">
        <v>3.6560000000000001</v>
      </c>
      <c r="H18" s="5" t="s">
        <v>6</v>
      </c>
      <c r="I18" s="5" t="s">
        <v>39</v>
      </c>
      <c r="J18" s="5" t="s">
        <v>31</v>
      </c>
      <c r="K18" s="5">
        <v>11000</v>
      </c>
      <c r="L18" s="5" t="s">
        <v>6</v>
      </c>
      <c r="M18" s="5" t="s">
        <v>6</v>
      </c>
      <c r="N18" s="5" t="s">
        <v>6</v>
      </c>
      <c r="O18" s="5" t="s">
        <v>6</v>
      </c>
      <c r="P18" s="5" t="s">
        <v>6</v>
      </c>
      <c r="Q18" s="5" t="s">
        <v>6</v>
      </c>
      <c r="R18" s="5" t="s">
        <v>6</v>
      </c>
      <c r="S18" s="5" t="s">
        <v>6</v>
      </c>
      <c r="T18" s="5" t="s">
        <v>6</v>
      </c>
      <c r="U18" s="5">
        <v>11</v>
      </c>
    </row>
    <row r="19" spans="1:21" x14ac:dyDescent="0.25">
      <c r="A19" s="4">
        <v>16</v>
      </c>
      <c r="B19" s="5" t="s">
        <v>6</v>
      </c>
      <c r="C19" s="5">
        <v>943209</v>
      </c>
      <c r="D19" s="5">
        <v>19.05</v>
      </c>
      <c r="E19" s="5">
        <v>1.6</v>
      </c>
      <c r="F19" s="5">
        <v>6</v>
      </c>
      <c r="G19" s="5">
        <v>4.0620000000000003</v>
      </c>
      <c r="H19" s="5" t="s">
        <v>40</v>
      </c>
      <c r="I19" s="5" t="s">
        <v>30</v>
      </c>
      <c r="J19" s="5" t="s">
        <v>31</v>
      </c>
      <c r="K19" s="5">
        <v>25000</v>
      </c>
      <c r="L19" s="5" t="s">
        <v>6</v>
      </c>
      <c r="M19" s="5" t="s">
        <v>6</v>
      </c>
      <c r="N19" s="5" t="s">
        <v>6</v>
      </c>
      <c r="O19" s="5" t="s">
        <v>6</v>
      </c>
      <c r="P19" s="5" t="s">
        <v>6</v>
      </c>
      <c r="Q19" s="5" t="s">
        <v>6</v>
      </c>
      <c r="R19" s="5" t="s">
        <v>6</v>
      </c>
      <c r="S19" s="5" t="s">
        <v>6</v>
      </c>
      <c r="T19" s="5">
        <v>15</v>
      </c>
      <c r="U19" s="5">
        <v>10</v>
      </c>
    </row>
    <row r="20" spans="1:21" x14ac:dyDescent="0.25">
      <c r="A20" s="4">
        <v>17</v>
      </c>
      <c r="B20" s="5" t="s">
        <v>6</v>
      </c>
      <c r="C20" s="5" t="s">
        <v>6</v>
      </c>
      <c r="D20" s="5">
        <v>19.05</v>
      </c>
      <c r="E20" s="5">
        <v>1.6</v>
      </c>
      <c r="F20" s="5">
        <v>6.2</v>
      </c>
      <c r="G20" s="5">
        <v>4.1310000000000002</v>
      </c>
      <c r="H20" s="5" t="s">
        <v>40</v>
      </c>
      <c r="I20" s="5" t="s">
        <v>30</v>
      </c>
      <c r="J20" s="5" t="s">
        <v>31</v>
      </c>
      <c r="K20" s="5">
        <v>0</v>
      </c>
      <c r="L20" s="5" t="s">
        <v>6</v>
      </c>
      <c r="M20" s="5" t="s">
        <v>6</v>
      </c>
      <c r="N20" s="5" t="s">
        <v>6</v>
      </c>
      <c r="O20" s="5" t="s">
        <v>6</v>
      </c>
      <c r="P20" s="5" t="s">
        <v>6</v>
      </c>
      <c r="Q20" s="5" t="s">
        <v>6</v>
      </c>
      <c r="R20" s="5" t="s">
        <v>6</v>
      </c>
      <c r="S20" s="5" t="s">
        <v>6</v>
      </c>
      <c r="T20" s="5" t="s">
        <v>6</v>
      </c>
      <c r="U20" s="5" t="s">
        <v>6</v>
      </c>
    </row>
    <row r="21" spans="1:21" x14ac:dyDescent="0.25">
      <c r="A21" s="4">
        <v>18</v>
      </c>
      <c r="B21" s="5" t="s">
        <v>6</v>
      </c>
      <c r="C21" s="5">
        <v>943209</v>
      </c>
      <c r="D21" s="5">
        <v>19.05</v>
      </c>
      <c r="E21" s="5">
        <v>2</v>
      </c>
      <c r="F21" s="5">
        <v>5.8</v>
      </c>
      <c r="G21" s="5">
        <v>4.8780000000000001</v>
      </c>
      <c r="H21" s="5" t="s">
        <v>41</v>
      </c>
      <c r="I21" s="5" t="s">
        <v>30</v>
      </c>
      <c r="J21" s="5" t="s">
        <v>31</v>
      </c>
      <c r="K21" s="5">
        <v>17000</v>
      </c>
      <c r="L21" s="5" t="s">
        <v>6</v>
      </c>
      <c r="M21" s="5" t="s">
        <v>6</v>
      </c>
      <c r="N21" s="5" t="s">
        <v>6</v>
      </c>
      <c r="O21" s="5">
        <v>17</v>
      </c>
      <c r="P21" s="5" t="s">
        <v>6</v>
      </c>
      <c r="Q21" s="5" t="s">
        <v>6</v>
      </c>
      <c r="R21" s="5" t="s">
        <v>6</v>
      </c>
      <c r="S21" s="5" t="s">
        <v>6</v>
      </c>
      <c r="T21" s="5" t="s">
        <v>6</v>
      </c>
      <c r="U21" s="5" t="s">
        <v>6</v>
      </c>
    </row>
    <row r="22" spans="1:21" x14ac:dyDescent="0.25">
      <c r="A22" s="4">
        <v>19</v>
      </c>
      <c r="B22" s="5" t="s">
        <v>6</v>
      </c>
      <c r="C22" s="5" t="s">
        <v>6</v>
      </c>
      <c r="D22" s="5">
        <v>19.05</v>
      </c>
      <c r="E22" s="5">
        <v>2</v>
      </c>
      <c r="F22" s="5">
        <v>5.8410000000000002</v>
      </c>
      <c r="G22" s="5">
        <v>4.9119999999999999</v>
      </c>
      <c r="H22" s="5" t="s">
        <v>41</v>
      </c>
      <c r="I22" s="5" t="s">
        <v>30</v>
      </c>
      <c r="J22" s="5" t="s">
        <v>31</v>
      </c>
      <c r="K22" s="5">
        <v>48000</v>
      </c>
      <c r="L22" s="5">
        <v>45</v>
      </c>
      <c r="M22" s="5">
        <v>3</v>
      </c>
      <c r="N22" s="5" t="s">
        <v>6</v>
      </c>
      <c r="O22" s="5" t="s">
        <v>6</v>
      </c>
      <c r="P22" s="5" t="s">
        <v>6</v>
      </c>
      <c r="Q22" s="5" t="s">
        <v>6</v>
      </c>
      <c r="R22" s="5" t="s">
        <v>6</v>
      </c>
      <c r="S22" s="5" t="s">
        <v>6</v>
      </c>
      <c r="T22" s="5" t="s">
        <v>6</v>
      </c>
      <c r="U22" s="5" t="s">
        <v>6</v>
      </c>
    </row>
    <row r="23" spans="1:21" x14ac:dyDescent="0.25">
      <c r="A23" s="4">
        <v>20</v>
      </c>
      <c r="B23" s="5" t="s">
        <v>6</v>
      </c>
      <c r="C23" s="5" t="s">
        <v>6</v>
      </c>
      <c r="D23" s="5">
        <v>19.05</v>
      </c>
      <c r="E23" s="5">
        <v>2.2999999999999998</v>
      </c>
      <c r="F23" s="5">
        <v>6</v>
      </c>
      <c r="G23" s="5">
        <v>6.6509999999999998</v>
      </c>
      <c r="H23" s="5" t="s">
        <v>42</v>
      </c>
      <c r="I23" s="5" t="s">
        <v>30</v>
      </c>
      <c r="J23" s="5" t="s">
        <v>31</v>
      </c>
      <c r="K23" s="5">
        <v>4000</v>
      </c>
      <c r="L23" s="5" t="s">
        <v>6</v>
      </c>
      <c r="M23" s="5">
        <v>4</v>
      </c>
      <c r="N23" s="5" t="s">
        <v>6</v>
      </c>
      <c r="O23" s="5" t="s">
        <v>6</v>
      </c>
      <c r="P23" s="5" t="s">
        <v>6</v>
      </c>
      <c r="Q23" s="5" t="s">
        <v>6</v>
      </c>
      <c r="R23" s="5" t="s">
        <v>6</v>
      </c>
      <c r="S23" s="5" t="s">
        <v>6</v>
      </c>
      <c r="T23" s="5" t="s">
        <v>6</v>
      </c>
      <c r="U23" s="5" t="s">
        <v>6</v>
      </c>
    </row>
    <row r="24" spans="1:21" x14ac:dyDescent="0.25">
      <c r="A24" s="4">
        <v>21</v>
      </c>
      <c r="B24" s="5" t="s">
        <v>6</v>
      </c>
      <c r="C24" s="5" t="s">
        <v>6</v>
      </c>
      <c r="D24" s="5">
        <v>19.05</v>
      </c>
      <c r="E24" s="5">
        <v>2.2999999999999998</v>
      </c>
      <c r="F24" s="5">
        <v>6.32</v>
      </c>
      <c r="G24" s="5">
        <v>6.6509999999999998</v>
      </c>
      <c r="H24" s="5" t="s">
        <v>42</v>
      </c>
      <c r="I24" s="5" t="s">
        <v>30</v>
      </c>
      <c r="J24" s="5" t="s">
        <v>31</v>
      </c>
      <c r="K24" s="5">
        <v>0</v>
      </c>
      <c r="L24" s="5" t="s">
        <v>6</v>
      </c>
      <c r="M24" s="5" t="s">
        <v>6</v>
      </c>
      <c r="N24" s="5" t="s">
        <v>6</v>
      </c>
      <c r="O24" s="5" t="s">
        <v>6</v>
      </c>
      <c r="P24" s="5" t="s">
        <v>6</v>
      </c>
      <c r="Q24" s="5" t="s">
        <v>6</v>
      </c>
      <c r="R24" s="5" t="s">
        <v>6</v>
      </c>
      <c r="S24" s="5" t="s">
        <v>6</v>
      </c>
      <c r="T24" s="5" t="s">
        <v>6</v>
      </c>
      <c r="U24" s="5" t="s">
        <v>6</v>
      </c>
    </row>
    <row r="25" spans="1:21" x14ac:dyDescent="0.25">
      <c r="A25" s="4">
        <v>22</v>
      </c>
      <c r="B25" s="5" t="s">
        <v>6</v>
      </c>
      <c r="C25" s="5" t="s">
        <v>6</v>
      </c>
      <c r="D25" s="5">
        <v>19.05</v>
      </c>
      <c r="E25" s="5">
        <v>2.2999999999999998</v>
      </c>
      <c r="F25" s="5">
        <v>7</v>
      </c>
      <c r="G25" s="5" t="s">
        <v>6</v>
      </c>
      <c r="H25" s="5" t="s">
        <v>6</v>
      </c>
      <c r="I25" s="5" t="s">
        <v>6</v>
      </c>
      <c r="J25" s="5" t="s">
        <v>6</v>
      </c>
      <c r="K25" s="5">
        <v>30000</v>
      </c>
      <c r="L25" s="5">
        <v>30</v>
      </c>
      <c r="M25" s="5" t="s">
        <v>6</v>
      </c>
      <c r="N25" s="5" t="s">
        <v>6</v>
      </c>
      <c r="O25" s="5" t="s">
        <v>6</v>
      </c>
      <c r="P25" s="5" t="s">
        <v>6</v>
      </c>
      <c r="Q25" s="5" t="s">
        <v>6</v>
      </c>
      <c r="R25" s="5" t="s">
        <v>6</v>
      </c>
      <c r="S25" s="5" t="s">
        <v>6</v>
      </c>
      <c r="T25" s="5" t="s">
        <v>6</v>
      </c>
      <c r="U25" s="5" t="s">
        <v>6</v>
      </c>
    </row>
    <row r="26" spans="1:21" x14ac:dyDescent="0.25">
      <c r="A26" s="4">
        <v>23</v>
      </c>
      <c r="B26" s="5" t="s">
        <v>6</v>
      </c>
      <c r="C26" s="5" t="s">
        <v>6</v>
      </c>
      <c r="D26" s="5">
        <v>19</v>
      </c>
      <c r="E26" s="5">
        <v>3.25</v>
      </c>
      <c r="F26" s="5">
        <v>6.2</v>
      </c>
      <c r="G26" s="5" t="s">
        <v>6</v>
      </c>
      <c r="H26" s="5" t="s">
        <v>6</v>
      </c>
      <c r="I26" s="5" t="s">
        <v>6</v>
      </c>
      <c r="J26" s="5" t="s">
        <v>6</v>
      </c>
      <c r="K26" s="5">
        <v>0</v>
      </c>
      <c r="L26" s="5" t="s">
        <v>6</v>
      </c>
      <c r="M26" s="5" t="s">
        <v>6</v>
      </c>
      <c r="N26" s="5" t="s">
        <v>6</v>
      </c>
      <c r="O26" s="5" t="s">
        <v>6</v>
      </c>
      <c r="P26" s="5" t="s">
        <v>6</v>
      </c>
      <c r="Q26" s="5" t="s">
        <v>6</v>
      </c>
      <c r="R26" s="5" t="s">
        <v>6</v>
      </c>
      <c r="S26" s="5" t="s">
        <v>6</v>
      </c>
      <c r="T26" s="5" t="s">
        <v>6</v>
      </c>
      <c r="U26" s="5" t="s">
        <v>6</v>
      </c>
    </row>
    <row r="27" spans="1:21" x14ac:dyDescent="0.25">
      <c r="A27" s="4">
        <v>24</v>
      </c>
      <c r="B27" s="5" t="s">
        <v>6</v>
      </c>
      <c r="C27" s="5">
        <v>943209</v>
      </c>
      <c r="D27" s="5">
        <v>21.4</v>
      </c>
      <c r="E27" s="5">
        <v>1.6</v>
      </c>
      <c r="F27" s="5">
        <v>6</v>
      </c>
      <c r="G27" s="5">
        <v>4.6879999999999997</v>
      </c>
      <c r="H27" s="5" t="s">
        <v>43</v>
      </c>
      <c r="I27" s="5" t="s">
        <v>30</v>
      </c>
      <c r="J27" s="5" t="s">
        <v>31</v>
      </c>
      <c r="K27" s="5">
        <v>5000</v>
      </c>
      <c r="L27" s="5">
        <v>5</v>
      </c>
      <c r="M27" s="5" t="s">
        <v>6</v>
      </c>
      <c r="N27" s="5" t="s">
        <v>6</v>
      </c>
      <c r="O27" s="5" t="s">
        <v>6</v>
      </c>
      <c r="P27" s="5" t="s">
        <v>6</v>
      </c>
      <c r="Q27" s="5" t="s">
        <v>6</v>
      </c>
      <c r="R27" s="5" t="s">
        <v>6</v>
      </c>
      <c r="S27" s="5" t="s">
        <v>6</v>
      </c>
      <c r="T27" s="5" t="s">
        <v>6</v>
      </c>
      <c r="U27" s="5" t="s">
        <v>6</v>
      </c>
    </row>
    <row r="28" spans="1:21" x14ac:dyDescent="0.25">
      <c r="A28" s="4">
        <v>25</v>
      </c>
      <c r="B28" s="5" t="s">
        <v>6</v>
      </c>
      <c r="C28" s="5">
        <v>943209</v>
      </c>
      <c r="D28" s="5">
        <v>21.4</v>
      </c>
      <c r="E28" s="5">
        <v>2</v>
      </c>
      <c r="F28" s="5">
        <v>5.66</v>
      </c>
      <c r="G28" s="5" t="s">
        <v>6</v>
      </c>
      <c r="H28" s="5" t="s">
        <v>6</v>
      </c>
      <c r="I28" s="5" t="s">
        <v>30</v>
      </c>
      <c r="J28" s="5" t="s">
        <v>31</v>
      </c>
      <c r="K28" s="5">
        <v>0</v>
      </c>
      <c r="L28" s="5" t="s">
        <v>6</v>
      </c>
      <c r="M28" s="5" t="s">
        <v>6</v>
      </c>
      <c r="N28" s="5" t="s">
        <v>6</v>
      </c>
      <c r="O28" s="5" t="s">
        <v>6</v>
      </c>
      <c r="P28" s="5" t="s">
        <v>6</v>
      </c>
      <c r="Q28" s="5" t="s">
        <v>6</v>
      </c>
      <c r="R28" s="5" t="s">
        <v>6</v>
      </c>
      <c r="S28" s="5" t="s">
        <v>6</v>
      </c>
      <c r="T28" s="5" t="s">
        <v>6</v>
      </c>
      <c r="U28" s="5" t="s">
        <v>6</v>
      </c>
    </row>
    <row r="29" spans="1:21" x14ac:dyDescent="0.25">
      <c r="A29" s="4">
        <v>26</v>
      </c>
      <c r="B29" s="5" t="s">
        <v>6</v>
      </c>
      <c r="C29" s="5" t="s">
        <v>6</v>
      </c>
      <c r="D29" s="5">
        <v>22.2</v>
      </c>
      <c r="E29" s="5">
        <v>1.2</v>
      </c>
      <c r="F29" s="5">
        <v>5.3</v>
      </c>
      <c r="G29" s="5" t="s">
        <v>6</v>
      </c>
      <c r="H29" s="5" t="s">
        <v>6</v>
      </c>
      <c r="I29" s="5" t="s">
        <v>6</v>
      </c>
      <c r="J29" s="5" t="s">
        <v>6</v>
      </c>
      <c r="K29" s="5">
        <v>9500</v>
      </c>
      <c r="L29" s="5">
        <v>8</v>
      </c>
      <c r="M29" s="5">
        <v>1.5</v>
      </c>
      <c r="N29" s="5" t="s">
        <v>6</v>
      </c>
      <c r="O29" s="5" t="s">
        <v>6</v>
      </c>
      <c r="P29" s="5" t="s">
        <v>6</v>
      </c>
      <c r="Q29" s="5" t="s">
        <v>6</v>
      </c>
      <c r="R29" s="5" t="s">
        <v>6</v>
      </c>
      <c r="S29" s="5" t="s">
        <v>6</v>
      </c>
      <c r="T29" s="5" t="s">
        <v>6</v>
      </c>
      <c r="U29" s="5" t="s">
        <v>6</v>
      </c>
    </row>
    <row r="30" spans="1:21" x14ac:dyDescent="0.25">
      <c r="A30" s="4">
        <v>27</v>
      </c>
      <c r="B30" s="5" t="s">
        <v>6</v>
      </c>
      <c r="C30" s="5">
        <v>943209</v>
      </c>
      <c r="D30" s="5">
        <v>22.2</v>
      </c>
      <c r="E30" s="5">
        <v>1.2</v>
      </c>
      <c r="F30" s="5">
        <v>5.87</v>
      </c>
      <c r="G30" s="5">
        <v>3.6480000000000001</v>
      </c>
      <c r="H30" s="5" t="s">
        <v>44</v>
      </c>
      <c r="I30" s="5" t="s">
        <v>30</v>
      </c>
      <c r="J30" s="5" t="s">
        <v>31</v>
      </c>
      <c r="K30" s="5">
        <v>10000</v>
      </c>
      <c r="L30" s="5">
        <v>10</v>
      </c>
      <c r="M30" s="5" t="s">
        <v>6</v>
      </c>
      <c r="N30" s="5" t="s">
        <v>6</v>
      </c>
      <c r="O30" s="5" t="s">
        <v>6</v>
      </c>
      <c r="P30" s="5" t="s">
        <v>6</v>
      </c>
      <c r="Q30" s="5" t="s">
        <v>6</v>
      </c>
      <c r="R30" s="5" t="s">
        <v>6</v>
      </c>
      <c r="S30" s="5" t="s">
        <v>6</v>
      </c>
      <c r="T30" s="5" t="s">
        <v>6</v>
      </c>
      <c r="U30" s="5" t="s">
        <v>6</v>
      </c>
    </row>
    <row r="31" spans="1:21" x14ac:dyDescent="0.25">
      <c r="A31" s="4">
        <v>28</v>
      </c>
      <c r="B31" s="5" t="s">
        <v>6</v>
      </c>
      <c r="C31" s="5">
        <v>943209</v>
      </c>
      <c r="D31" s="5">
        <v>22.2</v>
      </c>
      <c r="E31" s="5">
        <v>1.4</v>
      </c>
      <c r="F31" s="5">
        <v>6</v>
      </c>
      <c r="G31" s="5">
        <v>4.3090000000000002</v>
      </c>
      <c r="H31" s="5" t="s">
        <v>6</v>
      </c>
      <c r="I31" s="5" t="s">
        <v>39</v>
      </c>
      <c r="J31" s="5" t="s">
        <v>31</v>
      </c>
      <c r="K31" s="5">
        <v>6000</v>
      </c>
      <c r="L31" s="5" t="s">
        <v>6</v>
      </c>
      <c r="M31" s="5" t="s">
        <v>6</v>
      </c>
      <c r="N31" s="5" t="s">
        <v>6</v>
      </c>
      <c r="O31" s="5" t="s">
        <v>6</v>
      </c>
      <c r="P31" s="5" t="s">
        <v>6</v>
      </c>
      <c r="Q31" s="5" t="s">
        <v>6</v>
      </c>
      <c r="R31" s="5" t="s">
        <v>6</v>
      </c>
      <c r="S31" s="5" t="s">
        <v>6</v>
      </c>
      <c r="T31" s="5" t="s">
        <v>6</v>
      </c>
      <c r="U31" s="5">
        <v>6</v>
      </c>
    </row>
    <row r="32" spans="1:21" x14ac:dyDescent="0.25">
      <c r="A32" s="4">
        <v>29</v>
      </c>
      <c r="B32" s="5" t="s">
        <v>6</v>
      </c>
      <c r="C32" s="5">
        <v>943209</v>
      </c>
      <c r="D32" s="5">
        <v>22.2</v>
      </c>
      <c r="E32" s="5">
        <v>1.6</v>
      </c>
      <c r="F32" s="5">
        <v>5.27</v>
      </c>
      <c r="G32" s="5">
        <v>4.609</v>
      </c>
      <c r="H32" s="5" t="s">
        <v>45</v>
      </c>
      <c r="I32" s="5" t="s">
        <v>30</v>
      </c>
      <c r="J32" s="5" t="s">
        <v>31</v>
      </c>
      <c r="K32" s="5">
        <v>1000</v>
      </c>
      <c r="L32" s="5" t="s">
        <v>6</v>
      </c>
      <c r="M32" s="5">
        <v>1</v>
      </c>
      <c r="N32" s="5" t="s">
        <v>6</v>
      </c>
      <c r="O32" s="5" t="s">
        <v>6</v>
      </c>
      <c r="P32" s="5" t="s">
        <v>6</v>
      </c>
      <c r="Q32" s="5" t="s">
        <v>6</v>
      </c>
      <c r="R32" s="5" t="s">
        <v>6</v>
      </c>
      <c r="S32" s="5" t="s">
        <v>6</v>
      </c>
      <c r="T32" s="5" t="s">
        <v>6</v>
      </c>
      <c r="U32" s="5" t="s">
        <v>6</v>
      </c>
    </row>
    <row r="33" spans="1:21" x14ac:dyDescent="0.25">
      <c r="A33" s="4">
        <v>30</v>
      </c>
      <c r="B33" s="5" t="s">
        <v>6</v>
      </c>
      <c r="C33" s="5">
        <v>943209</v>
      </c>
      <c r="D33" s="5">
        <v>22.2</v>
      </c>
      <c r="E33" s="5">
        <v>1.6</v>
      </c>
      <c r="F33" s="5">
        <v>5.2640000000000002</v>
      </c>
      <c r="G33" s="5">
        <v>4.2839999999999998</v>
      </c>
      <c r="H33" s="5" t="s">
        <v>45</v>
      </c>
      <c r="I33" s="5" t="s">
        <v>30</v>
      </c>
      <c r="J33" s="5" t="s">
        <v>31</v>
      </c>
      <c r="K33" s="5">
        <v>55000</v>
      </c>
      <c r="L33" s="5">
        <v>30</v>
      </c>
      <c r="M33" s="5" t="s">
        <v>6</v>
      </c>
      <c r="N33" s="5">
        <v>25</v>
      </c>
      <c r="O33" s="5" t="s">
        <v>6</v>
      </c>
      <c r="P33" s="5" t="s">
        <v>6</v>
      </c>
      <c r="Q33" s="5" t="s">
        <v>6</v>
      </c>
      <c r="R33" s="5" t="s">
        <v>6</v>
      </c>
      <c r="S33" s="5" t="s">
        <v>6</v>
      </c>
      <c r="T33" s="5" t="s">
        <v>6</v>
      </c>
      <c r="U33" s="5" t="s">
        <v>6</v>
      </c>
    </row>
    <row r="34" spans="1:21" x14ac:dyDescent="0.25">
      <c r="A34" s="4">
        <v>31</v>
      </c>
      <c r="B34" s="5" t="s">
        <v>6</v>
      </c>
      <c r="C34" s="5">
        <v>943209</v>
      </c>
      <c r="D34" s="5">
        <v>22.2</v>
      </c>
      <c r="E34" s="5">
        <v>1.6</v>
      </c>
      <c r="F34" s="5">
        <v>5.6849999999999996</v>
      </c>
      <c r="G34" s="5">
        <v>4.8769999999999998</v>
      </c>
      <c r="H34" s="5" t="s">
        <v>45</v>
      </c>
      <c r="I34" s="5" t="s">
        <v>30</v>
      </c>
      <c r="J34" s="5" t="s">
        <v>31</v>
      </c>
      <c r="K34" s="5">
        <v>0</v>
      </c>
      <c r="L34" s="5" t="s">
        <v>6</v>
      </c>
      <c r="M34" s="5" t="s">
        <v>6</v>
      </c>
      <c r="N34" s="5" t="s">
        <v>6</v>
      </c>
      <c r="O34" s="5" t="s">
        <v>6</v>
      </c>
      <c r="P34" s="5" t="s">
        <v>6</v>
      </c>
      <c r="Q34" s="5" t="s">
        <v>6</v>
      </c>
      <c r="R34" s="5" t="s">
        <v>6</v>
      </c>
      <c r="S34" s="5" t="s">
        <v>6</v>
      </c>
      <c r="T34" s="5" t="s">
        <v>6</v>
      </c>
      <c r="U34" s="5" t="s">
        <v>6</v>
      </c>
    </row>
    <row r="35" spans="1:21" x14ac:dyDescent="0.25">
      <c r="A35" s="4">
        <v>32</v>
      </c>
      <c r="B35" s="5" t="s">
        <v>6</v>
      </c>
      <c r="C35" s="5">
        <v>943209</v>
      </c>
      <c r="D35" s="5">
        <v>22.2</v>
      </c>
      <c r="E35" s="5">
        <v>1.6</v>
      </c>
      <c r="F35" s="5">
        <v>5.8</v>
      </c>
      <c r="G35" s="5">
        <v>4.609</v>
      </c>
      <c r="H35" s="5" t="s">
        <v>45</v>
      </c>
      <c r="I35" s="5" t="s">
        <v>30</v>
      </c>
      <c r="J35" s="5" t="s">
        <v>31</v>
      </c>
      <c r="K35" s="5">
        <v>0</v>
      </c>
      <c r="L35" s="5" t="s">
        <v>6</v>
      </c>
      <c r="M35" s="5" t="s">
        <v>6</v>
      </c>
      <c r="N35" s="5" t="s">
        <v>6</v>
      </c>
      <c r="O35" s="5" t="s">
        <v>6</v>
      </c>
      <c r="P35" s="5" t="s">
        <v>6</v>
      </c>
      <c r="Q35" s="5" t="s">
        <v>6</v>
      </c>
      <c r="R35" s="5" t="s">
        <v>6</v>
      </c>
      <c r="S35" s="5" t="s">
        <v>6</v>
      </c>
      <c r="T35" s="5" t="s">
        <v>6</v>
      </c>
      <c r="U35" s="5" t="s">
        <v>6</v>
      </c>
    </row>
    <row r="36" spans="1:21" x14ac:dyDescent="0.25">
      <c r="A36" s="4">
        <v>33</v>
      </c>
      <c r="B36" s="5" t="s">
        <v>6</v>
      </c>
      <c r="C36" s="5">
        <v>943209</v>
      </c>
      <c r="D36" s="5">
        <v>22.2</v>
      </c>
      <c r="E36" s="5">
        <v>1.6</v>
      </c>
      <c r="F36" s="5">
        <v>5.67</v>
      </c>
      <c r="G36" s="5">
        <v>4.8769999999999998</v>
      </c>
      <c r="H36" s="5" t="s">
        <v>45</v>
      </c>
      <c r="I36" s="5" t="s">
        <v>30</v>
      </c>
      <c r="J36" s="5" t="s">
        <v>31</v>
      </c>
      <c r="K36" s="5">
        <v>50000</v>
      </c>
      <c r="L36" s="5">
        <v>50</v>
      </c>
      <c r="M36" s="5" t="s">
        <v>6</v>
      </c>
      <c r="N36" s="5" t="s">
        <v>6</v>
      </c>
      <c r="O36" s="5" t="s">
        <v>6</v>
      </c>
      <c r="P36" s="5" t="s">
        <v>6</v>
      </c>
      <c r="Q36" s="5" t="s">
        <v>6</v>
      </c>
      <c r="R36" s="5" t="s">
        <v>6</v>
      </c>
      <c r="S36" s="5" t="s">
        <v>6</v>
      </c>
      <c r="T36" s="5" t="s">
        <v>6</v>
      </c>
      <c r="U36" s="5" t="s">
        <v>6</v>
      </c>
    </row>
    <row r="37" spans="1:21" x14ac:dyDescent="0.25">
      <c r="A37" s="4">
        <v>34</v>
      </c>
      <c r="B37" s="5" t="s">
        <v>6</v>
      </c>
      <c r="C37" s="5">
        <v>943209</v>
      </c>
      <c r="D37" s="5">
        <v>22.2</v>
      </c>
      <c r="E37" s="5">
        <v>2</v>
      </c>
      <c r="F37" s="5">
        <v>5.0999999999999996</v>
      </c>
      <c r="G37" s="5">
        <v>5.0810000000000004</v>
      </c>
      <c r="H37" s="5" t="s">
        <v>46</v>
      </c>
      <c r="I37" s="5" t="s">
        <v>30</v>
      </c>
      <c r="J37" s="5" t="s">
        <v>31</v>
      </c>
      <c r="K37" s="5">
        <v>0</v>
      </c>
      <c r="L37" s="5" t="s">
        <v>6</v>
      </c>
      <c r="M37" s="5" t="s">
        <v>6</v>
      </c>
      <c r="N37" s="5" t="s">
        <v>6</v>
      </c>
      <c r="O37" s="5" t="s">
        <v>6</v>
      </c>
      <c r="P37" s="5" t="s">
        <v>6</v>
      </c>
      <c r="Q37" s="5" t="s">
        <v>6</v>
      </c>
      <c r="R37" s="5" t="s">
        <v>6</v>
      </c>
      <c r="S37" s="5" t="s">
        <v>6</v>
      </c>
      <c r="T37" s="5" t="s">
        <v>6</v>
      </c>
      <c r="U37" s="5" t="s">
        <v>6</v>
      </c>
    </row>
    <row r="38" spans="1:21" x14ac:dyDescent="0.25">
      <c r="A38" s="4">
        <v>35</v>
      </c>
      <c r="B38" s="5" t="s">
        <v>6</v>
      </c>
      <c r="C38" s="5">
        <v>943209</v>
      </c>
      <c r="D38" s="5">
        <v>22.2</v>
      </c>
      <c r="E38" s="5">
        <v>2</v>
      </c>
      <c r="F38" s="5">
        <v>5.4</v>
      </c>
      <c r="G38" s="5">
        <v>5.38</v>
      </c>
      <c r="H38" s="5" t="s">
        <v>47</v>
      </c>
      <c r="I38" s="5" t="s">
        <v>30</v>
      </c>
      <c r="J38" s="5" t="s">
        <v>48</v>
      </c>
      <c r="K38" s="5">
        <v>0</v>
      </c>
      <c r="L38" s="5" t="s">
        <v>6</v>
      </c>
      <c r="M38" s="5" t="s">
        <v>6</v>
      </c>
      <c r="N38" s="5" t="s">
        <v>6</v>
      </c>
      <c r="O38" s="5" t="s">
        <v>6</v>
      </c>
      <c r="P38" s="5" t="s">
        <v>6</v>
      </c>
      <c r="Q38" s="5" t="s">
        <v>6</v>
      </c>
      <c r="R38" s="5" t="s">
        <v>6</v>
      </c>
      <c r="S38" s="5" t="s">
        <v>6</v>
      </c>
      <c r="T38" s="5" t="s">
        <v>6</v>
      </c>
      <c r="U38" s="5" t="s">
        <v>6</v>
      </c>
    </row>
    <row r="39" spans="1:21" x14ac:dyDescent="0.25">
      <c r="A39" s="4">
        <v>36</v>
      </c>
      <c r="B39" s="5" t="s">
        <v>6</v>
      </c>
      <c r="C39" s="5" t="s">
        <v>6</v>
      </c>
      <c r="D39" s="5">
        <v>22.2</v>
      </c>
      <c r="E39" s="5">
        <v>2</v>
      </c>
      <c r="F39" s="5">
        <v>5.5</v>
      </c>
      <c r="G39" s="5" t="s">
        <v>6</v>
      </c>
      <c r="H39" s="5" t="s">
        <v>6</v>
      </c>
      <c r="I39" s="5" t="s">
        <v>6</v>
      </c>
      <c r="J39" s="5" t="s">
        <v>6</v>
      </c>
      <c r="K39" s="5">
        <v>0</v>
      </c>
      <c r="L39" s="5" t="s">
        <v>6</v>
      </c>
      <c r="M39" s="5" t="s">
        <v>6</v>
      </c>
      <c r="N39" s="5" t="s">
        <v>6</v>
      </c>
      <c r="O39" s="5" t="s">
        <v>6</v>
      </c>
      <c r="P39" s="5" t="s">
        <v>6</v>
      </c>
      <c r="Q39" s="5" t="s">
        <v>6</v>
      </c>
      <c r="R39" s="5" t="s">
        <v>6</v>
      </c>
      <c r="S39" s="5" t="s">
        <v>6</v>
      </c>
      <c r="T39" s="5" t="s">
        <v>6</v>
      </c>
      <c r="U39" s="5" t="s">
        <v>6</v>
      </c>
    </row>
    <row r="40" spans="1:21" x14ac:dyDescent="0.25">
      <c r="A40" s="4">
        <v>37</v>
      </c>
      <c r="B40" s="5" t="s">
        <v>6</v>
      </c>
      <c r="C40" s="5" t="s">
        <v>6</v>
      </c>
      <c r="D40" s="5">
        <v>22.2</v>
      </c>
      <c r="E40" s="5">
        <v>2</v>
      </c>
      <c r="F40" s="5">
        <v>5.65</v>
      </c>
      <c r="G40" s="5" t="s">
        <v>6</v>
      </c>
      <c r="H40" s="5" t="s">
        <v>6</v>
      </c>
      <c r="I40" s="5" t="s">
        <v>30</v>
      </c>
      <c r="J40" s="5" t="s">
        <v>31</v>
      </c>
      <c r="K40" s="5">
        <v>0</v>
      </c>
      <c r="L40" s="5" t="s">
        <v>6</v>
      </c>
      <c r="M40" s="5" t="s">
        <v>6</v>
      </c>
      <c r="N40" s="5" t="s">
        <v>6</v>
      </c>
      <c r="O40" s="5" t="s">
        <v>6</v>
      </c>
      <c r="P40" s="5" t="s">
        <v>6</v>
      </c>
      <c r="Q40" s="5" t="s">
        <v>6</v>
      </c>
      <c r="R40" s="5" t="s">
        <v>6</v>
      </c>
      <c r="S40" s="5" t="s">
        <v>6</v>
      </c>
      <c r="T40" s="5" t="s">
        <v>6</v>
      </c>
      <c r="U40" s="5" t="s">
        <v>6</v>
      </c>
    </row>
    <row r="41" spans="1:21" x14ac:dyDescent="0.25">
      <c r="A41" s="4">
        <v>38</v>
      </c>
      <c r="B41" s="5" t="s">
        <v>6</v>
      </c>
      <c r="C41" s="5">
        <v>943209</v>
      </c>
      <c r="D41" s="5">
        <v>22.2</v>
      </c>
      <c r="E41" s="5">
        <v>2</v>
      </c>
      <c r="F41" s="5">
        <v>5.9509999999999996</v>
      </c>
      <c r="G41" s="5">
        <v>5.9279999999999999</v>
      </c>
      <c r="H41" s="5" t="s">
        <v>46</v>
      </c>
      <c r="I41" s="5" t="s">
        <v>30</v>
      </c>
      <c r="J41" s="5" t="s">
        <v>31</v>
      </c>
      <c r="K41" s="5">
        <v>159000</v>
      </c>
      <c r="L41" s="5">
        <v>90</v>
      </c>
      <c r="M41" s="5" t="s">
        <v>6</v>
      </c>
      <c r="N41" s="5" t="s">
        <v>6</v>
      </c>
      <c r="O41" s="5" t="s">
        <v>6</v>
      </c>
      <c r="P41" s="5">
        <v>60</v>
      </c>
      <c r="Q41" s="5" t="s">
        <v>6</v>
      </c>
      <c r="R41" s="5" t="s">
        <v>6</v>
      </c>
      <c r="S41" s="5" t="s">
        <v>6</v>
      </c>
      <c r="T41" s="5">
        <v>9</v>
      </c>
      <c r="U41" s="5" t="s">
        <v>6</v>
      </c>
    </row>
    <row r="42" spans="1:21" x14ac:dyDescent="0.25">
      <c r="A42" s="4">
        <v>39</v>
      </c>
      <c r="B42" s="5" t="s">
        <v>6</v>
      </c>
      <c r="C42" s="5">
        <v>943209</v>
      </c>
      <c r="D42" s="5">
        <v>22.2</v>
      </c>
      <c r="E42" s="5">
        <v>2</v>
      </c>
      <c r="F42" s="5">
        <v>6</v>
      </c>
      <c r="G42" s="5">
        <v>5.9779999999999998</v>
      </c>
      <c r="H42" s="5" t="s">
        <v>49</v>
      </c>
      <c r="I42" s="5" t="s">
        <v>39</v>
      </c>
      <c r="J42" s="5" t="s">
        <v>48</v>
      </c>
      <c r="K42" s="5">
        <v>60000</v>
      </c>
      <c r="L42" s="5">
        <v>60</v>
      </c>
      <c r="M42" s="5" t="s">
        <v>6</v>
      </c>
      <c r="N42" s="5" t="s">
        <v>6</v>
      </c>
      <c r="O42" s="5" t="s">
        <v>6</v>
      </c>
      <c r="P42" s="5" t="s">
        <v>6</v>
      </c>
      <c r="Q42" s="5" t="s">
        <v>6</v>
      </c>
      <c r="R42" s="5" t="s">
        <v>6</v>
      </c>
      <c r="S42" s="5" t="s">
        <v>6</v>
      </c>
      <c r="T42" s="5" t="s">
        <v>6</v>
      </c>
      <c r="U42" s="5" t="s">
        <v>6</v>
      </c>
    </row>
    <row r="43" spans="1:21" x14ac:dyDescent="0.25">
      <c r="A43" s="4">
        <v>40</v>
      </c>
      <c r="B43" s="5" t="s">
        <v>6</v>
      </c>
      <c r="C43" s="5" t="s">
        <v>6</v>
      </c>
      <c r="D43" s="5">
        <v>22.2</v>
      </c>
      <c r="E43" s="5">
        <v>2.2999999999999998</v>
      </c>
      <c r="F43" s="5">
        <v>5.76</v>
      </c>
      <c r="G43" s="5">
        <v>6.5019999999999998</v>
      </c>
      <c r="H43" s="5" t="s">
        <v>50</v>
      </c>
      <c r="I43" s="5" t="s">
        <v>39</v>
      </c>
      <c r="J43" s="5" t="s">
        <v>31</v>
      </c>
      <c r="K43" s="5">
        <v>0</v>
      </c>
      <c r="L43" s="5" t="s">
        <v>6</v>
      </c>
      <c r="M43" s="5" t="s">
        <v>6</v>
      </c>
      <c r="N43" s="5" t="s">
        <v>6</v>
      </c>
      <c r="O43" s="5" t="s">
        <v>6</v>
      </c>
      <c r="P43" s="5" t="s">
        <v>6</v>
      </c>
      <c r="Q43" s="5" t="s">
        <v>6</v>
      </c>
      <c r="R43" s="5" t="s">
        <v>6</v>
      </c>
      <c r="S43" s="5" t="s">
        <v>6</v>
      </c>
      <c r="T43" s="5" t="s">
        <v>6</v>
      </c>
      <c r="U43" s="5" t="s">
        <v>6</v>
      </c>
    </row>
    <row r="44" spans="1:21" x14ac:dyDescent="0.25">
      <c r="A44" s="4">
        <v>41</v>
      </c>
      <c r="B44" s="5" t="s">
        <v>6</v>
      </c>
      <c r="C44" s="5" t="s">
        <v>6</v>
      </c>
      <c r="D44" s="5">
        <v>22.2</v>
      </c>
      <c r="E44" s="5">
        <v>2.2999999999999998</v>
      </c>
      <c r="F44" s="5">
        <v>5.98</v>
      </c>
      <c r="G44" s="5">
        <v>6.75</v>
      </c>
      <c r="H44" s="5" t="s">
        <v>50</v>
      </c>
      <c r="I44" s="5" t="s">
        <v>30</v>
      </c>
      <c r="J44" s="5" t="s">
        <v>31</v>
      </c>
      <c r="K44" s="5">
        <v>0</v>
      </c>
      <c r="L44" s="5" t="s">
        <v>6</v>
      </c>
      <c r="M44" s="5" t="s">
        <v>6</v>
      </c>
      <c r="N44" s="5" t="s">
        <v>6</v>
      </c>
      <c r="O44" s="5" t="s">
        <v>6</v>
      </c>
      <c r="P44" s="5" t="s">
        <v>6</v>
      </c>
      <c r="Q44" s="5" t="s">
        <v>6</v>
      </c>
      <c r="R44" s="5" t="s">
        <v>6</v>
      </c>
      <c r="S44" s="5" t="s">
        <v>6</v>
      </c>
      <c r="T44" s="5" t="s">
        <v>6</v>
      </c>
      <c r="U44" s="5" t="s">
        <v>6</v>
      </c>
    </row>
    <row r="45" spans="1:21" x14ac:dyDescent="0.25">
      <c r="A45" s="4">
        <v>42</v>
      </c>
      <c r="B45" s="5" t="s">
        <v>6</v>
      </c>
      <c r="C45" s="5">
        <v>943210</v>
      </c>
      <c r="D45" s="5">
        <v>25.4</v>
      </c>
      <c r="E45" s="5">
        <v>1.4</v>
      </c>
      <c r="F45" s="5">
        <v>5.5309999999999997</v>
      </c>
      <c r="G45" s="5">
        <v>4.5830000000000002</v>
      </c>
      <c r="H45" s="5" t="s">
        <v>6</v>
      </c>
      <c r="I45" s="5" t="s">
        <v>39</v>
      </c>
      <c r="J45" s="5" t="s">
        <v>48</v>
      </c>
      <c r="K45" s="5">
        <v>0</v>
      </c>
      <c r="L45" s="5" t="s">
        <v>6</v>
      </c>
      <c r="M45" s="5" t="s">
        <v>6</v>
      </c>
      <c r="N45" s="5" t="s">
        <v>6</v>
      </c>
      <c r="O45" s="5" t="s">
        <v>6</v>
      </c>
      <c r="P45" s="5" t="s">
        <v>6</v>
      </c>
      <c r="Q45" s="5" t="s">
        <v>6</v>
      </c>
      <c r="R45" s="5" t="s">
        <v>6</v>
      </c>
      <c r="S45" s="5" t="s">
        <v>6</v>
      </c>
      <c r="T45" s="5" t="s">
        <v>6</v>
      </c>
      <c r="U45" s="5" t="s">
        <v>6</v>
      </c>
    </row>
    <row r="46" spans="1:21" x14ac:dyDescent="0.25">
      <c r="A46" s="4">
        <v>43</v>
      </c>
      <c r="B46" s="5" t="s">
        <v>6</v>
      </c>
      <c r="C46" s="5">
        <v>943210</v>
      </c>
      <c r="D46" s="5">
        <v>25.4</v>
      </c>
      <c r="E46" s="5">
        <v>1.4</v>
      </c>
      <c r="F46" s="5">
        <v>6.06</v>
      </c>
      <c r="G46" s="5" t="s">
        <v>6</v>
      </c>
      <c r="H46" s="5" t="s">
        <v>6</v>
      </c>
      <c r="I46" s="5" t="s">
        <v>30</v>
      </c>
      <c r="J46" s="5" t="s">
        <v>48</v>
      </c>
      <c r="K46" s="5">
        <v>23000</v>
      </c>
      <c r="L46" s="5" t="s">
        <v>6</v>
      </c>
      <c r="M46" s="5" t="s">
        <v>6</v>
      </c>
      <c r="N46" s="5" t="s">
        <v>6</v>
      </c>
      <c r="O46" s="5" t="s">
        <v>6</v>
      </c>
      <c r="P46" s="5" t="s">
        <v>6</v>
      </c>
      <c r="Q46" s="5" t="s">
        <v>6</v>
      </c>
      <c r="R46" s="5" t="s">
        <v>6</v>
      </c>
      <c r="S46" s="5" t="s">
        <v>6</v>
      </c>
      <c r="T46" s="5" t="s">
        <v>6</v>
      </c>
      <c r="U46" s="5">
        <v>23</v>
      </c>
    </row>
    <row r="47" spans="1:21" x14ac:dyDescent="0.25">
      <c r="A47" s="4">
        <v>44</v>
      </c>
      <c r="B47" s="5" t="s">
        <v>6</v>
      </c>
      <c r="C47" s="5" t="s">
        <v>6</v>
      </c>
      <c r="D47" s="5">
        <v>25.4</v>
      </c>
      <c r="E47" s="5">
        <v>1.6</v>
      </c>
      <c r="F47" s="5">
        <v>5.84</v>
      </c>
      <c r="G47" s="5" t="s">
        <v>6</v>
      </c>
      <c r="H47" s="5" t="s">
        <v>51</v>
      </c>
      <c r="I47" s="5" t="s">
        <v>30</v>
      </c>
      <c r="J47" s="5" t="s">
        <v>31</v>
      </c>
      <c r="K47" s="5">
        <v>31000</v>
      </c>
      <c r="L47" s="5">
        <v>31</v>
      </c>
      <c r="M47" s="5" t="s">
        <v>6</v>
      </c>
      <c r="N47" s="5" t="s">
        <v>6</v>
      </c>
      <c r="O47" s="5" t="s">
        <v>6</v>
      </c>
      <c r="P47" s="5" t="s">
        <v>6</v>
      </c>
      <c r="Q47" s="5" t="s">
        <v>6</v>
      </c>
      <c r="R47" s="5" t="s">
        <v>6</v>
      </c>
      <c r="S47" s="5" t="s">
        <v>6</v>
      </c>
      <c r="T47" s="5" t="s">
        <v>6</v>
      </c>
      <c r="U47" s="5" t="s">
        <v>6</v>
      </c>
    </row>
    <row r="48" spans="1:21" x14ac:dyDescent="0.25">
      <c r="A48" s="4">
        <v>45</v>
      </c>
      <c r="B48" s="5" t="s">
        <v>6</v>
      </c>
      <c r="C48" s="5" t="s">
        <v>6</v>
      </c>
      <c r="D48" s="5">
        <v>25.4</v>
      </c>
      <c r="E48" s="5">
        <v>1.6</v>
      </c>
      <c r="F48" s="5">
        <v>5.27</v>
      </c>
      <c r="G48" s="5" t="s">
        <v>6</v>
      </c>
      <c r="H48" s="5" t="s">
        <v>6</v>
      </c>
      <c r="I48" s="5" t="s">
        <v>6</v>
      </c>
      <c r="J48" s="5" t="s">
        <v>6</v>
      </c>
      <c r="K48" s="5">
        <v>0</v>
      </c>
      <c r="L48" s="5" t="s">
        <v>6</v>
      </c>
      <c r="M48" s="5" t="s">
        <v>6</v>
      </c>
      <c r="N48" s="5" t="s">
        <v>6</v>
      </c>
      <c r="O48" s="5" t="s">
        <v>6</v>
      </c>
      <c r="P48" s="5" t="s">
        <v>6</v>
      </c>
      <c r="Q48" s="5" t="s">
        <v>6</v>
      </c>
      <c r="R48" s="5" t="s">
        <v>6</v>
      </c>
      <c r="S48" s="5" t="s">
        <v>6</v>
      </c>
      <c r="T48" s="5" t="s">
        <v>6</v>
      </c>
      <c r="U48" s="5" t="s">
        <v>6</v>
      </c>
    </row>
    <row r="49" spans="1:21" x14ac:dyDescent="0.25">
      <c r="A49" s="4">
        <v>46</v>
      </c>
      <c r="B49" s="5" t="s">
        <v>6</v>
      </c>
      <c r="C49" s="5">
        <v>943209</v>
      </c>
      <c r="D49" s="5">
        <v>25.4</v>
      </c>
      <c r="E49" s="5">
        <v>1.6</v>
      </c>
      <c r="F49" s="5">
        <v>6</v>
      </c>
      <c r="G49" s="5">
        <v>5.6349999999999998</v>
      </c>
      <c r="H49" s="5" t="s">
        <v>51</v>
      </c>
      <c r="I49" s="5" t="s">
        <v>30</v>
      </c>
      <c r="J49" s="5" t="s">
        <v>31</v>
      </c>
      <c r="K49" s="5">
        <v>10000</v>
      </c>
      <c r="L49" s="5">
        <v>10</v>
      </c>
      <c r="M49" s="5" t="s">
        <v>6</v>
      </c>
      <c r="N49" s="5" t="s">
        <v>6</v>
      </c>
      <c r="O49" s="5" t="s">
        <v>6</v>
      </c>
      <c r="P49" s="5" t="s">
        <v>6</v>
      </c>
      <c r="Q49" s="5" t="s">
        <v>6</v>
      </c>
      <c r="R49" s="5" t="s">
        <v>6</v>
      </c>
      <c r="S49" s="5" t="s">
        <v>6</v>
      </c>
      <c r="T49" s="5" t="s">
        <v>6</v>
      </c>
      <c r="U49" s="5" t="s">
        <v>6</v>
      </c>
    </row>
    <row r="50" spans="1:21" x14ac:dyDescent="0.25">
      <c r="A50" s="4">
        <v>47</v>
      </c>
      <c r="B50" s="5" t="s">
        <v>6</v>
      </c>
      <c r="C50" s="5">
        <v>943209</v>
      </c>
      <c r="D50" s="5">
        <v>25.4</v>
      </c>
      <c r="E50" s="5">
        <v>2</v>
      </c>
      <c r="F50" s="5">
        <v>5.84</v>
      </c>
      <c r="G50" s="5">
        <v>6.74</v>
      </c>
      <c r="H50" s="5" t="s">
        <v>52</v>
      </c>
      <c r="I50" s="5" t="s">
        <v>30</v>
      </c>
      <c r="J50" s="5" t="s">
        <v>31</v>
      </c>
      <c r="K50" s="5">
        <v>32000</v>
      </c>
      <c r="L50" s="5">
        <v>10</v>
      </c>
      <c r="M50" s="5" t="s">
        <v>6</v>
      </c>
      <c r="N50" s="5" t="s">
        <v>6</v>
      </c>
      <c r="O50" s="5" t="s">
        <v>6</v>
      </c>
      <c r="P50" s="5" t="s">
        <v>6</v>
      </c>
      <c r="Q50" s="5" t="s">
        <v>6</v>
      </c>
      <c r="R50" s="5" t="s">
        <v>6</v>
      </c>
      <c r="S50" s="5" t="s">
        <v>6</v>
      </c>
      <c r="T50" s="5">
        <v>22</v>
      </c>
      <c r="U50" s="5" t="s">
        <v>6</v>
      </c>
    </row>
    <row r="51" spans="1:21" x14ac:dyDescent="0.25">
      <c r="A51" s="4">
        <v>48</v>
      </c>
      <c r="B51" s="5" t="s">
        <v>6</v>
      </c>
      <c r="C51" s="5">
        <v>943209</v>
      </c>
      <c r="D51" s="5">
        <v>25.4</v>
      </c>
      <c r="E51" s="5">
        <v>2</v>
      </c>
      <c r="F51" s="5">
        <v>6</v>
      </c>
      <c r="G51" s="5" t="s">
        <v>6</v>
      </c>
      <c r="H51" s="5" t="s">
        <v>6</v>
      </c>
      <c r="I51" s="5" t="s">
        <v>30</v>
      </c>
      <c r="J51" s="5" t="s">
        <v>31</v>
      </c>
      <c r="K51" s="5">
        <v>0</v>
      </c>
      <c r="L51" s="5" t="s">
        <v>6</v>
      </c>
      <c r="M51" s="5" t="s">
        <v>6</v>
      </c>
      <c r="N51" s="5" t="s">
        <v>6</v>
      </c>
      <c r="O51" s="5" t="s">
        <v>6</v>
      </c>
      <c r="P51" s="5" t="s">
        <v>6</v>
      </c>
      <c r="Q51" s="5" t="s">
        <v>6</v>
      </c>
      <c r="R51" s="5" t="s">
        <v>6</v>
      </c>
      <c r="S51" s="5" t="s">
        <v>6</v>
      </c>
      <c r="T51" s="5" t="s">
        <v>6</v>
      </c>
      <c r="U51" s="5" t="s">
        <v>6</v>
      </c>
    </row>
    <row r="52" spans="1:21" x14ac:dyDescent="0.25">
      <c r="A52" s="4">
        <v>49</v>
      </c>
      <c r="B52" s="5" t="s">
        <v>6</v>
      </c>
      <c r="C52" s="5">
        <v>943209</v>
      </c>
      <c r="D52" s="5">
        <v>25.4</v>
      </c>
      <c r="E52" s="5">
        <v>2</v>
      </c>
      <c r="F52" s="5">
        <v>6.05</v>
      </c>
      <c r="G52" s="5">
        <v>6.9829999999999997</v>
      </c>
      <c r="H52" s="5" t="s">
        <v>52</v>
      </c>
      <c r="I52" s="5" t="s">
        <v>30</v>
      </c>
      <c r="J52" s="5" t="s">
        <v>31</v>
      </c>
      <c r="K52" s="5">
        <v>0</v>
      </c>
      <c r="L52" s="5" t="s">
        <v>6</v>
      </c>
      <c r="M52" s="5" t="s">
        <v>6</v>
      </c>
      <c r="N52" s="5" t="s">
        <v>6</v>
      </c>
      <c r="O52" s="5" t="s">
        <v>6</v>
      </c>
      <c r="P52" s="5" t="s">
        <v>6</v>
      </c>
      <c r="Q52" s="5" t="s">
        <v>6</v>
      </c>
      <c r="R52" s="5" t="s">
        <v>6</v>
      </c>
      <c r="S52" s="5" t="s">
        <v>6</v>
      </c>
      <c r="T52" s="5" t="s">
        <v>6</v>
      </c>
      <c r="U52" s="5" t="s">
        <v>6</v>
      </c>
    </row>
    <row r="53" spans="1:21" x14ac:dyDescent="0.25">
      <c r="A53" s="4">
        <v>50</v>
      </c>
      <c r="B53" s="5" t="s">
        <v>6</v>
      </c>
      <c r="C53" s="5">
        <v>943209</v>
      </c>
      <c r="D53" s="5">
        <v>25.4</v>
      </c>
      <c r="E53" s="5">
        <v>2.5</v>
      </c>
      <c r="F53" s="5">
        <v>5.53</v>
      </c>
      <c r="G53" s="5">
        <v>7.8079999999999998</v>
      </c>
      <c r="H53" s="5" t="s">
        <v>53</v>
      </c>
      <c r="I53" s="5" t="s">
        <v>30</v>
      </c>
      <c r="J53" s="5" t="s">
        <v>48</v>
      </c>
      <c r="K53" s="5">
        <v>56000</v>
      </c>
      <c r="L53" s="5">
        <v>56</v>
      </c>
      <c r="M53" s="5" t="s">
        <v>6</v>
      </c>
      <c r="N53" s="5" t="s">
        <v>6</v>
      </c>
      <c r="O53" s="5" t="s">
        <v>6</v>
      </c>
      <c r="P53" s="5" t="s">
        <v>6</v>
      </c>
      <c r="Q53" s="5" t="s">
        <v>6</v>
      </c>
      <c r="R53" s="5" t="s">
        <v>6</v>
      </c>
      <c r="S53" s="5" t="s">
        <v>6</v>
      </c>
      <c r="T53" s="5" t="s">
        <v>6</v>
      </c>
      <c r="U53" s="5" t="s">
        <v>6</v>
      </c>
    </row>
    <row r="54" spans="1:21" x14ac:dyDescent="0.25">
      <c r="A54" s="4">
        <v>51</v>
      </c>
      <c r="B54" s="5" t="s">
        <v>6</v>
      </c>
      <c r="C54" s="5" t="s">
        <v>6</v>
      </c>
      <c r="D54" s="5">
        <v>25.4</v>
      </c>
      <c r="E54" s="5">
        <v>2.5</v>
      </c>
      <c r="F54" s="5">
        <v>5.95</v>
      </c>
      <c r="G54" s="5">
        <v>8.33</v>
      </c>
      <c r="H54" s="5" t="s">
        <v>54</v>
      </c>
      <c r="I54" s="5" t="s">
        <v>30</v>
      </c>
      <c r="J54" s="5" t="s">
        <v>48</v>
      </c>
      <c r="K54" s="5">
        <v>0</v>
      </c>
      <c r="L54" s="5" t="s">
        <v>6</v>
      </c>
      <c r="M54" s="5" t="s">
        <v>6</v>
      </c>
      <c r="N54" s="5" t="s">
        <v>6</v>
      </c>
      <c r="O54" s="5" t="s">
        <v>6</v>
      </c>
      <c r="P54" s="5" t="s">
        <v>6</v>
      </c>
      <c r="Q54" s="5" t="s">
        <v>6</v>
      </c>
      <c r="R54" s="5" t="s">
        <v>6</v>
      </c>
      <c r="S54" s="5" t="s">
        <v>6</v>
      </c>
      <c r="T54" s="5" t="s">
        <v>6</v>
      </c>
      <c r="U54" s="5" t="s">
        <v>6</v>
      </c>
    </row>
    <row r="55" spans="1:21" x14ac:dyDescent="0.25">
      <c r="A55" s="4">
        <v>52</v>
      </c>
      <c r="B55" s="5" t="s">
        <v>6</v>
      </c>
      <c r="C55" s="5" t="s">
        <v>6</v>
      </c>
      <c r="D55" s="5">
        <v>25.4</v>
      </c>
      <c r="E55" s="5">
        <v>2.6</v>
      </c>
      <c r="F55" s="5">
        <v>3.5</v>
      </c>
      <c r="G55" s="5">
        <v>5.117</v>
      </c>
      <c r="H55" s="5" t="s">
        <v>55</v>
      </c>
      <c r="I55" s="5" t="s">
        <v>56</v>
      </c>
      <c r="J55" s="5" t="s">
        <v>48</v>
      </c>
      <c r="K55" s="5">
        <v>0</v>
      </c>
      <c r="L55" s="5" t="s">
        <v>6</v>
      </c>
      <c r="M55" s="5" t="s">
        <v>6</v>
      </c>
      <c r="N55" s="5" t="s">
        <v>6</v>
      </c>
      <c r="O55" s="5" t="s">
        <v>6</v>
      </c>
      <c r="P55" s="5" t="s">
        <v>6</v>
      </c>
      <c r="Q55" s="5" t="s">
        <v>6</v>
      </c>
      <c r="R55" s="5" t="s">
        <v>6</v>
      </c>
      <c r="S55" s="5" t="s">
        <v>6</v>
      </c>
      <c r="T55" s="5" t="s">
        <v>6</v>
      </c>
      <c r="U55" s="5" t="s">
        <v>6</v>
      </c>
    </row>
    <row r="56" spans="1:21" x14ac:dyDescent="0.25">
      <c r="A56" s="4">
        <v>53</v>
      </c>
      <c r="B56" s="5" t="s">
        <v>6</v>
      </c>
      <c r="C56" s="5" t="s">
        <v>6</v>
      </c>
      <c r="D56" s="5">
        <v>25.4</v>
      </c>
      <c r="E56" s="5">
        <v>2.6</v>
      </c>
      <c r="F56" s="5">
        <v>6</v>
      </c>
      <c r="G56" s="5">
        <v>8.7720000000000002</v>
      </c>
      <c r="H56" s="5" t="s">
        <v>55</v>
      </c>
      <c r="I56" s="5" t="s">
        <v>56</v>
      </c>
      <c r="J56" s="5" t="s">
        <v>48</v>
      </c>
      <c r="K56" s="5">
        <v>0</v>
      </c>
      <c r="L56" s="5" t="s">
        <v>6</v>
      </c>
      <c r="M56" s="5" t="s">
        <v>6</v>
      </c>
      <c r="N56" s="5" t="s">
        <v>6</v>
      </c>
      <c r="O56" s="5" t="s">
        <v>6</v>
      </c>
      <c r="P56" s="5" t="s">
        <v>6</v>
      </c>
      <c r="Q56" s="5" t="s">
        <v>6</v>
      </c>
      <c r="R56" s="5" t="s">
        <v>6</v>
      </c>
      <c r="S56" s="5" t="s">
        <v>6</v>
      </c>
      <c r="T56" s="5" t="s">
        <v>6</v>
      </c>
      <c r="U56" s="5" t="s">
        <v>6</v>
      </c>
    </row>
    <row r="57" spans="1:21" x14ac:dyDescent="0.25">
      <c r="A57" s="4">
        <v>54</v>
      </c>
      <c r="B57" s="5" t="s">
        <v>6</v>
      </c>
      <c r="C57" s="5" t="s">
        <v>6</v>
      </c>
      <c r="D57" s="5">
        <v>25.4</v>
      </c>
      <c r="E57" s="5">
        <v>4</v>
      </c>
      <c r="F57" s="5">
        <v>4.4000000000000004</v>
      </c>
      <c r="G57" s="5">
        <v>9.2889999999999997</v>
      </c>
      <c r="H57" s="5" t="s">
        <v>6</v>
      </c>
      <c r="I57" s="5" t="s">
        <v>56</v>
      </c>
      <c r="J57" s="5" t="s">
        <v>48</v>
      </c>
      <c r="K57" s="5">
        <v>0</v>
      </c>
      <c r="L57" s="5" t="s">
        <v>6</v>
      </c>
      <c r="M57" s="5" t="s">
        <v>6</v>
      </c>
      <c r="N57" s="5" t="s">
        <v>6</v>
      </c>
      <c r="O57" s="5" t="s">
        <v>6</v>
      </c>
      <c r="P57" s="5" t="s">
        <v>6</v>
      </c>
      <c r="Q57" s="5" t="s">
        <v>6</v>
      </c>
      <c r="R57" s="5" t="s">
        <v>6</v>
      </c>
      <c r="S57" s="5" t="s">
        <v>6</v>
      </c>
      <c r="T57" s="5" t="s">
        <v>6</v>
      </c>
      <c r="U57" s="5" t="s">
        <v>6</v>
      </c>
    </row>
    <row r="58" spans="1:21" x14ac:dyDescent="0.25">
      <c r="A58" s="4">
        <v>55</v>
      </c>
      <c r="B58" s="5" t="s">
        <v>6</v>
      </c>
      <c r="C58" s="5">
        <v>943209</v>
      </c>
      <c r="D58" s="5">
        <v>28.58</v>
      </c>
      <c r="E58" s="5">
        <v>1.2</v>
      </c>
      <c r="F58" s="5">
        <v>6</v>
      </c>
      <c r="G58" s="5">
        <v>4.8620000000000001</v>
      </c>
      <c r="H58" s="5" t="s">
        <v>57</v>
      </c>
      <c r="I58" s="5" t="s">
        <v>30</v>
      </c>
      <c r="J58" s="5" t="s">
        <v>48</v>
      </c>
      <c r="K58" s="5">
        <v>0</v>
      </c>
      <c r="L58" s="5" t="s">
        <v>6</v>
      </c>
      <c r="M58" s="5" t="s">
        <v>6</v>
      </c>
      <c r="N58" s="5" t="s">
        <v>6</v>
      </c>
      <c r="O58" s="5" t="s">
        <v>6</v>
      </c>
      <c r="P58" s="5" t="s">
        <v>6</v>
      </c>
      <c r="Q58" s="5" t="s">
        <v>6</v>
      </c>
      <c r="R58" s="5" t="s">
        <v>6</v>
      </c>
      <c r="S58" s="5" t="s">
        <v>6</v>
      </c>
      <c r="T58" s="5" t="s">
        <v>6</v>
      </c>
      <c r="U58" s="5" t="s">
        <v>6</v>
      </c>
    </row>
    <row r="59" spans="1:21" x14ac:dyDescent="0.25">
      <c r="A59" s="4">
        <v>56</v>
      </c>
      <c r="B59" s="5" t="s">
        <v>6</v>
      </c>
      <c r="C59" s="5" t="s">
        <v>6</v>
      </c>
      <c r="D59" s="5">
        <v>28.58</v>
      </c>
      <c r="E59" s="5">
        <v>2.6</v>
      </c>
      <c r="F59" s="5">
        <v>4.5</v>
      </c>
      <c r="G59" s="5">
        <v>7.4960000000000004</v>
      </c>
      <c r="H59" s="5" t="s">
        <v>58</v>
      </c>
      <c r="I59" s="5" t="s">
        <v>56</v>
      </c>
      <c r="J59" s="5" t="s">
        <v>48</v>
      </c>
      <c r="K59" s="5">
        <v>8000</v>
      </c>
      <c r="L59" s="5">
        <v>3</v>
      </c>
      <c r="M59" s="5" t="s">
        <v>6</v>
      </c>
      <c r="N59" s="5" t="s">
        <v>6</v>
      </c>
      <c r="O59" s="5" t="s">
        <v>6</v>
      </c>
      <c r="P59" s="5">
        <v>5</v>
      </c>
      <c r="Q59" s="5">
        <v>0</v>
      </c>
      <c r="R59" s="5" t="s">
        <v>6</v>
      </c>
      <c r="S59" s="5" t="s">
        <v>6</v>
      </c>
      <c r="T59" s="5" t="s">
        <v>6</v>
      </c>
      <c r="U59" s="5" t="s">
        <v>6</v>
      </c>
    </row>
    <row r="60" spans="1:21" x14ac:dyDescent="0.25">
      <c r="A60" s="4">
        <v>57</v>
      </c>
      <c r="B60" s="5" t="s">
        <v>6</v>
      </c>
      <c r="C60" s="5" t="s">
        <v>6</v>
      </c>
      <c r="D60" s="5">
        <v>28.58</v>
      </c>
      <c r="E60" s="5">
        <v>2.6</v>
      </c>
      <c r="F60" s="5">
        <v>6.07</v>
      </c>
      <c r="G60" s="5">
        <v>10.112</v>
      </c>
      <c r="H60" s="5" t="s">
        <v>58</v>
      </c>
      <c r="I60" s="5" t="s">
        <v>56</v>
      </c>
      <c r="J60" s="5" t="s">
        <v>48</v>
      </c>
      <c r="K60" s="5">
        <v>0</v>
      </c>
      <c r="L60" s="5" t="s">
        <v>6</v>
      </c>
      <c r="M60" s="5" t="s">
        <v>6</v>
      </c>
      <c r="N60" s="5" t="s">
        <v>6</v>
      </c>
      <c r="O60" s="5" t="s">
        <v>6</v>
      </c>
      <c r="P60" s="5" t="s">
        <v>6</v>
      </c>
      <c r="Q60" s="5" t="s">
        <v>6</v>
      </c>
      <c r="R60" s="5" t="s">
        <v>6</v>
      </c>
      <c r="S60" s="5" t="s">
        <v>6</v>
      </c>
      <c r="T60" s="5" t="s">
        <v>6</v>
      </c>
      <c r="U60" s="5" t="s">
        <v>6</v>
      </c>
    </row>
    <row r="61" spans="1:21" x14ac:dyDescent="0.25">
      <c r="A61" s="4">
        <v>58</v>
      </c>
      <c r="B61" s="5" t="s">
        <v>6</v>
      </c>
      <c r="C61" s="5">
        <v>943210</v>
      </c>
      <c r="D61" s="5">
        <v>28.58</v>
      </c>
      <c r="E61" s="5">
        <v>3.2</v>
      </c>
      <c r="F61" s="5">
        <v>6.06</v>
      </c>
      <c r="G61" s="5">
        <v>12.016999999999999</v>
      </c>
      <c r="H61" s="5" t="s">
        <v>6</v>
      </c>
      <c r="I61" s="5" t="s">
        <v>30</v>
      </c>
      <c r="J61" s="5" t="s">
        <v>48</v>
      </c>
      <c r="K61" s="5">
        <v>0</v>
      </c>
      <c r="L61" s="5" t="s">
        <v>6</v>
      </c>
      <c r="M61" s="5" t="s">
        <v>6</v>
      </c>
      <c r="N61" s="5" t="s">
        <v>6</v>
      </c>
      <c r="O61" s="5" t="s">
        <v>6</v>
      </c>
      <c r="P61" s="5" t="s">
        <v>6</v>
      </c>
      <c r="Q61" s="5" t="s">
        <v>6</v>
      </c>
      <c r="R61" s="5" t="s">
        <v>6</v>
      </c>
      <c r="S61" s="5" t="s">
        <v>6</v>
      </c>
      <c r="T61" s="5" t="s">
        <v>6</v>
      </c>
      <c r="U61" s="5" t="s">
        <v>6</v>
      </c>
    </row>
    <row r="62" spans="1:21" x14ac:dyDescent="0.25">
      <c r="A62" s="4">
        <v>59</v>
      </c>
      <c r="B62" s="5" t="s">
        <v>6</v>
      </c>
      <c r="C62" s="5" t="s">
        <v>6</v>
      </c>
      <c r="D62" s="5">
        <v>29.4</v>
      </c>
      <c r="E62" s="5">
        <v>4.5</v>
      </c>
      <c r="F62" s="5">
        <v>5.84</v>
      </c>
      <c r="G62" s="5" t="s">
        <v>6</v>
      </c>
      <c r="H62" s="5" t="s">
        <v>6</v>
      </c>
      <c r="I62" s="5" t="s">
        <v>56</v>
      </c>
      <c r="J62" s="5" t="s">
        <v>48</v>
      </c>
      <c r="K62" s="5">
        <v>25000</v>
      </c>
      <c r="L62" s="5" t="s">
        <v>6</v>
      </c>
      <c r="M62" s="5" t="s">
        <v>6</v>
      </c>
      <c r="N62" s="5" t="s">
        <v>6</v>
      </c>
      <c r="O62" s="5" t="s">
        <v>6</v>
      </c>
      <c r="P62" s="5" t="s">
        <v>6</v>
      </c>
      <c r="Q62" s="5">
        <v>25</v>
      </c>
      <c r="R62" s="5" t="s">
        <v>6</v>
      </c>
      <c r="S62" s="5" t="s">
        <v>6</v>
      </c>
      <c r="T62" s="5" t="s">
        <v>6</v>
      </c>
      <c r="U62" s="5" t="s">
        <v>6</v>
      </c>
    </row>
    <row r="63" spans="1:21" x14ac:dyDescent="0.25">
      <c r="A63" s="4">
        <v>60</v>
      </c>
      <c r="B63" s="5" t="s">
        <v>6</v>
      </c>
      <c r="C63" s="5" t="s">
        <v>6</v>
      </c>
      <c r="D63" s="5">
        <v>30</v>
      </c>
      <c r="E63" s="5">
        <v>3</v>
      </c>
      <c r="F63" s="5">
        <v>3.5</v>
      </c>
      <c r="G63" s="5">
        <v>6.992</v>
      </c>
      <c r="H63" s="5" t="s">
        <v>6</v>
      </c>
      <c r="I63" s="5" t="s">
        <v>56</v>
      </c>
      <c r="J63" s="5" t="s">
        <v>48</v>
      </c>
      <c r="K63" s="5">
        <v>0</v>
      </c>
      <c r="L63" s="5" t="s">
        <v>6</v>
      </c>
      <c r="M63" s="5" t="s">
        <v>6</v>
      </c>
      <c r="N63" s="5" t="s">
        <v>6</v>
      </c>
      <c r="O63" s="5" t="s">
        <v>6</v>
      </c>
      <c r="P63" s="5" t="s">
        <v>6</v>
      </c>
      <c r="Q63" s="5" t="s">
        <v>6</v>
      </c>
      <c r="R63" s="5" t="s">
        <v>6</v>
      </c>
      <c r="S63" s="5" t="s">
        <v>6</v>
      </c>
      <c r="T63" s="5" t="s">
        <v>6</v>
      </c>
      <c r="U63" s="5" t="s">
        <v>6</v>
      </c>
    </row>
    <row r="64" spans="1:21" x14ac:dyDescent="0.25">
      <c r="A64" s="4">
        <v>61</v>
      </c>
      <c r="B64" s="5" t="s">
        <v>6</v>
      </c>
      <c r="C64" s="5" t="s">
        <v>6</v>
      </c>
      <c r="D64" s="5">
        <v>31.75</v>
      </c>
      <c r="E64" s="5">
        <v>1.2</v>
      </c>
      <c r="F64" s="5">
        <v>5.0999999999999996</v>
      </c>
      <c r="G64" s="5" t="s">
        <v>6</v>
      </c>
      <c r="H64" s="5" t="s">
        <v>59</v>
      </c>
      <c r="I64" s="5" t="s">
        <v>30</v>
      </c>
      <c r="J64" s="5" t="s">
        <v>48</v>
      </c>
      <c r="K64" s="5">
        <v>5000</v>
      </c>
      <c r="L64" s="5" t="s">
        <v>6</v>
      </c>
      <c r="M64" s="5">
        <v>5</v>
      </c>
      <c r="N64" s="5" t="s">
        <v>6</v>
      </c>
      <c r="O64" s="5" t="s">
        <v>6</v>
      </c>
      <c r="P64" s="5" t="s">
        <v>6</v>
      </c>
      <c r="Q64" s="5" t="s">
        <v>6</v>
      </c>
      <c r="R64" s="5" t="s">
        <v>6</v>
      </c>
      <c r="S64" s="5" t="s">
        <v>6</v>
      </c>
      <c r="T64" s="5" t="s">
        <v>6</v>
      </c>
      <c r="U64" s="5" t="s">
        <v>6</v>
      </c>
    </row>
    <row r="65" spans="1:21" x14ac:dyDescent="0.25">
      <c r="A65" s="4">
        <v>62</v>
      </c>
      <c r="B65" s="5" t="s">
        <v>6</v>
      </c>
      <c r="C65" s="5" t="s">
        <v>6</v>
      </c>
      <c r="D65" s="5">
        <v>31.75</v>
      </c>
      <c r="E65" s="5">
        <v>1.2</v>
      </c>
      <c r="F65" s="5">
        <v>6</v>
      </c>
      <c r="G65" s="5" t="s">
        <v>60</v>
      </c>
      <c r="H65" s="5" t="s">
        <v>59</v>
      </c>
      <c r="I65" s="5" t="s">
        <v>30</v>
      </c>
      <c r="J65" s="5" t="s">
        <v>48</v>
      </c>
      <c r="K65" s="5">
        <v>0</v>
      </c>
      <c r="L65" s="5" t="s">
        <v>6</v>
      </c>
      <c r="M65" s="5" t="s">
        <v>6</v>
      </c>
      <c r="N65" s="5" t="s">
        <v>6</v>
      </c>
      <c r="O65" s="5" t="s">
        <v>6</v>
      </c>
      <c r="P65" s="5" t="s">
        <v>6</v>
      </c>
      <c r="Q65" s="5" t="s">
        <v>6</v>
      </c>
      <c r="R65" s="5" t="s">
        <v>6</v>
      </c>
      <c r="S65" s="5" t="s">
        <v>6</v>
      </c>
      <c r="T65" s="5" t="s">
        <v>6</v>
      </c>
      <c r="U65" s="5" t="s">
        <v>6</v>
      </c>
    </row>
    <row r="66" spans="1:21" x14ac:dyDescent="0.25">
      <c r="A66" s="4">
        <v>63</v>
      </c>
      <c r="B66" s="5" t="s">
        <v>6</v>
      </c>
      <c r="C66" s="5" t="s">
        <v>6</v>
      </c>
      <c r="D66" s="5">
        <v>31.75</v>
      </c>
      <c r="E66" s="5">
        <v>2</v>
      </c>
      <c r="F66" s="5">
        <v>6</v>
      </c>
      <c r="G66" s="5">
        <v>8.657</v>
      </c>
      <c r="H66" s="5" t="s">
        <v>6</v>
      </c>
      <c r="I66" s="5" t="s">
        <v>30</v>
      </c>
      <c r="J66" s="5" t="s">
        <v>48</v>
      </c>
      <c r="K66" s="5">
        <v>10000</v>
      </c>
      <c r="L66" s="5" t="s">
        <v>6</v>
      </c>
      <c r="M66" s="5" t="s">
        <v>6</v>
      </c>
      <c r="N66" s="5" t="s">
        <v>6</v>
      </c>
      <c r="O66" s="5" t="s">
        <v>6</v>
      </c>
      <c r="P66" s="5" t="s">
        <v>6</v>
      </c>
      <c r="Q66" s="5" t="s">
        <v>6</v>
      </c>
      <c r="R66" s="5" t="s">
        <v>6</v>
      </c>
      <c r="S66" s="5" t="s">
        <v>6</v>
      </c>
      <c r="T66" s="5">
        <v>10</v>
      </c>
      <c r="U66" s="5" t="s">
        <v>6</v>
      </c>
    </row>
    <row r="67" spans="1:21" x14ac:dyDescent="0.25">
      <c r="A67" s="4">
        <v>64</v>
      </c>
      <c r="B67" s="5" t="s">
        <v>6</v>
      </c>
      <c r="C67" s="5">
        <v>943209</v>
      </c>
      <c r="D67" s="5">
        <v>31.75</v>
      </c>
      <c r="E67" s="5">
        <v>2.2999999999999998</v>
      </c>
      <c r="F67" s="5">
        <v>5.92</v>
      </c>
      <c r="G67" s="5">
        <v>10.023</v>
      </c>
      <c r="H67" s="5" t="s">
        <v>61</v>
      </c>
      <c r="I67" s="5" t="s">
        <v>30</v>
      </c>
      <c r="J67" s="5" t="s">
        <v>48</v>
      </c>
      <c r="K67" s="5">
        <v>15000</v>
      </c>
      <c r="L67" s="5">
        <v>15</v>
      </c>
      <c r="M67" s="5" t="s">
        <v>6</v>
      </c>
      <c r="N67" s="5" t="s">
        <v>6</v>
      </c>
      <c r="O67" s="5" t="s">
        <v>6</v>
      </c>
      <c r="P67" s="5" t="s">
        <v>6</v>
      </c>
      <c r="Q67" s="5" t="s">
        <v>6</v>
      </c>
      <c r="R67" s="5" t="s">
        <v>6</v>
      </c>
      <c r="S67" s="5" t="s">
        <v>6</v>
      </c>
      <c r="T67" s="5" t="s">
        <v>6</v>
      </c>
      <c r="U67" s="5" t="s">
        <v>6</v>
      </c>
    </row>
    <row r="68" spans="1:21" x14ac:dyDescent="0.25">
      <c r="A68" s="4">
        <v>65</v>
      </c>
      <c r="B68" s="5" t="s">
        <v>6</v>
      </c>
      <c r="C68" s="5" t="s">
        <v>6</v>
      </c>
      <c r="D68" s="5">
        <v>31.75</v>
      </c>
      <c r="E68" s="5">
        <v>2.2999999999999998</v>
      </c>
      <c r="F68" s="5">
        <v>6</v>
      </c>
      <c r="G68" s="5" t="s">
        <v>6</v>
      </c>
      <c r="H68" s="5" t="s">
        <v>61</v>
      </c>
      <c r="I68" s="5" t="s">
        <v>6</v>
      </c>
      <c r="J68" s="5" t="s">
        <v>6</v>
      </c>
      <c r="K68" s="5">
        <v>0</v>
      </c>
      <c r="L68" s="5" t="s">
        <v>6</v>
      </c>
      <c r="M68" s="5" t="s">
        <v>6</v>
      </c>
      <c r="N68" s="5" t="s">
        <v>6</v>
      </c>
      <c r="O68" s="5" t="s">
        <v>6</v>
      </c>
      <c r="P68" s="5" t="s">
        <v>6</v>
      </c>
      <c r="Q68" s="5" t="s">
        <v>6</v>
      </c>
      <c r="R68" s="5" t="s">
        <v>6</v>
      </c>
      <c r="S68" s="5" t="s">
        <v>6</v>
      </c>
      <c r="T68" s="5" t="s">
        <v>6</v>
      </c>
      <c r="U68" s="5" t="s">
        <v>6</v>
      </c>
    </row>
    <row r="69" spans="1:21" x14ac:dyDescent="0.25">
      <c r="A69" s="4">
        <v>66</v>
      </c>
      <c r="B69" s="5" t="s">
        <v>6</v>
      </c>
      <c r="C69" s="5" t="s">
        <v>6</v>
      </c>
      <c r="D69" s="5">
        <v>31.75</v>
      </c>
      <c r="E69" s="5">
        <v>3.65</v>
      </c>
      <c r="F69" s="5">
        <v>6</v>
      </c>
      <c r="G69" s="5">
        <v>15.176</v>
      </c>
      <c r="H69" s="5" t="s">
        <v>6</v>
      </c>
      <c r="I69" s="5" t="s">
        <v>56</v>
      </c>
      <c r="J69" s="5" t="s">
        <v>48</v>
      </c>
      <c r="K69" s="5">
        <v>0</v>
      </c>
      <c r="L69" s="5" t="s">
        <v>6</v>
      </c>
      <c r="M69" s="5" t="s">
        <v>6</v>
      </c>
      <c r="N69" s="5" t="s">
        <v>6</v>
      </c>
      <c r="O69" s="5" t="s">
        <v>6</v>
      </c>
      <c r="P69" s="5" t="s">
        <v>6</v>
      </c>
      <c r="Q69" s="5" t="s">
        <v>6</v>
      </c>
      <c r="R69" s="5" t="s">
        <v>6</v>
      </c>
      <c r="S69" s="5" t="s">
        <v>6</v>
      </c>
      <c r="T69" s="5" t="s">
        <v>6</v>
      </c>
      <c r="U69" s="5" t="s">
        <v>6</v>
      </c>
    </row>
    <row r="70" spans="1:21" x14ac:dyDescent="0.25">
      <c r="A70" s="4">
        <v>67</v>
      </c>
      <c r="B70" s="5" t="s">
        <v>6</v>
      </c>
      <c r="C70" s="5" t="s">
        <v>6</v>
      </c>
      <c r="D70" s="5">
        <v>31.9</v>
      </c>
      <c r="E70" s="5">
        <v>4.55</v>
      </c>
      <c r="F70" s="5">
        <v>6</v>
      </c>
      <c r="G70" s="5">
        <v>13.964</v>
      </c>
      <c r="H70" s="5" t="s">
        <v>6</v>
      </c>
      <c r="I70" s="5" t="s">
        <v>56</v>
      </c>
      <c r="J70" s="5" t="s">
        <v>48</v>
      </c>
      <c r="K70" s="5">
        <v>0</v>
      </c>
      <c r="L70" s="5" t="s">
        <v>6</v>
      </c>
      <c r="M70" s="5" t="s">
        <v>6</v>
      </c>
      <c r="N70" s="5" t="s">
        <v>6</v>
      </c>
      <c r="O70" s="5" t="s">
        <v>6</v>
      </c>
      <c r="P70" s="5" t="s">
        <v>6</v>
      </c>
      <c r="Q70" s="5" t="s">
        <v>6</v>
      </c>
      <c r="R70" s="5" t="s">
        <v>6</v>
      </c>
      <c r="S70" s="5" t="s">
        <v>6</v>
      </c>
      <c r="T70" s="5" t="s">
        <v>6</v>
      </c>
      <c r="U70" s="5" t="s">
        <v>6</v>
      </c>
    </row>
    <row r="71" spans="1:21" x14ac:dyDescent="0.25">
      <c r="A71" s="4">
        <v>68</v>
      </c>
      <c r="B71" s="5" t="s">
        <v>6</v>
      </c>
      <c r="C71" s="5">
        <v>943210</v>
      </c>
      <c r="D71" s="5">
        <v>34</v>
      </c>
      <c r="E71" s="5">
        <v>1.4</v>
      </c>
      <c r="F71" s="5">
        <v>6.52</v>
      </c>
      <c r="G71" s="5">
        <v>7.3390000000000004</v>
      </c>
      <c r="H71" s="5" t="s">
        <v>6</v>
      </c>
      <c r="I71" s="5" t="s">
        <v>30</v>
      </c>
      <c r="J71" s="5" t="s">
        <v>48</v>
      </c>
      <c r="K71" s="5">
        <v>0</v>
      </c>
      <c r="L71" s="5" t="s">
        <v>6</v>
      </c>
      <c r="M71" s="5" t="s">
        <v>6</v>
      </c>
      <c r="N71" s="5" t="s">
        <v>6</v>
      </c>
      <c r="O71" s="5" t="s">
        <v>6</v>
      </c>
      <c r="P71" s="5" t="s">
        <v>6</v>
      </c>
      <c r="Q71" s="5" t="s">
        <v>6</v>
      </c>
      <c r="R71" s="5" t="s">
        <v>6</v>
      </c>
      <c r="S71" s="5" t="s">
        <v>6</v>
      </c>
      <c r="T71" s="5" t="s">
        <v>6</v>
      </c>
      <c r="U71" s="5" t="s">
        <v>6</v>
      </c>
    </row>
    <row r="72" spans="1:21" x14ac:dyDescent="0.25">
      <c r="A72" s="4">
        <v>69</v>
      </c>
      <c r="B72" s="5" t="s">
        <v>6</v>
      </c>
      <c r="C72" s="5">
        <v>943211</v>
      </c>
      <c r="D72" s="5">
        <v>34.93</v>
      </c>
      <c r="E72" s="5">
        <v>1.2</v>
      </c>
      <c r="F72" s="5">
        <v>5.0999999999999996</v>
      </c>
      <c r="G72" s="5">
        <v>5.0910000000000002</v>
      </c>
      <c r="H72" s="5" t="s">
        <v>62</v>
      </c>
      <c r="I72" s="5" t="s">
        <v>30</v>
      </c>
      <c r="J72" s="5" t="s">
        <v>48</v>
      </c>
      <c r="K72" s="5">
        <v>17000</v>
      </c>
      <c r="L72" s="5" t="s">
        <v>6</v>
      </c>
      <c r="M72" s="5">
        <v>1</v>
      </c>
      <c r="N72" s="5" t="s">
        <v>6</v>
      </c>
      <c r="O72" s="5" t="s">
        <v>6</v>
      </c>
      <c r="P72" s="5" t="s">
        <v>6</v>
      </c>
      <c r="Q72" s="5" t="s">
        <v>6</v>
      </c>
      <c r="R72" s="5" t="s">
        <v>6</v>
      </c>
      <c r="S72" s="5" t="s">
        <v>6</v>
      </c>
      <c r="T72" s="5">
        <v>16</v>
      </c>
      <c r="U72" s="5" t="s">
        <v>6</v>
      </c>
    </row>
    <row r="73" spans="1:21" x14ac:dyDescent="0.25">
      <c r="A73" s="4">
        <v>70</v>
      </c>
      <c r="B73" s="5" t="s">
        <v>6</v>
      </c>
      <c r="C73" s="5">
        <v>943211</v>
      </c>
      <c r="D73" s="5">
        <v>34.93</v>
      </c>
      <c r="E73" s="5">
        <v>1.2</v>
      </c>
      <c r="F73" s="5">
        <v>5.9</v>
      </c>
      <c r="G73" s="5" t="s">
        <v>6</v>
      </c>
      <c r="H73" s="5" t="s">
        <v>6</v>
      </c>
      <c r="I73" s="5" t="s">
        <v>30</v>
      </c>
      <c r="J73" s="5" t="s">
        <v>48</v>
      </c>
      <c r="K73" s="5">
        <v>20000</v>
      </c>
      <c r="L73" s="5" t="s">
        <v>6</v>
      </c>
      <c r="M73" s="5" t="s">
        <v>6</v>
      </c>
      <c r="N73" s="5" t="s">
        <v>6</v>
      </c>
      <c r="O73" s="5" t="s">
        <v>6</v>
      </c>
      <c r="P73" s="5" t="s">
        <v>6</v>
      </c>
      <c r="Q73" s="5" t="s">
        <v>6</v>
      </c>
      <c r="R73" s="5" t="s">
        <v>6</v>
      </c>
      <c r="S73" s="5">
        <v>20</v>
      </c>
      <c r="T73" s="5" t="s">
        <v>6</v>
      </c>
      <c r="U73" s="5" t="s">
        <v>6</v>
      </c>
    </row>
    <row r="74" spans="1:21" x14ac:dyDescent="0.25">
      <c r="A74" s="4">
        <v>71</v>
      </c>
      <c r="B74" s="5" t="s">
        <v>6</v>
      </c>
      <c r="C74" s="5" t="s">
        <v>6</v>
      </c>
      <c r="D74" s="5">
        <v>34.93</v>
      </c>
      <c r="E74" s="5">
        <v>1.2</v>
      </c>
      <c r="F74" s="5">
        <v>6</v>
      </c>
      <c r="G74" s="5">
        <v>5.9889999999999999</v>
      </c>
      <c r="H74" s="5" t="s">
        <v>62</v>
      </c>
      <c r="I74" s="5" t="s">
        <v>30</v>
      </c>
      <c r="J74" s="5" t="s">
        <v>48</v>
      </c>
      <c r="K74" s="5">
        <v>0</v>
      </c>
      <c r="L74" s="5" t="s">
        <v>6</v>
      </c>
      <c r="M74" s="5" t="s">
        <v>6</v>
      </c>
      <c r="N74" s="5" t="s">
        <v>6</v>
      </c>
      <c r="O74" s="5" t="s">
        <v>6</v>
      </c>
      <c r="P74" s="5" t="s">
        <v>6</v>
      </c>
      <c r="Q74" s="5" t="s">
        <v>6</v>
      </c>
      <c r="R74" s="5" t="s">
        <v>6</v>
      </c>
      <c r="S74" s="5" t="s">
        <v>6</v>
      </c>
      <c r="T74" s="5" t="s">
        <v>6</v>
      </c>
      <c r="U74" s="5" t="s">
        <v>6</v>
      </c>
    </row>
    <row r="75" spans="1:21" x14ac:dyDescent="0.25">
      <c r="A75" s="4">
        <v>72</v>
      </c>
      <c r="B75" s="5" t="s">
        <v>6</v>
      </c>
      <c r="C75" s="5" t="s">
        <v>6</v>
      </c>
      <c r="D75" s="5">
        <v>34.93</v>
      </c>
      <c r="E75" s="5">
        <v>1.2</v>
      </c>
      <c r="F75" s="5">
        <v>620</v>
      </c>
      <c r="G75" s="5">
        <v>620</v>
      </c>
      <c r="H75" s="5" t="s">
        <v>6</v>
      </c>
      <c r="I75" s="5" t="s">
        <v>30</v>
      </c>
      <c r="J75" s="5" t="s">
        <v>6</v>
      </c>
      <c r="K75" s="5">
        <v>0</v>
      </c>
      <c r="L75" s="5" t="s">
        <v>6</v>
      </c>
      <c r="M75" s="5" t="s">
        <v>6</v>
      </c>
      <c r="N75" s="5" t="s">
        <v>6</v>
      </c>
      <c r="O75" s="5" t="s">
        <v>6</v>
      </c>
      <c r="P75" s="5" t="s">
        <v>6</v>
      </c>
      <c r="Q75" s="5" t="s">
        <v>6</v>
      </c>
      <c r="R75" s="5" t="s">
        <v>6</v>
      </c>
      <c r="S75" s="5" t="s">
        <v>6</v>
      </c>
      <c r="T75" s="5" t="s">
        <v>6</v>
      </c>
      <c r="U75" s="5" t="s">
        <v>6</v>
      </c>
    </row>
    <row r="76" spans="1:21" x14ac:dyDescent="0.25">
      <c r="A76" s="4">
        <v>73</v>
      </c>
      <c r="B76" s="5" t="s">
        <v>6</v>
      </c>
      <c r="C76" s="5" t="s">
        <v>6</v>
      </c>
      <c r="D76" s="5">
        <v>34.93</v>
      </c>
      <c r="E76" s="5">
        <v>1.2</v>
      </c>
      <c r="F76" s="5">
        <v>650</v>
      </c>
      <c r="G76" s="5">
        <v>650</v>
      </c>
      <c r="H76" s="5" t="s">
        <v>6</v>
      </c>
      <c r="I76" s="5" t="s">
        <v>30</v>
      </c>
      <c r="J76" s="5" t="s">
        <v>6</v>
      </c>
      <c r="K76" s="5">
        <v>19000</v>
      </c>
      <c r="L76" s="5" t="s">
        <v>6</v>
      </c>
      <c r="M76" s="5" t="s">
        <v>6</v>
      </c>
      <c r="N76" s="5" t="s">
        <v>6</v>
      </c>
      <c r="O76" s="5" t="s">
        <v>6</v>
      </c>
      <c r="P76" s="5" t="s">
        <v>6</v>
      </c>
      <c r="Q76" s="5" t="s">
        <v>6</v>
      </c>
      <c r="R76" s="5" t="s">
        <v>6</v>
      </c>
      <c r="S76" s="5">
        <v>19</v>
      </c>
      <c r="T76" s="5" t="s">
        <v>6</v>
      </c>
      <c r="U76" s="5" t="s">
        <v>6</v>
      </c>
    </row>
    <row r="77" spans="1:21" x14ac:dyDescent="0.25">
      <c r="A77" s="4">
        <v>74</v>
      </c>
      <c r="B77" s="5" t="s">
        <v>6</v>
      </c>
      <c r="C77" s="5" t="s">
        <v>6</v>
      </c>
      <c r="D77" s="5">
        <v>34.93</v>
      </c>
      <c r="E77" s="5">
        <v>1.2</v>
      </c>
      <c r="F77" s="5">
        <v>780</v>
      </c>
      <c r="G77" s="5">
        <v>780</v>
      </c>
      <c r="H77" s="5" t="s">
        <v>6</v>
      </c>
      <c r="I77" s="5" t="s">
        <v>30</v>
      </c>
      <c r="J77" s="5" t="s">
        <v>6</v>
      </c>
      <c r="K77" s="5">
        <v>10000</v>
      </c>
      <c r="L77" s="5" t="s">
        <v>6</v>
      </c>
      <c r="M77" s="5" t="s">
        <v>6</v>
      </c>
      <c r="N77" s="5" t="s">
        <v>6</v>
      </c>
      <c r="O77" s="5" t="s">
        <v>6</v>
      </c>
      <c r="P77" s="5" t="s">
        <v>6</v>
      </c>
      <c r="Q77" s="5" t="s">
        <v>6</v>
      </c>
      <c r="R77" s="5" t="s">
        <v>6</v>
      </c>
      <c r="S77" s="5">
        <v>10</v>
      </c>
      <c r="T77" s="5" t="s">
        <v>6</v>
      </c>
      <c r="U77" s="5" t="s">
        <v>6</v>
      </c>
    </row>
    <row r="78" spans="1:21" x14ac:dyDescent="0.25">
      <c r="A78" s="4">
        <v>75</v>
      </c>
      <c r="B78" s="5" t="s">
        <v>6</v>
      </c>
      <c r="C78" s="5" t="s">
        <v>6</v>
      </c>
      <c r="D78" s="5">
        <v>38.1</v>
      </c>
      <c r="E78" s="5">
        <v>1.6</v>
      </c>
      <c r="F78" s="5">
        <v>5.88</v>
      </c>
      <c r="G78" s="5">
        <v>7.2009999999999996</v>
      </c>
      <c r="H78" s="5" t="s">
        <v>63</v>
      </c>
      <c r="I78" s="5" t="s">
        <v>30</v>
      </c>
      <c r="J78" s="5" t="s">
        <v>48</v>
      </c>
      <c r="K78" s="5">
        <v>0</v>
      </c>
      <c r="L78" s="5" t="s">
        <v>6</v>
      </c>
      <c r="M78" s="5" t="s">
        <v>6</v>
      </c>
      <c r="N78" s="5" t="s">
        <v>6</v>
      </c>
      <c r="O78" s="5" t="s">
        <v>6</v>
      </c>
      <c r="P78" s="5" t="s">
        <v>6</v>
      </c>
      <c r="Q78" s="5" t="s">
        <v>6</v>
      </c>
      <c r="R78" s="5" t="s">
        <v>6</v>
      </c>
      <c r="S78" s="5" t="s">
        <v>6</v>
      </c>
      <c r="T78" s="5" t="s">
        <v>6</v>
      </c>
      <c r="U78" s="5" t="s">
        <v>6</v>
      </c>
    </row>
    <row r="79" spans="1:21" x14ac:dyDescent="0.25">
      <c r="A79" s="4">
        <v>76</v>
      </c>
      <c r="B79" s="5" t="s">
        <v>6</v>
      </c>
      <c r="C79" s="5">
        <v>943209</v>
      </c>
      <c r="D79" s="5">
        <v>38.1</v>
      </c>
      <c r="E79" s="5">
        <v>1.6</v>
      </c>
      <c r="F79" s="5">
        <v>6.19</v>
      </c>
      <c r="G79" s="5">
        <v>8.9149999999999991</v>
      </c>
      <c r="H79" s="5" t="s">
        <v>64</v>
      </c>
      <c r="I79" s="5" t="s">
        <v>39</v>
      </c>
      <c r="J79" s="5" t="s">
        <v>48</v>
      </c>
      <c r="K79" s="5">
        <v>64000</v>
      </c>
      <c r="L79" s="5">
        <v>44</v>
      </c>
      <c r="M79" s="5">
        <v>20</v>
      </c>
      <c r="N79" s="5" t="s">
        <v>6</v>
      </c>
      <c r="O79" s="5" t="s">
        <v>6</v>
      </c>
      <c r="P79" s="5" t="s">
        <v>6</v>
      </c>
      <c r="Q79" s="5" t="s">
        <v>6</v>
      </c>
      <c r="R79" s="5" t="s">
        <v>6</v>
      </c>
      <c r="S79" s="5" t="s">
        <v>6</v>
      </c>
      <c r="T79" s="5" t="s">
        <v>6</v>
      </c>
      <c r="U79" s="5" t="s">
        <v>6</v>
      </c>
    </row>
    <row r="80" spans="1:21" x14ac:dyDescent="0.25">
      <c r="A80" s="4">
        <v>77</v>
      </c>
      <c r="B80" s="5" t="s">
        <v>6</v>
      </c>
      <c r="C80" s="5" t="s">
        <v>6</v>
      </c>
      <c r="D80" s="5">
        <v>38.1</v>
      </c>
      <c r="E80" s="5">
        <v>1.6</v>
      </c>
      <c r="F80" s="5">
        <v>6.2050000000000001</v>
      </c>
      <c r="G80" s="5">
        <v>8.9369999999999994</v>
      </c>
      <c r="H80" s="5" t="s">
        <v>63</v>
      </c>
      <c r="I80" s="5" t="s">
        <v>65</v>
      </c>
      <c r="J80" s="5" t="s">
        <v>48</v>
      </c>
      <c r="K80" s="5">
        <v>0</v>
      </c>
      <c r="L80" s="5" t="s">
        <v>6</v>
      </c>
      <c r="M80" s="5" t="s">
        <v>6</v>
      </c>
      <c r="N80" s="5" t="s">
        <v>6</v>
      </c>
      <c r="O80" s="5" t="s">
        <v>6</v>
      </c>
      <c r="P80" s="5" t="s">
        <v>6</v>
      </c>
      <c r="Q80" s="5" t="s">
        <v>6</v>
      </c>
      <c r="R80" s="5" t="s">
        <v>6</v>
      </c>
      <c r="S80" s="5" t="s">
        <v>6</v>
      </c>
      <c r="T80" s="5" t="s">
        <v>6</v>
      </c>
      <c r="U80" s="5" t="s">
        <v>6</v>
      </c>
    </row>
    <row r="81" spans="1:21" x14ac:dyDescent="0.25">
      <c r="A81" s="4">
        <v>78</v>
      </c>
      <c r="B81" s="5" t="s">
        <v>6</v>
      </c>
      <c r="C81" s="5">
        <v>943209</v>
      </c>
      <c r="D81" s="5">
        <v>38.1</v>
      </c>
      <c r="E81" s="5">
        <v>2</v>
      </c>
      <c r="F81" s="5">
        <v>5.65</v>
      </c>
      <c r="G81" s="5">
        <v>10.06</v>
      </c>
      <c r="H81" s="5" t="s">
        <v>66</v>
      </c>
      <c r="I81" s="5" t="s">
        <v>30</v>
      </c>
      <c r="J81" s="5" t="s">
        <v>48</v>
      </c>
      <c r="K81" s="5">
        <v>10000</v>
      </c>
      <c r="L81" s="5" t="s">
        <v>6</v>
      </c>
      <c r="M81" s="5">
        <v>10</v>
      </c>
      <c r="N81" s="5" t="s">
        <v>6</v>
      </c>
      <c r="O81" s="5" t="s">
        <v>6</v>
      </c>
      <c r="P81" s="5" t="s">
        <v>6</v>
      </c>
      <c r="Q81" s="5" t="s">
        <v>6</v>
      </c>
      <c r="R81" s="5" t="s">
        <v>6</v>
      </c>
      <c r="S81" s="5" t="s">
        <v>6</v>
      </c>
      <c r="T81" s="5" t="s">
        <v>6</v>
      </c>
      <c r="U81" s="5" t="s">
        <v>6</v>
      </c>
    </row>
    <row r="82" spans="1:21" x14ac:dyDescent="0.25">
      <c r="A82" s="4">
        <v>79</v>
      </c>
      <c r="B82" s="5" t="s">
        <v>6</v>
      </c>
      <c r="C82" s="5">
        <v>943209</v>
      </c>
      <c r="D82" s="5">
        <v>38.1</v>
      </c>
      <c r="E82" s="5">
        <v>2.5</v>
      </c>
      <c r="F82" s="5">
        <v>6.19</v>
      </c>
      <c r="G82" s="5">
        <v>13.586</v>
      </c>
      <c r="H82" s="5" t="s">
        <v>67</v>
      </c>
      <c r="I82" s="5" t="s">
        <v>39</v>
      </c>
      <c r="J82" s="5" t="s">
        <v>48</v>
      </c>
      <c r="K82" s="5">
        <v>97000</v>
      </c>
      <c r="L82" s="5">
        <v>67</v>
      </c>
      <c r="M82" s="5">
        <v>30</v>
      </c>
      <c r="N82" s="5" t="s">
        <v>6</v>
      </c>
      <c r="O82" s="5" t="s">
        <v>6</v>
      </c>
      <c r="P82" s="5" t="s">
        <v>6</v>
      </c>
      <c r="Q82" s="5" t="s">
        <v>6</v>
      </c>
      <c r="R82" s="5" t="s">
        <v>6</v>
      </c>
      <c r="S82" s="5" t="s">
        <v>6</v>
      </c>
      <c r="T82" s="5" t="s">
        <v>6</v>
      </c>
      <c r="U82" s="5" t="s">
        <v>6</v>
      </c>
    </row>
    <row r="83" spans="1:21" x14ac:dyDescent="0.25">
      <c r="A83" s="4">
        <v>80</v>
      </c>
      <c r="B83" s="5" t="s">
        <v>6</v>
      </c>
      <c r="C83" s="5">
        <v>943211</v>
      </c>
      <c r="D83" s="5">
        <v>38.1</v>
      </c>
      <c r="E83" s="5">
        <v>3.2</v>
      </c>
      <c r="F83" s="5">
        <v>6.16</v>
      </c>
      <c r="G83" s="5" t="s">
        <v>6</v>
      </c>
      <c r="H83" s="5" t="s">
        <v>6</v>
      </c>
      <c r="I83" s="5" t="s">
        <v>39</v>
      </c>
      <c r="J83" s="5" t="s">
        <v>48</v>
      </c>
      <c r="K83" s="5">
        <v>0</v>
      </c>
      <c r="L83" s="5" t="s">
        <v>6</v>
      </c>
      <c r="M83" s="5" t="s">
        <v>6</v>
      </c>
      <c r="N83" s="5" t="s">
        <v>6</v>
      </c>
      <c r="O83" s="5" t="s">
        <v>6</v>
      </c>
      <c r="P83" s="5" t="s">
        <v>6</v>
      </c>
      <c r="Q83" s="5" t="s">
        <v>6</v>
      </c>
      <c r="R83" s="5" t="s">
        <v>6</v>
      </c>
      <c r="S83" s="5" t="s">
        <v>6</v>
      </c>
      <c r="T83" s="5" t="s">
        <v>6</v>
      </c>
      <c r="U83" s="5" t="s">
        <v>6</v>
      </c>
    </row>
    <row r="84" spans="1:21" x14ac:dyDescent="0.25">
      <c r="A84" s="4">
        <v>81</v>
      </c>
      <c r="B84" s="5" t="s">
        <v>6</v>
      </c>
      <c r="C84" s="5">
        <v>943211</v>
      </c>
      <c r="D84" s="5">
        <v>38.1</v>
      </c>
      <c r="E84" s="5">
        <v>3.2</v>
      </c>
      <c r="F84" s="5">
        <v>6</v>
      </c>
      <c r="G84" s="5" t="s">
        <v>6</v>
      </c>
      <c r="H84" s="5" t="s">
        <v>6</v>
      </c>
      <c r="I84" s="5" t="s">
        <v>68</v>
      </c>
      <c r="J84" s="5" t="s">
        <v>6</v>
      </c>
      <c r="K84" s="5">
        <v>0</v>
      </c>
      <c r="L84" s="5" t="s">
        <v>6</v>
      </c>
      <c r="M84" s="5" t="s">
        <v>6</v>
      </c>
      <c r="N84" s="5" t="s">
        <v>6</v>
      </c>
      <c r="O84" s="5" t="s">
        <v>6</v>
      </c>
      <c r="P84" s="5" t="s">
        <v>6</v>
      </c>
      <c r="Q84" s="5" t="s">
        <v>6</v>
      </c>
      <c r="R84" s="5" t="s">
        <v>6</v>
      </c>
      <c r="S84" s="5" t="s">
        <v>6</v>
      </c>
      <c r="T84" s="5" t="s">
        <v>6</v>
      </c>
      <c r="U84" s="5" t="s">
        <v>6</v>
      </c>
    </row>
    <row r="85" spans="1:21" x14ac:dyDescent="0.25">
      <c r="A85" s="4">
        <v>82</v>
      </c>
      <c r="B85" s="5" t="s">
        <v>69</v>
      </c>
      <c r="C85" s="5">
        <v>943209</v>
      </c>
      <c r="D85" s="5">
        <v>41.28</v>
      </c>
      <c r="E85" s="5">
        <v>1.6</v>
      </c>
      <c r="F85" s="5">
        <v>5.74</v>
      </c>
      <c r="G85" s="5">
        <v>9.1999999999999993</v>
      </c>
      <c r="H85" s="5" t="s">
        <v>70</v>
      </c>
      <c r="I85" s="5" t="s">
        <v>30</v>
      </c>
      <c r="J85" s="5" t="s">
        <v>48</v>
      </c>
      <c r="K85" s="5">
        <v>0</v>
      </c>
      <c r="L85" s="5" t="s">
        <v>6</v>
      </c>
      <c r="M85" s="5" t="s">
        <v>6</v>
      </c>
      <c r="N85" s="5" t="s">
        <v>6</v>
      </c>
      <c r="O85" s="5" t="s">
        <v>6</v>
      </c>
      <c r="P85" s="5" t="s">
        <v>6</v>
      </c>
      <c r="Q85" s="5" t="s">
        <v>6</v>
      </c>
      <c r="R85" s="5" t="s">
        <v>6</v>
      </c>
      <c r="S85" s="5" t="s">
        <v>6</v>
      </c>
      <c r="T85" s="5" t="s">
        <v>6</v>
      </c>
      <c r="U85" s="5" t="s">
        <v>6</v>
      </c>
    </row>
    <row r="86" spans="1:21" x14ac:dyDescent="0.25">
      <c r="A86" s="4">
        <v>83</v>
      </c>
      <c r="B86" s="5" t="s">
        <v>69</v>
      </c>
      <c r="C86" s="5">
        <v>943209</v>
      </c>
      <c r="D86" s="5">
        <v>41.28</v>
      </c>
      <c r="E86" s="5">
        <v>1.6</v>
      </c>
      <c r="F86" s="5">
        <v>5.99</v>
      </c>
      <c r="G86" s="5">
        <v>9.5</v>
      </c>
      <c r="H86" s="5" t="s">
        <v>70</v>
      </c>
      <c r="I86" s="5" t="s">
        <v>30</v>
      </c>
      <c r="J86" s="5" t="s">
        <v>48</v>
      </c>
      <c r="K86" s="5">
        <v>13000</v>
      </c>
      <c r="L86" s="5">
        <v>10</v>
      </c>
      <c r="M86" s="5">
        <v>3</v>
      </c>
      <c r="N86" s="5" t="s">
        <v>6</v>
      </c>
      <c r="O86" s="5" t="s">
        <v>6</v>
      </c>
      <c r="P86" s="5" t="s">
        <v>6</v>
      </c>
      <c r="Q86" s="5" t="s">
        <v>6</v>
      </c>
      <c r="R86" s="5" t="s">
        <v>6</v>
      </c>
      <c r="S86" s="5" t="s">
        <v>6</v>
      </c>
      <c r="T86" s="5" t="s">
        <v>6</v>
      </c>
      <c r="U86" s="5" t="s">
        <v>6</v>
      </c>
    </row>
    <row r="87" spans="1:21" x14ac:dyDescent="0.25">
      <c r="A87" s="4">
        <v>84</v>
      </c>
      <c r="B87" s="5" t="s">
        <v>69</v>
      </c>
      <c r="C87" s="5" t="s">
        <v>6</v>
      </c>
      <c r="D87" s="5">
        <v>41.28</v>
      </c>
      <c r="E87" s="5">
        <v>1.6</v>
      </c>
      <c r="F87" s="5">
        <v>6.02</v>
      </c>
      <c r="G87" s="5" t="s">
        <v>6</v>
      </c>
      <c r="H87" s="5" t="s">
        <v>6</v>
      </c>
      <c r="I87" s="5" t="s">
        <v>6</v>
      </c>
      <c r="J87" s="5" t="s">
        <v>6</v>
      </c>
      <c r="K87" s="5">
        <v>0</v>
      </c>
      <c r="L87" s="5" t="s">
        <v>6</v>
      </c>
      <c r="M87" s="5" t="s">
        <v>6</v>
      </c>
      <c r="N87" s="5" t="s">
        <v>6</v>
      </c>
      <c r="O87" s="5" t="s">
        <v>6</v>
      </c>
      <c r="P87" s="5" t="s">
        <v>6</v>
      </c>
      <c r="Q87" s="5" t="s">
        <v>6</v>
      </c>
      <c r="R87" s="5" t="s">
        <v>6</v>
      </c>
      <c r="S87" s="5" t="s">
        <v>6</v>
      </c>
      <c r="T87" s="5" t="s">
        <v>6</v>
      </c>
      <c r="U87" s="5" t="s">
        <v>6</v>
      </c>
    </row>
    <row r="88" spans="1:21" x14ac:dyDescent="0.25">
      <c r="A88" s="4">
        <v>85</v>
      </c>
      <c r="B88" s="5" t="s">
        <v>6</v>
      </c>
      <c r="C88" s="5">
        <v>943209</v>
      </c>
      <c r="D88" s="5">
        <v>41.28</v>
      </c>
      <c r="E88" s="5">
        <v>2.6</v>
      </c>
      <c r="F88" s="5">
        <v>6</v>
      </c>
      <c r="G88" s="5">
        <v>14.881</v>
      </c>
      <c r="H88" s="5" t="s">
        <v>71</v>
      </c>
      <c r="I88" s="5" t="s">
        <v>30</v>
      </c>
      <c r="J88" s="5" t="s">
        <v>48</v>
      </c>
      <c r="K88" s="5">
        <v>85000</v>
      </c>
      <c r="L88" s="5">
        <v>85</v>
      </c>
      <c r="M88" s="5" t="s">
        <v>6</v>
      </c>
      <c r="N88" s="5" t="s">
        <v>6</v>
      </c>
      <c r="O88" s="5" t="s">
        <v>6</v>
      </c>
      <c r="P88" s="5" t="s">
        <v>6</v>
      </c>
      <c r="Q88" s="5" t="s">
        <v>6</v>
      </c>
      <c r="R88" s="5" t="s">
        <v>6</v>
      </c>
      <c r="S88" s="5" t="s">
        <v>6</v>
      </c>
      <c r="T88" s="5" t="s">
        <v>6</v>
      </c>
      <c r="U88" s="5" t="s">
        <v>6</v>
      </c>
    </row>
    <row r="89" spans="1:21" x14ac:dyDescent="0.25">
      <c r="A89" s="4">
        <v>86</v>
      </c>
      <c r="B89" s="5" t="s">
        <v>6</v>
      </c>
      <c r="C89" s="5" t="s">
        <v>6</v>
      </c>
      <c r="D89" s="5">
        <v>41.28</v>
      </c>
      <c r="E89" s="5">
        <v>2.6</v>
      </c>
      <c r="F89" s="5">
        <v>6.02</v>
      </c>
      <c r="G89" s="5">
        <v>14.881</v>
      </c>
      <c r="H89" s="5" t="s">
        <v>71</v>
      </c>
      <c r="I89" s="5" t="s">
        <v>30</v>
      </c>
      <c r="J89" s="5" t="s">
        <v>48</v>
      </c>
      <c r="K89" s="5">
        <v>0</v>
      </c>
      <c r="L89" s="5" t="s">
        <v>6</v>
      </c>
      <c r="M89" s="5" t="s">
        <v>6</v>
      </c>
      <c r="N89" s="5" t="s">
        <v>6</v>
      </c>
      <c r="O89" s="5" t="s">
        <v>6</v>
      </c>
      <c r="P89" s="5" t="s">
        <v>6</v>
      </c>
      <c r="Q89" s="5" t="s">
        <v>6</v>
      </c>
      <c r="R89" s="5" t="s">
        <v>6</v>
      </c>
      <c r="S89" s="5" t="s">
        <v>6</v>
      </c>
      <c r="T89" s="5" t="s">
        <v>6</v>
      </c>
      <c r="U89" s="5" t="s">
        <v>6</v>
      </c>
    </row>
    <row r="90" spans="1:21" x14ac:dyDescent="0.25">
      <c r="A90" s="4">
        <v>87</v>
      </c>
      <c r="B90" s="5" t="s">
        <v>6</v>
      </c>
      <c r="C90" s="5">
        <v>943210</v>
      </c>
      <c r="D90" s="5">
        <v>41.28</v>
      </c>
      <c r="E90" s="5">
        <v>3.15</v>
      </c>
      <c r="F90" s="5">
        <v>5.94</v>
      </c>
      <c r="G90" s="5">
        <v>17.417000000000002</v>
      </c>
      <c r="H90" s="5" t="s">
        <v>72</v>
      </c>
      <c r="I90" s="5" t="s">
        <v>30</v>
      </c>
      <c r="J90" s="5" t="s">
        <v>48</v>
      </c>
      <c r="K90" s="5">
        <v>87000</v>
      </c>
      <c r="L90" s="5">
        <v>30</v>
      </c>
      <c r="M90" s="5">
        <v>20</v>
      </c>
      <c r="N90" s="5" t="s">
        <v>6</v>
      </c>
      <c r="O90" s="5">
        <v>7</v>
      </c>
      <c r="P90" s="5" t="s">
        <v>6</v>
      </c>
      <c r="Q90" s="5" t="s">
        <v>6</v>
      </c>
      <c r="R90" s="5" t="s">
        <v>6</v>
      </c>
      <c r="S90" s="5" t="s">
        <v>6</v>
      </c>
      <c r="T90" s="5" t="s">
        <v>6</v>
      </c>
      <c r="U90" s="5">
        <v>30</v>
      </c>
    </row>
    <row r="91" spans="1:21" x14ac:dyDescent="0.25">
      <c r="A91" s="4">
        <v>88</v>
      </c>
      <c r="B91" s="5" t="s">
        <v>6</v>
      </c>
      <c r="C91" s="5">
        <v>943210</v>
      </c>
      <c r="D91" s="5">
        <v>41.28</v>
      </c>
      <c r="E91" s="5">
        <v>3.15</v>
      </c>
      <c r="F91" s="5">
        <v>5.86</v>
      </c>
      <c r="G91" s="5">
        <v>17.417000000000002</v>
      </c>
      <c r="H91" s="5" t="s">
        <v>72</v>
      </c>
      <c r="I91" s="5" t="s">
        <v>30</v>
      </c>
      <c r="J91" s="5" t="s">
        <v>48</v>
      </c>
      <c r="K91" s="5">
        <v>0</v>
      </c>
      <c r="L91" s="5" t="s">
        <v>6</v>
      </c>
      <c r="M91" s="5" t="s">
        <v>6</v>
      </c>
      <c r="N91" s="5" t="s">
        <v>6</v>
      </c>
      <c r="O91" s="5" t="s">
        <v>6</v>
      </c>
      <c r="P91" s="5" t="s">
        <v>6</v>
      </c>
      <c r="Q91" s="5" t="s">
        <v>6</v>
      </c>
      <c r="R91" s="5" t="s">
        <v>6</v>
      </c>
      <c r="S91" s="5" t="s">
        <v>6</v>
      </c>
      <c r="T91" s="5" t="s">
        <v>6</v>
      </c>
      <c r="U91" s="5" t="s">
        <v>6</v>
      </c>
    </row>
    <row r="92" spans="1:21" x14ac:dyDescent="0.25">
      <c r="A92" s="4">
        <v>89</v>
      </c>
      <c r="B92" s="5" t="s">
        <v>6</v>
      </c>
      <c r="C92" s="5" t="s">
        <v>6</v>
      </c>
      <c r="D92" s="5">
        <v>41.28</v>
      </c>
      <c r="E92" s="5">
        <v>3.15</v>
      </c>
      <c r="F92" s="5">
        <v>6.2850000000000001</v>
      </c>
      <c r="G92" s="5" t="s">
        <v>6</v>
      </c>
      <c r="H92" s="5" t="s">
        <v>6</v>
      </c>
      <c r="I92" s="5" t="s">
        <v>6</v>
      </c>
      <c r="J92" s="5" t="s">
        <v>6</v>
      </c>
      <c r="K92" s="5">
        <v>0</v>
      </c>
      <c r="L92" s="5" t="s">
        <v>6</v>
      </c>
      <c r="M92" s="5" t="s">
        <v>6</v>
      </c>
      <c r="N92" s="5" t="s">
        <v>6</v>
      </c>
      <c r="O92" s="5" t="s">
        <v>6</v>
      </c>
      <c r="P92" s="5" t="s">
        <v>6</v>
      </c>
      <c r="Q92" s="5" t="s">
        <v>6</v>
      </c>
      <c r="R92" s="5" t="s">
        <v>6</v>
      </c>
      <c r="S92" s="5" t="s">
        <v>6</v>
      </c>
      <c r="T92" s="5" t="s">
        <v>6</v>
      </c>
      <c r="U92" s="5" t="s">
        <v>6</v>
      </c>
    </row>
    <row r="93" spans="1:21" x14ac:dyDescent="0.25">
      <c r="A93" s="4">
        <v>90</v>
      </c>
      <c r="B93" s="5" t="s">
        <v>6</v>
      </c>
      <c r="C93" s="5">
        <v>943210</v>
      </c>
      <c r="D93" s="5">
        <v>42.7</v>
      </c>
      <c r="E93" s="5">
        <v>1.6</v>
      </c>
      <c r="F93" s="5">
        <v>5.94</v>
      </c>
      <c r="G93" s="5" t="s">
        <v>6</v>
      </c>
      <c r="H93" s="5" t="s">
        <v>6</v>
      </c>
      <c r="I93" s="5" t="s">
        <v>39</v>
      </c>
      <c r="J93" s="5" t="s">
        <v>48</v>
      </c>
      <c r="K93" s="5">
        <v>25000</v>
      </c>
      <c r="L93" s="5" t="s">
        <v>6</v>
      </c>
      <c r="M93" s="5" t="s">
        <v>6</v>
      </c>
      <c r="N93" s="5" t="s">
        <v>6</v>
      </c>
      <c r="O93" s="5" t="s">
        <v>6</v>
      </c>
      <c r="P93" s="5" t="s">
        <v>6</v>
      </c>
      <c r="Q93" s="5" t="s">
        <v>6</v>
      </c>
      <c r="R93" s="5">
        <v>25</v>
      </c>
      <c r="S93" s="5" t="s">
        <v>6</v>
      </c>
      <c r="T93" s="5" t="s">
        <v>6</v>
      </c>
      <c r="U93" s="5" t="s">
        <v>6</v>
      </c>
    </row>
    <row r="94" spans="1:21" x14ac:dyDescent="0.25">
      <c r="A94" s="4">
        <v>91</v>
      </c>
      <c r="B94" s="5" t="s">
        <v>6</v>
      </c>
      <c r="C94" s="5" t="s">
        <v>6</v>
      </c>
      <c r="D94" s="5">
        <v>42.7</v>
      </c>
      <c r="E94" s="5">
        <v>3.5</v>
      </c>
      <c r="F94" s="5">
        <v>6</v>
      </c>
      <c r="G94" s="5">
        <v>20.300999999999998</v>
      </c>
      <c r="H94" s="5" t="s">
        <v>73</v>
      </c>
      <c r="I94" s="5" t="s">
        <v>30</v>
      </c>
      <c r="J94" s="5" t="s">
        <v>48</v>
      </c>
      <c r="K94" s="5">
        <v>0</v>
      </c>
      <c r="L94" s="5" t="s">
        <v>6</v>
      </c>
      <c r="M94" s="5" t="s">
        <v>6</v>
      </c>
      <c r="N94" s="5" t="s">
        <v>6</v>
      </c>
      <c r="O94" s="5" t="s">
        <v>6</v>
      </c>
      <c r="P94" s="5" t="s">
        <v>6</v>
      </c>
      <c r="Q94" s="5" t="s">
        <v>6</v>
      </c>
      <c r="R94" s="5" t="s">
        <v>6</v>
      </c>
      <c r="S94" s="5" t="s">
        <v>6</v>
      </c>
      <c r="T94" s="5" t="s">
        <v>6</v>
      </c>
      <c r="U94" s="5" t="s">
        <v>6</v>
      </c>
    </row>
    <row r="95" spans="1:21" x14ac:dyDescent="0.25">
      <c r="A95" s="4">
        <v>92</v>
      </c>
      <c r="B95" s="5" t="s">
        <v>6</v>
      </c>
      <c r="C95" s="5">
        <v>943209</v>
      </c>
      <c r="D95" s="5">
        <v>42.7</v>
      </c>
      <c r="E95" s="5">
        <v>3.5</v>
      </c>
      <c r="F95" s="5">
        <v>6.05</v>
      </c>
      <c r="G95" s="5">
        <v>20.471</v>
      </c>
      <c r="H95" s="5" t="s">
        <v>73</v>
      </c>
      <c r="I95" s="5" t="s">
        <v>30</v>
      </c>
      <c r="J95" s="5" t="s">
        <v>48</v>
      </c>
      <c r="K95" s="5">
        <v>1500</v>
      </c>
      <c r="L95" s="5" t="s">
        <v>6</v>
      </c>
      <c r="M95" s="5">
        <v>1.5</v>
      </c>
      <c r="N95" s="5" t="s">
        <v>6</v>
      </c>
      <c r="O95" s="5" t="s">
        <v>6</v>
      </c>
      <c r="P95" s="5" t="s">
        <v>6</v>
      </c>
      <c r="Q95" s="5" t="s">
        <v>6</v>
      </c>
      <c r="R95" s="5" t="s">
        <v>6</v>
      </c>
      <c r="S95" s="5" t="s">
        <v>6</v>
      </c>
      <c r="T95" s="5" t="s">
        <v>6</v>
      </c>
      <c r="U95" s="5" t="s">
        <v>6</v>
      </c>
    </row>
    <row r="96" spans="1:21" x14ac:dyDescent="0.25">
      <c r="A96" s="4">
        <v>93</v>
      </c>
      <c r="B96" s="5" t="s">
        <v>6</v>
      </c>
      <c r="C96" s="5">
        <v>943209</v>
      </c>
      <c r="D96" s="5">
        <v>42.7</v>
      </c>
      <c r="E96" s="5">
        <v>4</v>
      </c>
      <c r="F96" s="5">
        <v>5.5</v>
      </c>
      <c r="G96" s="5">
        <v>20.997</v>
      </c>
      <c r="H96" s="5" t="s">
        <v>74</v>
      </c>
      <c r="I96" s="5" t="s">
        <v>30</v>
      </c>
      <c r="J96" s="5" t="s">
        <v>48</v>
      </c>
      <c r="K96" s="5">
        <v>38000</v>
      </c>
      <c r="L96" s="5">
        <v>25</v>
      </c>
      <c r="M96" s="5">
        <v>10</v>
      </c>
      <c r="N96" s="5" t="s">
        <v>6</v>
      </c>
      <c r="O96" s="5">
        <v>3</v>
      </c>
      <c r="P96" s="5" t="s">
        <v>6</v>
      </c>
      <c r="Q96" s="5" t="s">
        <v>6</v>
      </c>
      <c r="R96" s="5" t="s">
        <v>6</v>
      </c>
      <c r="S96" s="5" t="s">
        <v>6</v>
      </c>
      <c r="T96" s="5" t="s">
        <v>6</v>
      </c>
      <c r="U96" s="5" t="s">
        <v>6</v>
      </c>
    </row>
    <row r="97" spans="1:21" x14ac:dyDescent="0.25">
      <c r="A97" s="4">
        <v>94</v>
      </c>
      <c r="B97" s="5" t="s">
        <v>75</v>
      </c>
      <c r="C97" s="5">
        <v>943209</v>
      </c>
      <c r="D97" s="5">
        <v>44.45</v>
      </c>
      <c r="E97" s="5">
        <v>1.6</v>
      </c>
      <c r="F97" s="5">
        <v>5.9</v>
      </c>
      <c r="G97" s="5">
        <v>10.02</v>
      </c>
      <c r="H97" s="5" t="s">
        <v>76</v>
      </c>
      <c r="I97" s="5" t="s">
        <v>30</v>
      </c>
      <c r="J97" s="5" t="s">
        <v>48</v>
      </c>
      <c r="K97" s="5">
        <v>15000</v>
      </c>
      <c r="L97" s="5" t="s">
        <v>6</v>
      </c>
      <c r="M97" s="5">
        <v>15</v>
      </c>
      <c r="N97" s="5" t="s">
        <v>6</v>
      </c>
      <c r="O97" s="5" t="s">
        <v>6</v>
      </c>
      <c r="P97" s="5" t="s">
        <v>6</v>
      </c>
      <c r="Q97" s="5" t="s">
        <v>6</v>
      </c>
      <c r="R97" s="5" t="s">
        <v>6</v>
      </c>
      <c r="S97" s="5" t="s">
        <v>6</v>
      </c>
      <c r="T97" s="5" t="s">
        <v>6</v>
      </c>
      <c r="U97" s="5" t="s">
        <v>6</v>
      </c>
    </row>
    <row r="98" spans="1:21" x14ac:dyDescent="0.25">
      <c r="A98" s="4">
        <v>95</v>
      </c>
      <c r="B98" s="5" t="s">
        <v>75</v>
      </c>
      <c r="C98" s="5">
        <v>943209</v>
      </c>
      <c r="D98" s="5">
        <v>44.45</v>
      </c>
      <c r="E98" s="5">
        <v>1.6</v>
      </c>
      <c r="F98" s="5">
        <v>6.23</v>
      </c>
      <c r="G98" s="5">
        <v>10.53</v>
      </c>
      <c r="H98" s="5" t="s">
        <v>76</v>
      </c>
      <c r="I98" s="5" t="s">
        <v>30</v>
      </c>
      <c r="J98" s="5" t="s">
        <v>48</v>
      </c>
      <c r="K98" s="5">
        <v>0</v>
      </c>
      <c r="L98" s="5" t="s">
        <v>6</v>
      </c>
      <c r="M98" s="5" t="s">
        <v>6</v>
      </c>
      <c r="N98" s="5" t="s">
        <v>6</v>
      </c>
      <c r="O98" s="5" t="s">
        <v>6</v>
      </c>
      <c r="P98" s="5" t="s">
        <v>6</v>
      </c>
      <c r="Q98" s="5" t="s">
        <v>6</v>
      </c>
      <c r="R98" s="5" t="s">
        <v>6</v>
      </c>
      <c r="S98" s="5" t="s">
        <v>6</v>
      </c>
      <c r="T98" s="5" t="s">
        <v>6</v>
      </c>
      <c r="U98" s="5" t="s">
        <v>6</v>
      </c>
    </row>
    <row r="99" spans="1:21" x14ac:dyDescent="0.25">
      <c r="A99" s="4">
        <v>96</v>
      </c>
      <c r="B99" s="5" t="s">
        <v>6</v>
      </c>
      <c r="C99" s="5">
        <v>943210</v>
      </c>
      <c r="D99" s="5">
        <v>45</v>
      </c>
      <c r="E99" s="5">
        <v>1.4</v>
      </c>
      <c r="F99" s="5">
        <v>5.7</v>
      </c>
      <c r="G99" s="5">
        <v>8.58</v>
      </c>
      <c r="H99" s="5" t="s">
        <v>6</v>
      </c>
      <c r="I99" s="5" t="s">
        <v>30</v>
      </c>
      <c r="J99" s="5" t="s">
        <v>48</v>
      </c>
      <c r="K99" s="5">
        <v>5000</v>
      </c>
      <c r="L99" s="5" t="s">
        <v>6</v>
      </c>
      <c r="M99" s="5" t="s">
        <v>6</v>
      </c>
      <c r="N99" s="5" t="s">
        <v>6</v>
      </c>
      <c r="O99" s="5" t="s">
        <v>6</v>
      </c>
      <c r="P99" s="5" t="s">
        <v>6</v>
      </c>
      <c r="Q99" s="5" t="s">
        <v>6</v>
      </c>
      <c r="R99" s="5" t="s">
        <v>6</v>
      </c>
      <c r="S99" s="5" t="s">
        <v>6</v>
      </c>
      <c r="T99" s="5" t="s">
        <v>6</v>
      </c>
      <c r="U99" s="5">
        <v>5</v>
      </c>
    </row>
    <row r="100" spans="1:21" x14ac:dyDescent="0.25">
      <c r="A100" s="4">
        <v>97</v>
      </c>
      <c r="B100" s="5" t="s">
        <v>6</v>
      </c>
      <c r="C100" s="5">
        <v>943210</v>
      </c>
      <c r="D100" s="5">
        <v>45</v>
      </c>
      <c r="E100" s="5">
        <v>1.4</v>
      </c>
      <c r="F100" s="5">
        <v>6.4</v>
      </c>
      <c r="G100" s="5">
        <v>9.6340000000000003</v>
      </c>
      <c r="H100" s="5" t="s">
        <v>6</v>
      </c>
      <c r="I100" s="5" t="s">
        <v>39</v>
      </c>
      <c r="J100" s="5" t="s">
        <v>48</v>
      </c>
      <c r="K100" s="5">
        <v>24000</v>
      </c>
      <c r="L100" s="5" t="s">
        <v>6</v>
      </c>
      <c r="M100" s="5" t="s">
        <v>6</v>
      </c>
      <c r="N100" s="5" t="s">
        <v>6</v>
      </c>
      <c r="O100" s="5" t="s">
        <v>6</v>
      </c>
      <c r="P100" s="5" t="s">
        <v>6</v>
      </c>
      <c r="Q100" s="5" t="s">
        <v>6</v>
      </c>
      <c r="R100" s="5" t="s">
        <v>6</v>
      </c>
      <c r="S100" s="5" t="s">
        <v>6</v>
      </c>
      <c r="T100" s="5" t="s">
        <v>6</v>
      </c>
      <c r="U100" s="5">
        <v>24</v>
      </c>
    </row>
    <row r="101" spans="1:21" x14ac:dyDescent="0.25">
      <c r="A101" s="4">
        <v>98</v>
      </c>
      <c r="B101" s="5" t="s">
        <v>6</v>
      </c>
      <c r="C101" s="5" t="s">
        <v>6</v>
      </c>
      <c r="D101" s="5">
        <v>45</v>
      </c>
      <c r="E101" s="5">
        <v>1.4</v>
      </c>
      <c r="F101" s="5">
        <v>6.46</v>
      </c>
      <c r="G101" s="5">
        <v>9.7240000000000002</v>
      </c>
      <c r="H101" s="5" t="s">
        <v>6</v>
      </c>
      <c r="I101" s="5" t="s">
        <v>39</v>
      </c>
      <c r="J101" s="5" t="s">
        <v>48</v>
      </c>
      <c r="K101" s="5">
        <v>0</v>
      </c>
      <c r="L101" s="5" t="s">
        <v>6</v>
      </c>
      <c r="M101" s="5" t="s">
        <v>6</v>
      </c>
      <c r="N101" s="5" t="s">
        <v>6</v>
      </c>
      <c r="O101" s="5" t="s">
        <v>6</v>
      </c>
      <c r="P101" s="5" t="s">
        <v>6</v>
      </c>
      <c r="Q101" s="5" t="s">
        <v>6</v>
      </c>
      <c r="R101" s="5" t="s">
        <v>6</v>
      </c>
      <c r="S101" s="5" t="s">
        <v>6</v>
      </c>
      <c r="T101" s="5" t="s">
        <v>6</v>
      </c>
      <c r="U101" s="5" t="s">
        <v>6</v>
      </c>
    </row>
    <row r="102" spans="1:21" x14ac:dyDescent="0.25">
      <c r="A102" s="4">
        <v>99</v>
      </c>
      <c r="B102" s="5" t="s">
        <v>6</v>
      </c>
      <c r="C102" s="5">
        <v>943210</v>
      </c>
      <c r="D102" s="5">
        <v>45</v>
      </c>
      <c r="E102" s="5">
        <v>1.6</v>
      </c>
      <c r="F102" s="5">
        <v>6.4</v>
      </c>
      <c r="G102" s="5">
        <v>10.96</v>
      </c>
      <c r="H102" s="5" t="s">
        <v>6</v>
      </c>
      <c r="I102" s="5" t="s">
        <v>39</v>
      </c>
      <c r="J102" s="5" t="s">
        <v>48</v>
      </c>
      <c r="K102" s="5">
        <v>28000</v>
      </c>
      <c r="L102" s="5" t="s">
        <v>6</v>
      </c>
      <c r="M102" s="5" t="s">
        <v>6</v>
      </c>
      <c r="N102" s="5" t="s">
        <v>6</v>
      </c>
      <c r="O102" s="5" t="s">
        <v>6</v>
      </c>
      <c r="P102" s="5" t="s">
        <v>6</v>
      </c>
      <c r="Q102" s="5" t="s">
        <v>6</v>
      </c>
      <c r="R102" s="5" t="s">
        <v>6</v>
      </c>
      <c r="S102" s="5" t="s">
        <v>6</v>
      </c>
      <c r="T102" s="5" t="s">
        <v>6</v>
      </c>
      <c r="U102" s="5">
        <v>28</v>
      </c>
    </row>
    <row r="103" spans="1:21" x14ac:dyDescent="0.25">
      <c r="A103" s="4">
        <v>100</v>
      </c>
      <c r="B103" s="5" t="s">
        <v>6</v>
      </c>
      <c r="C103" s="5" t="s">
        <v>6</v>
      </c>
      <c r="D103" s="5">
        <v>45</v>
      </c>
      <c r="E103" s="5">
        <v>3.5</v>
      </c>
      <c r="F103" s="5">
        <v>6.1</v>
      </c>
      <c r="G103" s="5">
        <v>10.96</v>
      </c>
      <c r="H103" s="5" t="s">
        <v>6</v>
      </c>
      <c r="I103" s="5" t="s">
        <v>56</v>
      </c>
      <c r="J103" s="5" t="s">
        <v>48</v>
      </c>
      <c r="K103" s="5">
        <v>0</v>
      </c>
      <c r="L103" s="5" t="s">
        <v>6</v>
      </c>
      <c r="M103" s="5" t="s">
        <v>6</v>
      </c>
      <c r="N103" s="5" t="s">
        <v>6</v>
      </c>
      <c r="O103" s="5" t="s">
        <v>6</v>
      </c>
      <c r="P103" s="5" t="s">
        <v>6</v>
      </c>
      <c r="Q103" s="5" t="s">
        <v>6</v>
      </c>
      <c r="R103" s="5" t="s">
        <v>6</v>
      </c>
      <c r="S103" s="5" t="s">
        <v>6</v>
      </c>
      <c r="T103" s="5" t="s">
        <v>6</v>
      </c>
      <c r="U103" s="5" t="s">
        <v>6</v>
      </c>
    </row>
    <row r="104" spans="1:21" x14ac:dyDescent="0.25">
      <c r="A104" s="4">
        <v>101</v>
      </c>
      <c r="B104" s="5" t="s">
        <v>6</v>
      </c>
      <c r="C104" s="5" t="s">
        <v>6</v>
      </c>
      <c r="D104" s="5">
        <v>47.63</v>
      </c>
      <c r="E104" s="5">
        <v>4</v>
      </c>
      <c r="F104" s="5">
        <v>6</v>
      </c>
      <c r="G104" s="5">
        <v>25.824000000000002</v>
      </c>
      <c r="H104" s="5" t="s">
        <v>6</v>
      </c>
      <c r="I104" s="5" t="s">
        <v>56</v>
      </c>
      <c r="J104" s="5" t="s">
        <v>48</v>
      </c>
      <c r="K104" s="5">
        <v>10000</v>
      </c>
      <c r="L104" s="5" t="s">
        <v>6</v>
      </c>
      <c r="M104" s="5" t="s">
        <v>6</v>
      </c>
      <c r="N104" s="5" t="s">
        <v>6</v>
      </c>
      <c r="O104" s="5" t="s">
        <v>6</v>
      </c>
      <c r="P104" s="5" t="s">
        <v>6</v>
      </c>
      <c r="Q104" s="5" t="s">
        <v>6</v>
      </c>
      <c r="R104" s="5" t="s">
        <v>6</v>
      </c>
      <c r="S104" s="5" t="s">
        <v>6</v>
      </c>
      <c r="T104" s="5">
        <v>10</v>
      </c>
      <c r="U104" s="5" t="s">
        <v>6</v>
      </c>
    </row>
    <row r="105" spans="1:21" x14ac:dyDescent="0.25">
      <c r="A105" s="4">
        <v>102</v>
      </c>
      <c r="B105" s="5" t="s">
        <v>6</v>
      </c>
      <c r="C105" s="5">
        <v>943211</v>
      </c>
      <c r="D105" s="5">
        <v>48</v>
      </c>
      <c r="E105" s="5">
        <v>1.2</v>
      </c>
      <c r="F105" s="5">
        <v>5.55</v>
      </c>
      <c r="G105" s="5" t="s">
        <v>6</v>
      </c>
      <c r="H105" s="5" t="s">
        <v>6</v>
      </c>
      <c r="I105" s="5" t="s">
        <v>30</v>
      </c>
      <c r="J105" s="5" t="s">
        <v>48</v>
      </c>
      <c r="K105" s="5">
        <v>20000</v>
      </c>
      <c r="L105" s="5" t="s">
        <v>6</v>
      </c>
      <c r="M105" s="5" t="s">
        <v>6</v>
      </c>
      <c r="N105" s="5" t="s">
        <v>6</v>
      </c>
      <c r="O105" s="5" t="s">
        <v>6</v>
      </c>
      <c r="P105" s="5" t="s">
        <v>6</v>
      </c>
      <c r="Q105" s="5" t="s">
        <v>6</v>
      </c>
      <c r="R105" s="5" t="s">
        <v>6</v>
      </c>
      <c r="S105" s="5">
        <v>15</v>
      </c>
      <c r="T105" s="5">
        <v>5</v>
      </c>
      <c r="U105" s="5" t="s">
        <v>6</v>
      </c>
    </row>
    <row r="106" spans="1:21" x14ac:dyDescent="0.25">
      <c r="A106" s="4">
        <v>103</v>
      </c>
      <c r="B106" s="5" t="s">
        <v>6</v>
      </c>
      <c r="C106" s="5">
        <v>943211</v>
      </c>
      <c r="D106" s="5">
        <v>48</v>
      </c>
      <c r="E106" s="5">
        <v>1.2</v>
      </c>
      <c r="F106" s="5">
        <v>5.67</v>
      </c>
      <c r="G106" s="5" t="s">
        <v>6</v>
      </c>
      <c r="H106" s="5" t="s">
        <v>6</v>
      </c>
      <c r="I106" s="5" t="s">
        <v>30</v>
      </c>
      <c r="J106" s="5" t="s">
        <v>48</v>
      </c>
      <c r="K106" s="5">
        <v>18000</v>
      </c>
      <c r="L106" s="5" t="s">
        <v>6</v>
      </c>
      <c r="M106" s="5" t="s">
        <v>6</v>
      </c>
      <c r="N106" s="5" t="s">
        <v>6</v>
      </c>
      <c r="O106" s="5" t="s">
        <v>6</v>
      </c>
      <c r="P106" s="5" t="s">
        <v>6</v>
      </c>
      <c r="Q106" s="5" t="s">
        <v>6</v>
      </c>
      <c r="R106" s="5" t="s">
        <v>6</v>
      </c>
      <c r="S106" s="5">
        <v>18</v>
      </c>
      <c r="T106" s="5" t="s">
        <v>6</v>
      </c>
      <c r="U106" s="5" t="s">
        <v>6</v>
      </c>
    </row>
    <row r="107" spans="1:21" x14ac:dyDescent="0.25">
      <c r="A107" s="4">
        <v>104</v>
      </c>
      <c r="B107" s="5" t="s">
        <v>6</v>
      </c>
      <c r="C107" s="5">
        <v>943211</v>
      </c>
      <c r="D107" s="5">
        <v>48</v>
      </c>
      <c r="E107" s="5">
        <v>1.2</v>
      </c>
      <c r="F107" s="5">
        <v>5.2850000000000001</v>
      </c>
      <c r="G107" s="5">
        <v>25.824000000000002</v>
      </c>
      <c r="H107" s="5" t="s">
        <v>6</v>
      </c>
      <c r="I107" s="5" t="s">
        <v>30</v>
      </c>
      <c r="J107" s="5" t="s">
        <v>48</v>
      </c>
      <c r="K107" s="5">
        <v>48000</v>
      </c>
      <c r="L107" s="5" t="s">
        <v>6</v>
      </c>
      <c r="M107" s="5" t="s">
        <v>6</v>
      </c>
      <c r="N107" s="5" t="s">
        <v>6</v>
      </c>
      <c r="O107" s="5" t="s">
        <v>6</v>
      </c>
      <c r="P107" s="5" t="s">
        <v>6</v>
      </c>
      <c r="Q107" s="5" t="s">
        <v>6</v>
      </c>
      <c r="R107" s="5" t="s">
        <v>6</v>
      </c>
      <c r="S107" s="5">
        <v>27</v>
      </c>
      <c r="T107" s="5">
        <v>21</v>
      </c>
      <c r="U107" s="5" t="s">
        <v>6</v>
      </c>
    </row>
    <row r="108" spans="1:21" x14ac:dyDescent="0.25">
      <c r="A108" s="4">
        <v>105</v>
      </c>
      <c r="B108" s="5" t="s">
        <v>77</v>
      </c>
      <c r="C108" s="5">
        <v>943211</v>
      </c>
      <c r="D108" s="5">
        <v>48.6</v>
      </c>
      <c r="E108" s="5">
        <v>1.6</v>
      </c>
      <c r="F108" s="5">
        <v>5.81</v>
      </c>
      <c r="G108" s="5">
        <v>10.92</v>
      </c>
      <c r="H108" s="5" t="s">
        <v>78</v>
      </c>
      <c r="I108" s="5" t="s">
        <v>30</v>
      </c>
      <c r="J108" s="5" t="s">
        <v>48</v>
      </c>
      <c r="K108" s="5">
        <v>0</v>
      </c>
      <c r="L108" s="5" t="s">
        <v>6</v>
      </c>
      <c r="M108" s="5" t="s">
        <v>6</v>
      </c>
      <c r="N108" s="5" t="s">
        <v>6</v>
      </c>
      <c r="O108" s="5" t="s">
        <v>6</v>
      </c>
      <c r="P108" s="5" t="s">
        <v>6</v>
      </c>
      <c r="Q108" s="5" t="s">
        <v>6</v>
      </c>
      <c r="R108" s="5" t="s">
        <v>6</v>
      </c>
      <c r="S108" s="5" t="s">
        <v>6</v>
      </c>
      <c r="T108" s="5" t="s">
        <v>6</v>
      </c>
      <c r="U108" s="5" t="s">
        <v>6</v>
      </c>
    </row>
    <row r="109" spans="1:21" x14ac:dyDescent="0.25">
      <c r="A109" s="4">
        <v>106</v>
      </c>
      <c r="B109" s="5" t="s">
        <v>77</v>
      </c>
      <c r="C109" s="5">
        <v>943209</v>
      </c>
      <c r="D109" s="5">
        <v>48.6</v>
      </c>
      <c r="E109" s="5">
        <v>1.6</v>
      </c>
      <c r="F109" s="5">
        <v>6</v>
      </c>
      <c r="G109" s="5">
        <v>11.12</v>
      </c>
      <c r="H109" s="5" t="s">
        <v>78</v>
      </c>
      <c r="I109" s="5" t="s">
        <v>30</v>
      </c>
      <c r="J109" s="5" t="s">
        <v>48</v>
      </c>
      <c r="K109" s="5">
        <v>1000</v>
      </c>
      <c r="L109" s="5">
        <v>1</v>
      </c>
      <c r="M109" s="5" t="s">
        <v>6</v>
      </c>
      <c r="N109" s="5" t="s">
        <v>6</v>
      </c>
      <c r="O109" s="5" t="s">
        <v>6</v>
      </c>
      <c r="P109" s="5" t="s">
        <v>6</v>
      </c>
      <c r="Q109" s="5" t="s">
        <v>6</v>
      </c>
      <c r="R109" s="5" t="s">
        <v>6</v>
      </c>
      <c r="S109" s="5" t="s">
        <v>6</v>
      </c>
      <c r="T109" s="5" t="s">
        <v>6</v>
      </c>
      <c r="U109" s="5" t="s">
        <v>6</v>
      </c>
    </row>
    <row r="110" spans="1:21" x14ac:dyDescent="0.25">
      <c r="A110" s="4">
        <v>107</v>
      </c>
      <c r="B110" s="5" t="s">
        <v>6</v>
      </c>
      <c r="C110" s="5">
        <v>943210</v>
      </c>
      <c r="D110" s="5">
        <v>48.6</v>
      </c>
      <c r="E110" s="5">
        <v>2</v>
      </c>
      <c r="F110" s="5">
        <v>6.01</v>
      </c>
      <c r="G110" s="5">
        <v>14.411</v>
      </c>
      <c r="H110" s="5" t="s">
        <v>6</v>
      </c>
      <c r="I110" s="5" t="s">
        <v>39</v>
      </c>
      <c r="J110" s="5" t="s">
        <v>48</v>
      </c>
      <c r="K110" s="5">
        <v>0</v>
      </c>
      <c r="L110" s="5" t="s">
        <v>6</v>
      </c>
      <c r="M110" s="5" t="s">
        <v>6</v>
      </c>
      <c r="N110" s="5" t="s">
        <v>6</v>
      </c>
      <c r="O110" s="5" t="s">
        <v>6</v>
      </c>
      <c r="P110" s="5" t="s">
        <v>6</v>
      </c>
      <c r="Q110" s="5" t="s">
        <v>6</v>
      </c>
      <c r="R110" s="5" t="s">
        <v>6</v>
      </c>
      <c r="S110" s="5" t="s">
        <v>6</v>
      </c>
      <c r="T110" s="5" t="s">
        <v>6</v>
      </c>
      <c r="U110" s="5" t="s">
        <v>6</v>
      </c>
    </row>
    <row r="111" spans="1:21" x14ac:dyDescent="0.25">
      <c r="A111" s="4">
        <v>108</v>
      </c>
      <c r="B111" s="5" t="s">
        <v>6</v>
      </c>
      <c r="C111" s="5" t="s">
        <v>6</v>
      </c>
      <c r="D111" s="5">
        <v>48.6</v>
      </c>
      <c r="E111" s="5">
        <v>2</v>
      </c>
      <c r="F111" s="5">
        <v>6.27</v>
      </c>
      <c r="G111" s="5" t="s">
        <v>6</v>
      </c>
      <c r="H111" s="5" t="s">
        <v>6</v>
      </c>
      <c r="I111" s="5" t="s">
        <v>6</v>
      </c>
      <c r="J111" s="5" t="s">
        <v>6</v>
      </c>
      <c r="K111" s="5">
        <v>12000</v>
      </c>
      <c r="L111" s="5" t="s">
        <v>6</v>
      </c>
      <c r="M111" s="5" t="s">
        <v>6</v>
      </c>
      <c r="N111" s="5" t="s">
        <v>6</v>
      </c>
      <c r="O111" s="5" t="s">
        <v>6</v>
      </c>
      <c r="P111" s="5" t="s">
        <v>6</v>
      </c>
      <c r="Q111" s="5" t="s">
        <v>6</v>
      </c>
      <c r="R111" s="5" t="s">
        <v>6</v>
      </c>
      <c r="S111" s="5" t="s">
        <v>6</v>
      </c>
      <c r="T111" s="5" t="s">
        <v>6</v>
      </c>
      <c r="U111" s="5">
        <v>12</v>
      </c>
    </row>
    <row r="112" spans="1:21" x14ac:dyDescent="0.25">
      <c r="A112" s="4">
        <v>109</v>
      </c>
      <c r="B112" s="5" t="s">
        <v>6</v>
      </c>
      <c r="C112" s="5" t="s">
        <v>6</v>
      </c>
      <c r="D112" s="5">
        <v>48.6</v>
      </c>
      <c r="E112" s="5">
        <v>2.2999999999999998</v>
      </c>
      <c r="F112" s="5">
        <v>6.55</v>
      </c>
      <c r="G112" s="5">
        <v>15.055</v>
      </c>
      <c r="H112" s="5" t="s">
        <v>6</v>
      </c>
      <c r="I112" s="5" t="s">
        <v>39</v>
      </c>
      <c r="J112" s="5" t="s">
        <v>48</v>
      </c>
      <c r="K112" s="5">
        <v>0</v>
      </c>
      <c r="L112" s="5" t="s">
        <v>6</v>
      </c>
      <c r="M112" s="5" t="s">
        <v>6</v>
      </c>
      <c r="N112" s="5" t="s">
        <v>6</v>
      </c>
      <c r="O112" s="5" t="s">
        <v>6</v>
      </c>
      <c r="P112" s="5" t="s">
        <v>6</v>
      </c>
      <c r="Q112" s="5" t="s">
        <v>6</v>
      </c>
      <c r="R112" s="5" t="s">
        <v>6</v>
      </c>
      <c r="S112" s="5" t="s">
        <v>6</v>
      </c>
      <c r="T112" s="5" t="s">
        <v>6</v>
      </c>
      <c r="U112" s="5" t="s">
        <v>6</v>
      </c>
    </row>
    <row r="113" spans="1:21" x14ac:dyDescent="0.25">
      <c r="A113" s="4">
        <v>110</v>
      </c>
      <c r="B113" s="5" t="s">
        <v>6</v>
      </c>
      <c r="C113" s="5" t="s">
        <v>6</v>
      </c>
      <c r="D113" s="5">
        <v>48.6</v>
      </c>
      <c r="E113" s="5">
        <v>2.2999999999999998</v>
      </c>
      <c r="F113" s="5">
        <v>6.01</v>
      </c>
      <c r="G113" s="5">
        <v>15.782999999999999</v>
      </c>
      <c r="H113" s="5" t="s">
        <v>6</v>
      </c>
      <c r="I113" s="5" t="s">
        <v>30</v>
      </c>
      <c r="J113" s="5" t="s">
        <v>48</v>
      </c>
      <c r="K113" s="5">
        <v>0</v>
      </c>
      <c r="L113" s="5" t="s">
        <v>6</v>
      </c>
      <c r="M113" s="5" t="s">
        <v>6</v>
      </c>
      <c r="N113" s="5" t="s">
        <v>6</v>
      </c>
      <c r="O113" s="5" t="s">
        <v>6</v>
      </c>
      <c r="P113" s="5" t="s">
        <v>6</v>
      </c>
      <c r="Q113" s="5" t="s">
        <v>6</v>
      </c>
      <c r="R113" s="5" t="s">
        <v>6</v>
      </c>
      <c r="S113" s="5" t="s">
        <v>6</v>
      </c>
      <c r="T113" s="5" t="s">
        <v>6</v>
      </c>
      <c r="U113" s="5" t="s">
        <v>6</v>
      </c>
    </row>
    <row r="114" spans="1:21" x14ac:dyDescent="0.25">
      <c r="A114" s="4">
        <v>111</v>
      </c>
      <c r="B114" s="5" t="s">
        <v>6</v>
      </c>
      <c r="C114" s="5">
        <v>943210</v>
      </c>
      <c r="D114" s="5">
        <v>48.6</v>
      </c>
      <c r="E114" s="5">
        <v>2.2999999999999998</v>
      </c>
      <c r="F114" s="5">
        <v>6.27</v>
      </c>
      <c r="G114" s="5">
        <v>16.466000000000001</v>
      </c>
      <c r="H114" s="5" t="s">
        <v>6</v>
      </c>
      <c r="I114" s="5" t="s">
        <v>39</v>
      </c>
      <c r="J114" s="5" t="s">
        <v>48</v>
      </c>
      <c r="K114" s="5">
        <v>13000</v>
      </c>
      <c r="L114" s="5" t="s">
        <v>6</v>
      </c>
      <c r="M114" s="5" t="s">
        <v>6</v>
      </c>
      <c r="N114" s="5" t="s">
        <v>6</v>
      </c>
      <c r="O114" s="5" t="s">
        <v>6</v>
      </c>
      <c r="P114" s="5" t="s">
        <v>6</v>
      </c>
      <c r="Q114" s="5" t="s">
        <v>6</v>
      </c>
      <c r="R114" s="5" t="s">
        <v>6</v>
      </c>
      <c r="S114" s="5" t="s">
        <v>6</v>
      </c>
      <c r="T114" s="5" t="s">
        <v>6</v>
      </c>
      <c r="U114" s="5">
        <v>13</v>
      </c>
    </row>
    <row r="115" spans="1:21" x14ac:dyDescent="0.25">
      <c r="A115" s="4">
        <v>112</v>
      </c>
      <c r="B115" s="5" t="s">
        <v>6</v>
      </c>
      <c r="C115" s="5" t="s">
        <v>6</v>
      </c>
      <c r="D115" s="5">
        <v>48.6</v>
      </c>
      <c r="E115" s="5">
        <v>3.5</v>
      </c>
      <c r="F115" s="5">
        <v>4.6500000000000004</v>
      </c>
      <c r="G115" s="5">
        <v>18.102</v>
      </c>
      <c r="H115" s="5" t="s">
        <v>79</v>
      </c>
      <c r="I115" s="5" t="s">
        <v>30</v>
      </c>
      <c r="J115" s="5" t="s">
        <v>48</v>
      </c>
      <c r="K115" s="5">
        <v>0</v>
      </c>
      <c r="L115" s="5" t="s">
        <v>6</v>
      </c>
      <c r="M115" s="5" t="s">
        <v>6</v>
      </c>
      <c r="N115" s="5" t="s">
        <v>6</v>
      </c>
      <c r="O115" s="5" t="s">
        <v>6</v>
      </c>
      <c r="P115" s="5" t="s">
        <v>6</v>
      </c>
      <c r="Q115" s="5" t="s">
        <v>6</v>
      </c>
      <c r="R115" s="5" t="s">
        <v>6</v>
      </c>
      <c r="S115" s="5" t="s">
        <v>6</v>
      </c>
      <c r="T115" s="5" t="s">
        <v>6</v>
      </c>
      <c r="U115" s="5" t="s">
        <v>6</v>
      </c>
    </row>
    <row r="116" spans="1:21" x14ac:dyDescent="0.25">
      <c r="A116" s="4">
        <v>113</v>
      </c>
      <c r="B116" s="5" t="s">
        <v>6</v>
      </c>
      <c r="C116" s="5">
        <v>943209</v>
      </c>
      <c r="D116" s="5">
        <v>48.6</v>
      </c>
      <c r="E116" s="5">
        <v>3.5</v>
      </c>
      <c r="F116" s="5">
        <v>6.05</v>
      </c>
      <c r="G116" s="5">
        <v>23.356999999999999</v>
      </c>
      <c r="H116" s="5" t="s">
        <v>79</v>
      </c>
      <c r="I116" s="5" t="s">
        <v>30</v>
      </c>
      <c r="J116" s="5" t="s">
        <v>48</v>
      </c>
      <c r="K116" s="5">
        <v>20000</v>
      </c>
      <c r="L116" s="5">
        <v>10</v>
      </c>
      <c r="M116" s="5" t="s">
        <v>6</v>
      </c>
      <c r="N116" s="5" t="s">
        <v>6</v>
      </c>
      <c r="O116" s="5" t="s">
        <v>6</v>
      </c>
      <c r="P116" s="5" t="s">
        <v>6</v>
      </c>
      <c r="Q116" s="5" t="s">
        <v>6</v>
      </c>
      <c r="R116" s="5" t="s">
        <v>6</v>
      </c>
      <c r="S116" s="5" t="s">
        <v>6</v>
      </c>
      <c r="T116" s="5" t="s">
        <v>6</v>
      </c>
      <c r="U116" s="5">
        <v>10</v>
      </c>
    </row>
    <row r="117" spans="1:21" x14ac:dyDescent="0.25">
      <c r="A117" s="4">
        <v>114</v>
      </c>
      <c r="B117" s="5" t="s">
        <v>6</v>
      </c>
      <c r="C117" s="5" t="s">
        <v>6</v>
      </c>
      <c r="D117" s="5">
        <v>50.8</v>
      </c>
      <c r="E117" s="5">
        <v>2.6</v>
      </c>
      <c r="F117" s="5">
        <v>5.94</v>
      </c>
      <c r="G117" s="5">
        <v>18.542999999999999</v>
      </c>
      <c r="H117" s="5" t="s">
        <v>6</v>
      </c>
      <c r="I117" s="5" t="s">
        <v>30</v>
      </c>
      <c r="J117" s="5" t="s">
        <v>48</v>
      </c>
      <c r="K117" s="5">
        <v>0</v>
      </c>
      <c r="L117" s="5" t="s">
        <v>6</v>
      </c>
      <c r="M117" s="5" t="s">
        <v>6</v>
      </c>
      <c r="N117" s="5" t="s">
        <v>6</v>
      </c>
      <c r="O117" s="5" t="s">
        <v>6</v>
      </c>
      <c r="P117" s="5" t="s">
        <v>6</v>
      </c>
      <c r="Q117" s="5" t="s">
        <v>6</v>
      </c>
      <c r="R117" s="5" t="s">
        <v>6</v>
      </c>
      <c r="S117" s="5" t="s">
        <v>6</v>
      </c>
      <c r="T117" s="5" t="s">
        <v>6</v>
      </c>
      <c r="U117" s="5" t="s">
        <v>6</v>
      </c>
    </row>
    <row r="118" spans="1:21" x14ac:dyDescent="0.25">
      <c r="A118" s="4">
        <v>115</v>
      </c>
      <c r="B118" s="5" t="s">
        <v>6</v>
      </c>
      <c r="C118" s="5">
        <v>943211</v>
      </c>
      <c r="D118" s="5">
        <v>50.8</v>
      </c>
      <c r="E118" s="5">
        <v>2.6</v>
      </c>
      <c r="F118" s="5">
        <v>6</v>
      </c>
      <c r="G118" s="5">
        <v>18.542999999999999</v>
      </c>
      <c r="H118" s="5" t="s">
        <v>6</v>
      </c>
      <c r="I118" s="5" t="s">
        <v>30</v>
      </c>
      <c r="J118" s="5" t="s">
        <v>48</v>
      </c>
      <c r="K118" s="5">
        <v>5000</v>
      </c>
      <c r="L118" s="5" t="s">
        <v>6</v>
      </c>
      <c r="M118" s="5" t="s">
        <v>6</v>
      </c>
      <c r="N118" s="5" t="s">
        <v>6</v>
      </c>
      <c r="O118" s="5" t="s">
        <v>6</v>
      </c>
      <c r="P118" s="5" t="s">
        <v>6</v>
      </c>
      <c r="Q118" s="5" t="s">
        <v>6</v>
      </c>
      <c r="R118" s="5" t="s">
        <v>6</v>
      </c>
      <c r="S118" s="5" t="s">
        <v>6</v>
      </c>
      <c r="T118" s="5">
        <v>5</v>
      </c>
      <c r="U118" s="5" t="s">
        <v>6</v>
      </c>
    </row>
    <row r="119" spans="1:21" x14ac:dyDescent="0.25">
      <c r="A119" s="4">
        <v>116</v>
      </c>
      <c r="B119" s="5" t="s">
        <v>6</v>
      </c>
      <c r="C119" s="5">
        <v>943209</v>
      </c>
      <c r="D119" s="5">
        <v>54</v>
      </c>
      <c r="E119" s="5">
        <v>3</v>
      </c>
      <c r="F119" s="5">
        <v>5.91</v>
      </c>
      <c r="G119" s="5">
        <v>21.847000000000001</v>
      </c>
      <c r="H119" s="5" t="s">
        <v>80</v>
      </c>
      <c r="I119" s="5" t="s">
        <v>65</v>
      </c>
      <c r="J119" s="5" t="s">
        <v>48</v>
      </c>
      <c r="K119" s="5">
        <v>20000</v>
      </c>
      <c r="L119" s="5" t="s">
        <v>6</v>
      </c>
      <c r="M119" s="5">
        <v>20</v>
      </c>
      <c r="N119" s="5" t="s">
        <v>6</v>
      </c>
      <c r="O119" s="5" t="s">
        <v>6</v>
      </c>
      <c r="P119" s="5" t="s">
        <v>6</v>
      </c>
      <c r="Q119" s="5" t="s">
        <v>6</v>
      </c>
      <c r="R119" s="5" t="s">
        <v>6</v>
      </c>
      <c r="S119" s="5" t="s">
        <v>6</v>
      </c>
      <c r="T119" s="5" t="s">
        <v>6</v>
      </c>
      <c r="U119" s="5" t="s">
        <v>6</v>
      </c>
    </row>
    <row r="120" spans="1:21" x14ac:dyDescent="0.25">
      <c r="A120" s="4">
        <v>117</v>
      </c>
      <c r="B120" s="5" t="s">
        <v>6</v>
      </c>
      <c r="C120" s="5">
        <v>943209</v>
      </c>
      <c r="D120" s="5">
        <v>57.15</v>
      </c>
      <c r="E120" s="5">
        <v>2.5</v>
      </c>
      <c r="F120" s="5">
        <v>5.71</v>
      </c>
      <c r="G120" s="5">
        <v>19.239000000000001</v>
      </c>
      <c r="H120" s="5" t="s">
        <v>81</v>
      </c>
      <c r="I120" s="5" t="s">
        <v>30</v>
      </c>
      <c r="J120" s="5" t="s">
        <v>48</v>
      </c>
      <c r="K120" s="5">
        <v>60000</v>
      </c>
      <c r="L120" s="5">
        <v>40</v>
      </c>
      <c r="M120" s="5">
        <v>20</v>
      </c>
      <c r="N120" s="5" t="s">
        <v>6</v>
      </c>
      <c r="O120" s="5" t="s">
        <v>6</v>
      </c>
      <c r="P120" s="5" t="s">
        <v>6</v>
      </c>
      <c r="Q120" s="5" t="s">
        <v>6</v>
      </c>
      <c r="R120" s="5" t="s">
        <v>6</v>
      </c>
      <c r="S120" s="5" t="s">
        <v>6</v>
      </c>
      <c r="T120" s="5" t="s">
        <v>6</v>
      </c>
      <c r="U120" s="5" t="s">
        <v>6</v>
      </c>
    </row>
    <row r="121" spans="1:21" x14ac:dyDescent="0.25">
      <c r="A121" s="4">
        <v>118</v>
      </c>
      <c r="B121" s="5" t="s">
        <v>6</v>
      </c>
      <c r="C121" s="5" t="s">
        <v>6</v>
      </c>
      <c r="D121" s="5">
        <v>57.15</v>
      </c>
      <c r="E121" s="5">
        <v>2.5</v>
      </c>
      <c r="F121" s="5">
        <v>5.75</v>
      </c>
      <c r="G121" s="5">
        <v>19.373999999999999</v>
      </c>
      <c r="H121" s="5" t="s">
        <v>81</v>
      </c>
      <c r="I121" s="5" t="s">
        <v>30</v>
      </c>
      <c r="J121" s="5" t="s">
        <v>48</v>
      </c>
      <c r="K121" s="5">
        <v>0</v>
      </c>
      <c r="L121" s="5" t="s">
        <v>6</v>
      </c>
      <c r="M121" s="5" t="s">
        <v>6</v>
      </c>
      <c r="N121" s="5" t="s">
        <v>6</v>
      </c>
      <c r="O121" s="5" t="s">
        <v>6</v>
      </c>
      <c r="P121" s="5" t="s">
        <v>6</v>
      </c>
      <c r="Q121" s="5" t="s">
        <v>6</v>
      </c>
      <c r="R121" s="5" t="s">
        <v>6</v>
      </c>
      <c r="S121" s="5" t="s">
        <v>6</v>
      </c>
      <c r="T121" s="5" t="s">
        <v>6</v>
      </c>
      <c r="U121" s="5" t="s">
        <v>6</v>
      </c>
    </row>
    <row r="122" spans="1:21" x14ac:dyDescent="0.25">
      <c r="A122" s="4">
        <v>119</v>
      </c>
      <c r="B122" s="5" t="s">
        <v>6</v>
      </c>
      <c r="C122" s="5">
        <v>943209</v>
      </c>
      <c r="D122" s="5">
        <v>57.15</v>
      </c>
      <c r="E122" s="5">
        <v>2.5</v>
      </c>
      <c r="F122" s="5">
        <v>5.95</v>
      </c>
      <c r="G122" s="5">
        <v>20.047999999999998</v>
      </c>
      <c r="H122" s="5" t="s">
        <v>81</v>
      </c>
      <c r="I122" s="5" t="s">
        <v>30</v>
      </c>
      <c r="J122" s="5" t="s">
        <v>48</v>
      </c>
      <c r="K122" s="5">
        <v>0</v>
      </c>
      <c r="L122" s="5" t="s">
        <v>6</v>
      </c>
      <c r="M122" s="5" t="s">
        <v>6</v>
      </c>
      <c r="N122" s="5" t="s">
        <v>6</v>
      </c>
      <c r="O122" s="5" t="s">
        <v>6</v>
      </c>
      <c r="P122" s="5" t="s">
        <v>6</v>
      </c>
      <c r="Q122" s="5" t="s">
        <v>6</v>
      </c>
      <c r="R122" s="5" t="s">
        <v>6</v>
      </c>
      <c r="S122" s="5" t="s">
        <v>6</v>
      </c>
      <c r="T122" s="5" t="s">
        <v>6</v>
      </c>
      <c r="U122" s="5" t="s">
        <v>6</v>
      </c>
    </row>
    <row r="123" spans="1:21" x14ac:dyDescent="0.25">
      <c r="A123" s="4">
        <v>120</v>
      </c>
      <c r="B123" s="5" t="s">
        <v>6</v>
      </c>
      <c r="C123" s="5">
        <v>943209</v>
      </c>
      <c r="D123" s="5">
        <v>57.15</v>
      </c>
      <c r="E123" s="5">
        <v>2.5</v>
      </c>
      <c r="F123" s="5">
        <v>6.1</v>
      </c>
      <c r="G123" s="5">
        <v>20.553000000000001</v>
      </c>
      <c r="H123" s="5" t="s">
        <v>81</v>
      </c>
      <c r="I123" s="5" t="s">
        <v>30</v>
      </c>
      <c r="J123" s="5" t="s">
        <v>48</v>
      </c>
      <c r="K123" s="5">
        <v>118000</v>
      </c>
      <c r="L123" s="5">
        <v>40</v>
      </c>
      <c r="M123" s="5">
        <v>36</v>
      </c>
      <c r="N123" s="5" t="s">
        <v>6</v>
      </c>
      <c r="O123" s="5">
        <v>42</v>
      </c>
      <c r="P123" s="5" t="s">
        <v>6</v>
      </c>
      <c r="Q123" s="5" t="s">
        <v>6</v>
      </c>
      <c r="R123" s="5" t="s">
        <v>6</v>
      </c>
      <c r="S123" s="5" t="s">
        <v>6</v>
      </c>
      <c r="T123" s="5" t="s">
        <v>6</v>
      </c>
      <c r="U123" s="5" t="s">
        <v>6</v>
      </c>
    </row>
    <row r="124" spans="1:21" x14ac:dyDescent="0.25">
      <c r="A124" s="4">
        <v>121</v>
      </c>
      <c r="B124" s="5" t="s">
        <v>6</v>
      </c>
      <c r="C124" s="5">
        <v>943210</v>
      </c>
      <c r="D124" s="5">
        <v>57.15</v>
      </c>
      <c r="E124" s="5">
        <v>3</v>
      </c>
      <c r="F124" s="5">
        <v>5.15</v>
      </c>
      <c r="G124" s="5">
        <v>22.635000000000002</v>
      </c>
      <c r="H124" s="5" t="s">
        <v>6</v>
      </c>
      <c r="I124" s="5" t="s">
        <v>30</v>
      </c>
      <c r="J124" s="5" t="s">
        <v>48</v>
      </c>
      <c r="K124" s="5">
        <v>0</v>
      </c>
      <c r="L124" s="5" t="s">
        <v>6</v>
      </c>
      <c r="M124" s="5" t="s">
        <v>6</v>
      </c>
      <c r="N124" s="5" t="s">
        <v>6</v>
      </c>
      <c r="O124" s="5" t="s">
        <v>6</v>
      </c>
      <c r="P124" s="5" t="s">
        <v>6</v>
      </c>
      <c r="Q124" s="5" t="s">
        <v>6</v>
      </c>
      <c r="R124" s="5" t="s">
        <v>6</v>
      </c>
      <c r="S124" s="5" t="s">
        <v>6</v>
      </c>
      <c r="T124" s="5" t="s">
        <v>6</v>
      </c>
      <c r="U124" s="5" t="s">
        <v>6</v>
      </c>
    </row>
    <row r="125" spans="1:21" x14ac:dyDescent="0.25">
      <c r="A125" s="4">
        <v>122</v>
      </c>
      <c r="B125" s="5" t="s">
        <v>6</v>
      </c>
      <c r="C125" s="5" t="s">
        <v>6</v>
      </c>
      <c r="D125" s="5">
        <v>57.15</v>
      </c>
      <c r="E125" s="5">
        <v>3</v>
      </c>
      <c r="F125" s="5">
        <v>5.65</v>
      </c>
      <c r="G125" s="5" t="s">
        <v>6</v>
      </c>
      <c r="H125" s="5" t="s">
        <v>6</v>
      </c>
      <c r="I125" s="5" t="s">
        <v>30</v>
      </c>
      <c r="J125" s="5" t="s">
        <v>6</v>
      </c>
      <c r="K125" s="5">
        <v>22000</v>
      </c>
      <c r="L125" s="5" t="s">
        <v>6</v>
      </c>
      <c r="M125" s="5" t="s">
        <v>6</v>
      </c>
      <c r="N125" s="5" t="s">
        <v>6</v>
      </c>
      <c r="O125" s="5" t="s">
        <v>6</v>
      </c>
      <c r="P125" s="5" t="s">
        <v>6</v>
      </c>
      <c r="Q125" s="5" t="s">
        <v>6</v>
      </c>
      <c r="R125" s="5" t="s">
        <v>6</v>
      </c>
      <c r="S125" s="5" t="s">
        <v>6</v>
      </c>
      <c r="T125" s="5" t="s">
        <v>6</v>
      </c>
      <c r="U125" s="5">
        <v>22</v>
      </c>
    </row>
    <row r="126" spans="1:21" x14ac:dyDescent="0.25">
      <c r="A126" s="4">
        <v>123</v>
      </c>
      <c r="B126" s="5" t="s">
        <v>6</v>
      </c>
      <c r="C126" s="5">
        <v>943209</v>
      </c>
      <c r="D126" s="5">
        <v>60.3</v>
      </c>
      <c r="E126" s="5">
        <v>2</v>
      </c>
      <c r="F126" s="5">
        <v>5.9</v>
      </c>
      <c r="G126" s="5">
        <v>14.654999999999999</v>
      </c>
      <c r="H126" s="5" t="s">
        <v>82</v>
      </c>
      <c r="I126" s="5" t="s">
        <v>30</v>
      </c>
      <c r="J126" s="5" t="s">
        <v>48</v>
      </c>
      <c r="K126" s="5">
        <v>15000</v>
      </c>
      <c r="L126" s="5">
        <v>15</v>
      </c>
      <c r="M126" s="5" t="s">
        <v>6</v>
      </c>
      <c r="N126" s="5" t="s">
        <v>6</v>
      </c>
      <c r="O126" s="5" t="s">
        <v>6</v>
      </c>
      <c r="P126" s="5" t="s">
        <v>6</v>
      </c>
      <c r="Q126" s="5" t="s">
        <v>6</v>
      </c>
      <c r="R126" s="5" t="s">
        <v>6</v>
      </c>
      <c r="S126" s="5" t="s">
        <v>6</v>
      </c>
      <c r="T126" s="5" t="s">
        <v>6</v>
      </c>
      <c r="U126" s="5" t="s">
        <v>6</v>
      </c>
    </row>
    <row r="127" spans="1:21" x14ac:dyDescent="0.25">
      <c r="A127" s="4">
        <v>124</v>
      </c>
      <c r="B127" s="5" t="s">
        <v>6</v>
      </c>
      <c r="C127" s="5">
        <v>943209</v>
      </c>
      <c r="D127" s="5">
        <v>60.3</v>
      </c>
      <c r="E127" s="5">
        <v>2</v>
      </c>
      <c r="F127" s="5">
        <v>6</v>
      </c>
      <c r="G127" s="5">
        <v>14.654999999999999</v>
      </c>
      <c r="H127" s="5" t="s">
        <v>82</v>
      </c>
      <c r="I127" s="5" t="s">
        <v>30</v>
      </c>
      <c r="J127" s="5" t="s">
        <v>48</v>
      </c>
      <c r="K127" s="5">
        <v>39000</v>
      </c>
      <c r="L127" s="5" t="s">
        <v>6</v>
      </c>
      <c r="M127" s="5">
        <v>9</v>
      </c>
      <c r="N127" s="5" t="s">
        <v>6</v>
      </c>
      <c r="O127" s="5">
        <v>30</v>
      </c>
      <c r="P127" s="5" t="s">
        <v>6</v>
      </c>
      <c r="Q127" s="5" t="s">
        <v>6</v>
      </c>
      <c r="R127" s="5" t="s">
        <v>6</v>
      </c>
      <c r="S127" s="5" t="s">
        <v>6</v>
      </c>
      <c r="T127" s="5" t="s">
        <v>6</v>
      </c>
      <c r="U127" s="5" t="s">
        <v>6</v>
      </c>
    </row>
    <row r="128" spans="1:21" x14ac:dyDescent="0.25">
      <c r="A128" s="4">
        <v>125</v>
      </c>
      <c r="B128" s="5" t="s">
        <v>83</v>
      </c>
      <c r="C128" s="5">
        <v>943211</v>
      </c>
      <c r="D128" s="5">
        <v>63.5</v>
      </c>
      <c r="E128" s="5">
        <v>1.6</v>
      </c>
      <c r="F128" s="5">
        <v>6.04</v>
      </c>
      <c r="G128" s="5">
        <v>14.17</v>
      </c>
      <c r="H128" s="5" t="s">
        <v>84</v>
      </c>
      <c r="I128" s="5" t="s">
        <v>30</v>
      </c>
      <c r="J128" s="5" t="s">
        <v>48</v>
      </c>
      <c r="K128" s="5">
        <v>0</v>
      </c>
      <c r="L128" s="5" t="s">
        <v>6</v>
      </c>
      <c r="M128" s="5" t="s">
        <v>6</v>
      </c>
      <c r="N128" s="5" t="s">
        <v>6</v>
      </c>
      <c r="O128" s="5" t="s">
        <v>6</v>
      </c>
      <c r="P128" s="5" t="s">
        <v>6</v>
      </c>
      <c r="Q128" s="5" t="s">
        <v>6</v>
      </c>
      <c r="R128" s="5" t="s">
        <v>6</v>
      </c>
      <c r="S128" s="5" t="s">
        <v>6</v>
      </c>
      <c r="T128" s="5" t="s">
        <v>6</v>
      </c>
      <c r="U128" s="5" t="s">
        <v>6</v>
      </c>
    </row>
    <row r="129" spans="1:21" x14ac:dyDescent="0.25">
      <c r="A129" s="4">
        <v>126</v>
      </c>
      <c r="B129" s="5" t="s">
        <v>83</v>
      </c>
      <c r="C129" s="5" t="s">
        <v>6</v>
      </c>
      <c r="D129" s="5">
        <v>63.5</v>
      </c>
      <c r="E129" s="5">
        <v>1.6</v>
      </c>
      <c r="F129" s="5">
        <v>6.06</v>
      </c>
      <c r="G129" s="5" t="s">
        <v>6</v>
      </c>
      <c r="H129" s="5" t="s">
        <v>84</v>
      </c>
      <c r="I129" s="5" t="s">
        <v>30</v>
      </c>
      <c r="J129" s="5" t="s">
        <v>48</v>
      </c>
      <c r="K129" s="5">
        <v>13000</v>
      </c>
      <c r="L129" s="5" t="s">
        <v>6</v>
      </c>
      <c r="M129" s="5" t="s">
        <v>6</v>
      </c>
      <c r="N129" s="5" t="s">
        <v>6</v>
      </c>
      <c r="O129" s="5" t="s">
        <v>6</v>
      </c>
      <c r="P129" s="5" t="s">
        <v>6</v>
      </c>
      <c r="Q129" s="5" t="s">
        <v>6</v>
      </c>
      <c r="R129" s="5" t="s">
        <v>6</v>
      </c>
      <c r="S129" s="5" t="s">
        <v>6</v>
      </c>
      <c r="T129" s="5">
        <v>13</v>
      </c>
      <c r="U129" s="5" t="s">
        <v>6</v>
      </c>
    </row>
    <row r="130" spans="1:21" x14ac:dyDescent="0.25">
      <c r="A130" s="4">
        <v>127</v>
      </c>
      <c r="B130" s="5" t="s">
        <v>83</v>
      </c>
      <c r="C130" s="5" t="s">
        <v>6</v>
      </c>
      <c r="D130" s="5">
        <v>63.5</v>
      </c>
      <c r="E130" s="5">
        <v>1.6</v>
      </c>
      <c r="F130" s="5">
        <v>6.1210000000000004</v>
      </c>
      <c r="G130" s="5" t="s">
        <v>6</v>
      </c>
      <c r="H130" s="5" t="s">
        <v>6</v>
      </c>
      <c r="I130" s="5" t="s">
        <v>30</v>
      </c>
      <c r="J130" s="5" t="s">
        <v>48</v>
      </c>
      <c r="K130" s="5">
        <v>0</v>
      </c>
      <c r="L130" s="5" t="s">
        <v>6</v>
      </c>
      <c r="M130" s="5" t="s">
        <v>6</v>
      </c>
      <c r="N130" s="5" t="s">
        <v>6</v>
      </c>
      <c r="O130" s="5" t="s">
        <v>6</v>
      </c>
      <c r="P130" s="5" t="s">
        <v>6</v>
      </c>
      <c r="Q130" s="5" t="s">
        <v>6</v>
      </c>
      <c r="R130" s="5" t="s">
        <v>6</v>
      </c>
      <c r="S130" s="5" t="s">
        <v>6</v>
      </c>
      <c r="T130" s="5" t="s">
        <v>6</v>
      </c>
      <c r="U130" s="5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C221-312A-4547-BAEE-6FA4E12A9F6C}">
  <dimension ref="A1:U98"/>
  <sheetViews>
    <sheetView zoomScale="90" zoomScaleNormal="90" workbookViewId="0">
      <selection activeCell="K2" sqref="K2"/>
    </sheetView>
  </sheetViews>
  <sheetFormatPr defaultRowHeight="15" customHeight="1" outlineLevelCol="2" x14ac:dyDescent="0.3"/>
  <cols>
    <col min="1" max="1" width="8.85546875" style="8" customWidth="1"/>
    <col min="2" max="2" width="11.42578125" style="8" customWidth="1"/>
    <col min="3" max="3" width="13.140625" style="8" customWidth="1"/>
    <col min="4" max="5" width="9.140625" style="8" customWidth="1"/>
    <col min="6" max="6" width="10.85546875" style="8" customWidth="1"/>
    <col min="7" max="7" width="32.140625" style="8" bestFit="1" customWidth="1"/>
    <col min="8" max="8" width="18.28515625" style="8" customWidth="1"/>
    <col min="9" max="9" width="13.140625" style="8" customWidth="1" outlineLevel="2"/>
    <col min="10" max="10" width="12.28515625" style="8" customWidth="1" outlineLevel="2"/>
    <col min="11" max="11" width="13.42578125" style="12" customWidth="1" outlineLevel="2"/>
    <col min="12" max="13" width="18.7109375" style="12" customWidth="1" outlineLevel="2"/>
    <col min="14" max="14" width="10" style="8" customWidth="1" outlineLevel="2"/>
    <col min="15" max="15" width="14.7109375" style="8" customWidth="1" outlineLevel="2"/>
    <col min="16" max="16" width="17.42578125" style="8" customWidth="1" outlineLevel="2"/>
    <col min="17" max="17" width="15.85546875" style="8" customWidth="1" outlineLevel="2"/>
    <col min="18" max="18" width="14" style="8" customWidth="1"/>
    <col min="19" max="19" width="14.7109375" style="8" customWidth="1"/>
    <col min="20" max="20" width="13.7109375" style="8" customWidth="1"/>
    <col min="21" max="21" width="9.42578125" style="8" customWidth="1"/>
    <col min="22" max="16384" width="9.140625" style="8"/>
  </cols>
  <sheetData>
    <row r="1" spans="1:21" ht="15" customHeight="1" x14ac:dyDescent="0.3">
      <c r="A1" s="6" t="s">
        <v>6</v>
      </c>
      <c r="B1" s="7" t="s">
        <v>6</v>
      </c>
      <c r="C1" s="7" t="s">
        <v>6</v>
      </c>
      <c r="D1" s="7" t="s">
        <v>6</v>
      </c>
      <c r="E1" s="7" t="s">
        <v>6</v>
      </c>
      <c r="F1" s="7" t="s">
        <v>6</v>
      </c>
      <c r="G1" s="7" t="s">
        <v>6</v>
      </c>
      <c r="H1" s="7" t="s">
        <v>7</v>
      </c>
      <c r="I1" s="7" t="s">
        <v>6</v>
      </c>
      <c r="J1" s="7" t="s">
        <v>6</v>
      </c>
      <c r="K1" s="12" t="s">
        <v>85</v>
      </c>
      <c r="T1" s="7" t="s">
        <v>6</v>
      </c>
      <c r="U1" s="7" t="s">
        <v>6</v>
      </c>
    </row>
    <row r="2" spans="1:21" ht="15" customHeight="1" x14ac:dyDescent="0.3">
      <c r="A2" s="14" t="s">
        <v>6</v>
      </c>
      <c r="B2" s="15" t="s">
        <v>6</v>
      </c>
      <c r="C2" s="15" t="s">
        <v>6</v>
      </c>
      <c r="D2" s="15" t="s">
        <v>6</v>
      </c>
      <c r="E2" s="15" t="s">
        <v>6</v>
      </c>
      <c r="F2" s="15" t="s">
        <v>6</v>
      </c>
      <c r="G2" s="15" t="s">
        <v>6</v>
      </c>
      <c r="H2" s="15" t="s">
        <v>6</v>
      </c>
      <c r="I2" s="15" t="s">
        <v>6</v>
      </c>
      <c r="J2" s="16">
        <f t="shared" ref="J2:T2" si="0">SUM(J3:J96)</f>
        <v>1263</v>
      </c>
      <c r="K2" s="16">
        <f t="shared" si="0"/>
        <v>990.83599999999979</v>
      </c>
      <c r="L2" s="16">
        <f t="shared" si="0"/>
        <v>1167.6200000000001</v>
      </c>
      <c r="M2" s="16">
        <f t="shared" si="0"/>
        <v>839</v>
      </c>
      <c r="N2" s="16">
        <f t="shared" si="0"/>
        <v>210</v>
      </c>
      <c r="O2" s="16">
        <f t="shared" si="0"/>
        <v>25</v>
      </c>
      <c r="P2" s="16">
        <f t="shared" si="0"/>
        <v>99</v>
      </c>
      <c r="Q2" s="16">
        <f t="shared" si="0"/>
        <v>65</v>
      </c>
      <c r="R2" s="16">
        <f t="shared" si="0"/>
        <v>25</v>
      </c>
      <c r="S2" s="16">
        <f t="shared" si="0"/>
        <v>0</v>
      </c>
      <c r="T2" s="16">
        <f t="shared" si="0"/>
        <v>0</v>
      </c>
      <c r="U2" s="15" t="s">
        <v>6</v>
      </c>
    </row>
    <row r="3" spans="1:21" ht="15" customHeight="1" x14ac:dyDescent="0.3">
      <c r="A3" s="17" t="s">
        <v>19</v>
      </c>
      <c r="B3" s="17" t="s">
        <v>20</v>
      </c>
      <c r="C3" s="17" t="s">
        <v>21</v>
      </c>
      <c r="D3" s="17" t="s">
        <v>22</v>
      </c>
      <c r="E3" s="17" t="s">
        <v>23</v>
      </c>
      <c r="F3" s="17" t="s">
        <v>25</v>
      </c>
      <c r="G3" s="17" t="s">
        <v>26</v>
      </c>
      <c r="H3" s="17" t="s">
        <v>27</v>
      </c>
      <c r="I3" s="17" t="s">
        <v>28</v>
      </c>
      <c r="J3" s="18" t="s">
        <v>86</v>
      </c>
      <c r="K3" s="18" t="s">
        <v>87</v>
      </c>
      <c r="L3" s="18" t="s">
        <v>88</v>
      </c>
      <c r="M3" s="17" t="s">
        <v>9</v>
      </c>
      <c r="N3" s="17" t="s">
        <v>10</v>
      </c>
      <c r="O3" s="17" t="s">
        <v>11</v>
      </c>
      <c r="P3" s="17" t="s">
        <v>12</v>
      </c>
      <c r="Q3" s="17" t="s">
        <v>13</v>
      </c>
      <c r="R3" s="17" t="s">
        <v>14</v>
      </c>
      <c r="S3" s="17" t="s">
        <v>6</v>
      </c>
      <c r="T3" s="19" t="s">
        <v>89</v>
      </c>
    </row>
    <row r="4" spans="1:21" ht="15" customHeight="1" x14ac:dyDescent="0.3">
      <c r="A4" s="10">
        <v>1</v>
      </c>
      <c r="B4" s="10" t="s">
        <v>6</v>
      </c>
      <c r="C4" s="10">
        <v>943209</v>
      </c>
      <c r="D4" s="10">
        <v>12.7</v>
      </c>
      <c r="E4" s="10">
        <v>1.2</v>
      </c>
      <c r="F4" s="10">
        <v>2.0419999999999998</v>
      </c>
      <c r="G4" s="10" t="s">
        <v>29</v>
      </c>
      <c r="H4" s="10" t="s">
        <v>30</v>
      </c>
      <c r="I4" s="10" t="s">
        <v>31</v>
      </c>
      <c r="J4" s="11">
        <f>SUM(M4:R4)</f>
        <v>6</v>
      </c>
      <c r="K4" s="11">
        <f>(759+180+613+316+346+511+629+180+173+338+390)/1000</f>
        <v>4.4349999999999996</v>
      </c>
      <c r="L4" s="11">
        <f>ROUND(SUMIFS(Table3[Stock],Table3[key],Table1[[#This Row],[key]])/1000+SUMIFS(Table3[In Transit],Table3[key],Table1[[#This Row],[key]])/1000,2)</f>
        <v>10.28</v>
      </c>
      <c r="M4" s="10">
        <v>6</v>
      </c>
      <c r="N4" s="10" t="s">
        <v>6</v>
      </c>
      <c r="O4" s="10" t="s">
        <v>6</v>
      </c>
      <c r="P4" s="10" t="s">
        <v>6</v>
      </c>
      <c r="Q4" s="10" t="s">
        <v>6</v>
      </c>
      <c r="R4" s="10" t="s">
        <v>6</v>
      </c>
      <c r="S4" s="10" t="s">
        <v>6</v>
      </c>
      <c r="T4" s="13" t="s">
        <v>6</v>
      </c>
    </row>
    <row r="5" spans="1:21" ht="15" customHeight="1" x14ac:dyDescent="0.3">
      <c r="A5" s="10">
        <v>2</v>
      </c>
      <c r="B5" s="10" t="s">
        <v>6</v>
      </c>
      <c r="C5" s="10">
        <v>943210</v>
      </c>
      <c r="D5" s="10">
        <v>12.7</v>
      </c>
      <c r="E5" s="10">
        <v>1.4</v>
      </c>
      <c r="F5" s="10">
        <v>2.2120000000000002</v>
      </c>
      <c r="G5" s="10" t="s">
        <v>6</v>
      </c>
      <c r="H5" s="10" t="s">
        <v>30</v>
      </c>
      <c r="I5" s="10" t="s">
        <v>31</v>
      </c>
      <c r="J5" s="11">
        <f t="shared" ref="J5:J49" si="1">SUM(M5:R5)</f>
        <v>0</v>
      </c>
      <c r="K5" s="11"/>
      <c r="L5" s="11">
        <f>ROUND(SUMIFS(Table3[Stock],Table3[key],Table1[[#This Row],[key]])/1000+SUMIFS(Table3[In Transit],Table3[key],Table1[[#This Row],[key]])/1000,2)</f>
        <v>0</v>
      </c>
      <c r="M5" s="10" t="s">
        <v>6</v>
      </c>
      <c r="N5" s="10" t="s">
        <v>6</v>
      </c>
      <c r="O5" s="10" t="s">
        <v>6</v>
      </c>
      <c r="P5" s="10" t="s">
        <v>6</v>
      </c>
      <c r="Q5" s="10" t="s">
        <v>6</v>
      </c>
      <c r="R5" s="10" t="s">
        <v>6</v>
      </c>
      <c r="S5" s="10" t="s">
        <v>6</v>
      </c>
      <c r="T5" s="13" t="s">
        <v>6</v>
      </c>
    </row>
    <row r="6" spans="1:21" ht="15" customHeight="1" x14ac:dyDescent="0.3">
      <c r="A6" s="10">
        <v>3</v>
      </c>
      <c r="B6" s="10" t="s">
        <v>6</v>
      </c>
      <c r="C6" s="10" t="s">
        <v>6</v>
      </c>
      <c r="D6" s="10">
        <v>12.7</v>
      </c>
      <c r="E6" s="10">
        <v>1.4</v>
      </c>
      <c r="F6" s="10">
        <v>2.3410000000000002</v>
      </c>
      <c r="G6" s="10" t="s">
        <v>6</v>
      </c>
      <c r="H6" s="10" t="s">
        <v>30</v>
      </c>
      <c r="I6" s="10" t="s">
        <v>31</v>
      </c>
      <c r="J6" s="11">
        <f t="shared" si="1"/>
        <v>0</v>
      </c>
      <c r="K6" s="11"/>
      <c r="L6" s="11">
        <f>ROUND(SUMIFS(Table3[Stock],Table3[key],Table1[[#This Row],[key]])/1000+SUMIFS(Table3[In Transit],Table3[key],Table1[[#This Row],[key]])/1000,2)</f>
        <v>0</v>
      </c>
      <c r="M6" s="10" t="s">
        <v>6</v>
      </c>
      <c r="N6" s="10" t="s">
        <v>6</v>
      </c>
      <c r="O6" s="10" t="s">
        <v>6</v>
      </c>
      <c r="P6" s="10" t="s">
        <v>6</v>
      </c>
      <c r="Q6" s="10" t="s">
        <v>6</v>
      </c>
      <c r="R6" s="10" t="s">
        <v>6</v>
      </c>
      <c r="S6" s="10" t="s">
        <v>6</v>
      </c>
      <c r="T6" s="13" t="s">
        <v>6</v>
      </c>
    </row>
    <row r="7" spans="1:21" ht="15" customHeight="1" x14ac:dyDescent="0.3">
      <c r="A7" s="10">
        <v>4</v>
      </c>
      <c r="B7" s="10" t="s">
        <v>6</v>
      </c>
      <c r="C7" s="10" t="s">
        <v>6</v>
      </c>
      <c r="D7" s="10">
        <v>12.7</v>
      </c>
      <c r="E7" s="10">
        <v>1.4</v>
      </c>
      <c r="F7" s="10">
        <v>2.355</v>
      </c>
      <c r="G7" s="10" t="s">
        <v>6</v>
      </c>
      <c r="H7" s="10" t="s">
        <v>30</v>
      </c>
      <c r="I7" s="10" t="s">
        <v>31</v>
      </c>
      <c r="J7" s="11">
        <f t="shared" si="1"/>
        <v>0</v>
      </c>
      <c r="K7" s="11"/>
      <c r="L7" s="11">
        <f>ROUND(SUMIFS(Table3[Stock],Table3[key],Table1[[#This Row],[key]])/1000+SUMIFS(Table3[In Transit],Table3[key],Table1[[#This Row],[key]])/1000,2)</f>
        <v>0</v>
      </c>
      <c r="M7" s="10" t="s">
        <v>6</v>
      </c>
      <c r="N7" s="10" t="s">
        <v>6</v>
      </c>
      <c r="O7" s="10" t="s">
        <v>6</v>
      </c>
      <c r="P7" s="10" t="s">
        <v>6</v>
      </c>
      <c r="Q7" s="10" t="s">
        <v>6</v>
      </c>
      <c r="R7" s="10" t="s">
        <v>6</v>
      </c>
      <c r="S7" s="10" t="s">
        <v>6</v>
      </c>
      <c r="T7" s="13" t="s">
        <v>6</v>
      </c>
    </row>
    <row r="8" spans="1:21" ht="15" customHeight="1" x14ac:dyDescent="0.3">
      <c r="A8" s="10">
        <v>5</v>
      </c>
      <c r="B8" s="10" t="s">
        <v>6</v>
      </c>
      <c r="C8" s="10">
        <v>943210</v>
      </c>
      <c r="D8" s="10">
        <v>12.7</v>
      </c>
      <c r="E8" s="10">
        <v>1.6</v>
      </c>
      <c r="F8" s="10">
        <v>2.6280000000000001</v>
      </c>
      <c r="G8" s="10" t="s">
        <v>32</v>
      </c>
      <c r="H8" s="10" t="s">
        <v>30</v>
      </c>
      <c r="I8" s="10" t="s">
        <v>31</v>
      </c>
      <c r="J8" s="11">
        <f t="shared" si="1"/>
        <v>0</v>
      </c>
      <c r="K8" s="11"/>
      <c r="L8" s="11">
        <f>ROUND(SUMIFS(Table3[Stock],Table3[key],Table1[[#This Row],[key]])/1000+SUMIFS(Table3[In Transit],Table3[key],Table1[[#This Row],[key]])/1000,2)</f>
        <v>2.74</v>
      </c>
      <c r="M8" s="10" t="s">
        <v>6</v>
      </c>
      <c r="N8" s="10" t="s">
        <v>6</v>
      </c>
      <c r="O8" s="10" t="s">
        <v>6</v>
      </c>
      <c r="P8" s="10" t="s">
        <v>6</v>
      </c>
      <c r="Q8" s="10" t="s">
        <v>6</v>
      </c>
      <c r="R8" s="10" t="s">
        <v>6</v>
      </c>
      <c r="S8" s="10" t="s">
        <v>6</v>
      </c>
      <c r="T8" s="13" t="s">
        <v>6</v>
      </c>
    </row>
    <row r="9" spans="1:21" ht="15" customHeight="1" x14ac:dyDescent="0.3">
      <c r="A9" s="10">
        <v>6</v>
      </c>
      <c r="B9" s="10" t="s">
        <v>6</v>
      </c>
      <c r="C9" s="10" t="s">
        <v>6</v>
      </c>
      <c r="D9" s="10">
        <v>12.7</v>
      </c>
      <c r="E9" s="10">
        <v>2</v>
      </c>
      <c r="F9" s="10">
        <v>3.1669999999999998</v>
      </c>
      <c r="G9" s="10" t="s">
        <v>6</v>
      </c>
      <c r="H9" s="10" t="s">
        <v>30</v>
      </c>
      <c r="I9" s="10" t="s">
        <v>31</v>
      </c>
      <c r="J9" s="11">
        <f t="shared" si="1"/>
        <v>2</v>
      </c>
      <c r="K9" s="11"/>
      <c r="L9" s="11">
        <f>ROUND(SUMIFS(Table3[Stock],Table3[key],Table1[[#This Row],[key]])/1000+SUMIFS(Table3[In Transit],Table3[key],Table1[[#This Row],[key]])/1000,2)</f>
        <v>0</v>
      </c>
      <c r="M9" s="10">
        <v>2</v>
      </c>
      <c r="N9" s="10" t="s">
        <v>6</v>
      </c>
      <c r="O9" s="10" t="s">
        <v>6</v>
      </c>
      <c r="P9" s="10" t="s">
        <v>6</v>
      </c>
      <c r="Q9" s="10" t="s">
        <v>6</v>
      </c>
      <c r="R9" s="10" t="s">
        <v>6</v>
      </c>
      <c r="S9" s="10" t="s">
        <v>6</v>
      </c>
      <c r="T9" s="13" t="s">
        <v>6</v>
      </c>
    </row>
    <row r="10" spans="1:21" ht="15" customHeight="1" x14ac:dyDescent="0.3">
      <c r="A10" s="10">
        <v>7</v>
      </c>
      <c r="B10" s="10" t="s">
        <v>6</v>
      </c>
      <c r="C10" s="10" t="s">
        <v>6</v>
      </c>
      <c r="D10" s="10">
        <v>14</v>
      </c>
      <c r="E10" s="10">
        <v>2.4500000000000002</v>
      </c>
      <c r="F10" s="10" t="s">
        <v>6</v>
      </c>
      <c r="G10" s="10" t="s">
        <v>6</v>
      </c>
      <c r="H10" s="10" t="s">
        <v>6</v>
      </c>
      <c r="I10" s="10" t="s">
        <v>6</v>
      </c>
      <c r="J10" s="11">
        <f t="shared" si="1"/>
        <v>0</v>
      </c>
      <c r="K10" s="11"/>
      <c r="L10" s="11">
        <f>ROUND(SUMIFS(Table3[Stock],Table3[key],Table1[[#This Row],[key]])/1000+SUMIFS(Table3[In Transit],Table3[key],Table1[[#This Row],[key]])/1000,2)</f>
        <v>0</v>
      </c>
      <c r="M10" s="10" t="s">
        <v>6</v>
      </c>
      <c r="N10" s="10" t="s">
        <v>6</v>
      </c>
      <c r="O10" s="10" t="s">
        <v>6</v>
      </c>
      <c r="P10" s="10" t="s">
        <v>6</v>
      </c>
      <c r="Q10" s="10" t="s">
        <v>6</v>
      </c>
      <c r="R10" s="10" t="s">
        <v>6</v>
      </c>
      <c r="S10" s="10" t="s">
        <v>6</v>
      </c>
      <c r="T10" s="13" t="s">
        <v>6</v>
      </c>
    </row>
    <row r="11" spans="1:21" ht="15" customHeight="1" x14ac:dyDescent="0.3">
      <c r="A11" s="10">
        <v>8</v>
      </c>
      <c r="B11" s="10" t="s">
        <v>6</v>
      </c>
      <c r="C11" s="10" t="s">
        <v>6</v>
      </c>
      <c r="D11" s="10">
        <v>15.88</v>
      </c>
      <c r="E11" s="10">
        <v>1</v>
      </c>
      <c r="F11" s="10">
        <v>2.2719999999999998</v>
      </c>
      <c r="G11" s="10" t="s">
        <v>33</v>
      </c>
      <c r="H11" s="10" t="s">
        <v>30</v>
      </c>
      <c r="I11" s="10" t="s">
        <v>31</v>
      </c>
      <c r="J11" s="11">
        <f t="shared" si="1"/>
        <v>0</v>
      </c>
      <c r="K11" s="11"/>
      <c r="L11" s="11">
        <f>ROUND(SUMIFS(Table3[Stock],Table3[key],Table1[[#This Row],[key]])/1000+SUMIFS(Table3[In Transit],Table3[key],Table1[[#This Row],[key]])/1000,2)</f>
        <v>0</v>
      </c>
      <c r="M11" s="10" t="s">
        <v>6</v>
      </c>
      <c r="N11" s="10" t="s">
        <v>6</v>
      </c>
      <c r="O11" s="10" t="s">
        <v>6</v>
      </c>
      <c r="P11" s="10" t="s">
        <v>6</v>
      </c>
      <c r="Q11" s="10" t="s">
        <v>6</v>
      </c>
      <c r="R11" s="10" t="s">
        <v>6</v>
      </c>
      <c r="S11" s="10" t="s">
        <v>6</v>
      </c>
      <c r="T11" s="13" t="s">
        <v>6</v>
      </c>
    </row>
    <row r="12" spans="1:21" ht="15" customHeight="1" x14ac:dyDescent="0.3">
      <c r="A12" s="10">
        <v>9</v>
      </c>
      <c r="B12" s="10" t="s">
        <v>6</v>
      </c>
      <c r="C12" s="10">
        <v>943210</v>
      </c>
      <c r="D12" s="10">
        <v>15.88</v>
      </c>
      <c r="E12" s="10">
        <v>1.2</v>
      </c>
      <c r="F12" s="10">
        <v>2.6070000000000002</v>
      </c>
      <c r="G12" s="10" t="s">
        <v>34</v>
      </c>
      <c r="H12" s="10" t="s">
        <v>30</v>
      </c>
      <c r="I12" s="10" t="s">
        <v>31</v>
      </c>
      <c r="J12" s="11">
        <f t="shared" si="1"/>
        <v>5</v>
      </c>
      <c r="K12" s="11">
        <f>(1222+1309)/1000</f>
        <v>2.5310000000000001</v>
      </c>
      <c r="L12" s="11">
        <f>ROUND(SUMIFS(Table3[Stock],Table3[key],Table1[[#This Row],[key]])/1000+SUMIFS(Table3[In Transit],Table3[key],Table1[[#This Row],[key]])/1000,2)</f>
        <v>1.57</v>
      </c>
      <c r="M12" s="10">
        <v>5</v>
      </c>
      <c r="N12" s="10" t="s">
        <v>6</v>
      </c>
      <c r="O12" s="10" t="s">
        <v>6</v>
      </c>
      <c r="P12" s="10" t="s">
        <v>6</v>
      </c>
      <c r="Q12" s="10" t="s">
        <v>6</v>
      </c>
      <c r="R12" s="10" t="s">
        <v>6</v>
      </c>
      <c r="S12" s="10" t="s">
        <v>6</v>
      </c>
      <c r="T12" s="13" t="s">
        <v>6</v>
      </c>
    </row>
    <row r="13" spans="1:21" ht="15" customHeight="1" x14ac:dyDescent="0.3">
      <c r="A13" s="10">
        <v>10</v>
      </c>
      <c r="B13" s="10" t="s">
        <v>6</v>
      </c>
      <c r="C13" s="10" t="s">
        <v>6</v>
      </c>
      <c r="D13" s="10">
        <v>15.88</v>
      </c>
      <c r="E13" s="10">
        <v>1.4</v>
      </c>
      <c r="F13" s="10">
        <v>2.6070000000000002</v>
      </c>
      <c r="G13" s="10" t="s">
        <v>6</v>
      </c>
      <c r="H13" s="10" t="s">
        <v>30</v>
      </c>
      <c r="I13" s="10" t="s">
        <v>31</v>
      </c>
      <c r="J13" s="11">
        <f t="shared" si="1"/>
        <v>0</v>
      </c>
      <c r="K13" s="11"/>
      <c r="L13" s="11">
        <f>ROUND(SUMIFS(Table3[Stock],Table3[key],Table1[[#This Row],[key]])/1000+SUMIFS(Table3[In Transit],Table3[key],Table1[[#This Row],[key]])/1000,2)</f>
        <v>0</v>
      </c>
      <c r="M13" s="10" t="s">
        <v>6</v>
      </c>
      <c r="N13" s="10" t="s">
        <v>6</v>
      </c>
      <c r="O13" s="10" t="s">
        <v>6</v>
      </c>
      <c r="P13" s="10" t="s">
        <v>6</v>
      </c>
      <c r="Q13" s="10" t="s">
        <v>6</v>
      </c>
      <c r="R13" s="10" t="s">
        <v>6</v>
      </c>
      <c r="S13" s="10" t="s">
        <v>6</v>
      </c>
      <c r="T13" s="13" t="s">
        <v>6</v>
      </c>
    </row>
    <row r="14" spans="1:21" ht="15" customHeight="1" x14ac:dyDescent="0.3">
      <c r="A14" s="10">
        <v>11</v>
      </c>
      <c r="B14" s="10" t="s">
        <v>6</v>
      </c>
      <c r="C14" s="10" t="s">
        <v>6</v>
      </c>
      <c r="D14" s="10">
        <v>15.88</v>
      </c>
      <c r="E14" s="10">
        <v>1.6</v>
      </c>
      <c r="F14" s="10">
        <v>3.3809999999999998</v>
      </c>
      <c r="G14" s="10" t="s">
        <v>35</v>
      </c>
      <c r="H14" s="10" t="s">
        <v>30</v>
      </c>
      <c r="I14" s="10" t="s">
        <v>31</v>
      </c>
      <c r="J14" s="11">
        <f t="shared" si="1"/>
        <v>1</v>
      </c>
      <c r="K14" s="11">
        <f>(481)/1000</f>
        <v>0.48099999999999998</v>
      </c>
      <c r="L14" s="11">
        <f>ROUND(SUMIFS(Table3[Stock],Table3[key],Table1[[#This Row],[key]])/1000+SUMIFS(Table3[In Transit],Table3[key],Table1[[#This Row],[key]])/1000,2)</f>
        <v>10.66</v>
      </c>
      <c r="M14" s="10">
        <v>1</v>
      </c>
      <c r="N14" s="10" t="s">
        <v>6</v>
      </c>
      <c r="O14" s="10" t="s">
        <v>6</v>
      </c>
      <c r="P14" s="10" t="s">
        <v>6</v>
      </c>
      <c r="Q14" s="10" t="s">
        <v>6</v>
      </c>
      <c r="R14" s="10" t="s">
        <v>6</v>
      </c>
      <c r="S14" s="10" t="s">
        <v>6</v>
      </c>
      <c r="T14" s="13" t="s">
        <v>6</v>
      </c>
    </row>
    <row r="15" spans="1:21" ht="15" customHeight="1" x14ac:dyDescent="0.3">
      <c r="A15" s="10">
        <v>12</v>
      </c>
      <c r="B15" s="10" t="s">
        <v>6</v>
      </c>
      <c r="C15" s="10">
        <v>943209</v>
      </c>
      <c r="D15" s="10">
        <v>15.88</v>
      </c>
      <c r="E15" s="10">
        <v>2</v>
      </c>
      <c r="F15" s="10">
        <v>4.1079999999999997</v>
      </c>
      <c r="G15" s="10" t="s">
        <v>36</v>
      </c>
      <c r="H15" s="10" t="s">
        <v>30</v>
      </c>
      <c r="I15" s="10" t="s">
        <v>31</v>
      </c>
      <c r="J15" s="11">
        <f t="shared" si="1"/>
        <v>0</v>
      </c>
      <c r="K15" s="11">
        <f>(6075)/1000</f>
        <v>6.0750000000000002</v>
      </c>
      <c r="L15" s="11">
        <f>ROUND(SUMIFS(Table3[Stock],Table3[key],Table1[[#This Row],[key]])/1000+SUMIFS(Table3[In Transit],Table3[key],Table1[[#This Row],[key]])/1000,2)</f>
        <v>0</v>
      </c>
      <c r="M15" s="10" t="s">
        <v>6</v>
      </c>
      <c r="N15" s="10" t="s">
        <v>6</v>
      </c>
      <c r="O15" s="10" t="s">
        <v>6</v>
      </c>
      <c r="P15" s="10" t="s">
        <v>6</v>
      </c>
      <c r="Q15" s="10" t="s">
        <v>6</v>
      </c>
      <c r="R15" s="10" t="s">
        <v>6</v>
      </c>
      <c r="S15" s="10" t="s">
        <v>6</v>
      </c>
      <c r="T15" s="13" t="s">
        <v>6</v>
      </c>
    </row>
    <row r="16" spans="1:21" ht="15" customHeight="1" x14ac:dyDescent="0.3">
      <c r="A16" s="10">
        <v>13</v>
      </c>
      <c r="B16" s="10" t="s">
        <v>6</v>
      </c>
      <c r="C16" s="10" t="s">
        <v>6</v>
      </c>
      <c r="D16" s="10">
        <v>16.8</v>
      </c>
      <c r="E16" s="10">
        <v>2.4</v>
      </c>
      <c r="F16" s="10">
        <v>3.75</v>
      </c>
      <c r="G16" s="10" t="s">
        <v>37</v>
      </c>
      <c r="H16" s="10" t="s">
        <v>30</v>
      </c>
      <c r="I16" s="10" t="s">
        <v>31</v>
      </c>
      <c r="J16" s="11">
        <f t="shared" si="1"/>
        <v>0</v>
      </c>
      <c r="K16" s="11"/>
      <c r="L16" s="11">
        <f>ROUND(SUMIFS(Table3[Stock],Table3[key],Table1[[#This Row],[key]])/1000+SUMIFS(Table3[In Transit],Table3[key],Table1[[#This Row],[key]])/1000,2)</f>
        <v>0</v>
      </c>
      <c r="M16" s="10" t="s">
        <v>6</v>
      </c>
      <c r="N16" s="10" t="s">
        <v>6</v>
      </c>
      <c r="O16" s="10" t="s">
        <v>6</v>
      </c>
      <c r="P16" s="10" t="s">
        <v>6</v>
      </c>
      <c r="Q16" s="10" t="s">
        <v>6</v>
      </c>
      <c r="R16" s="10" t="s">
        <v>6</v>
      </c>
      <c r="S16" s="10" t="s">
        <v>6</v>
      </c>
      <c r="T16" s="13" t="s">
        <v>6</v>
      </c>
    </row>
    <row r="17" spans="1:20" ht="15" customHeight="1" x14ac:dyDescent="0.3">
      <c r="A17" s="10">
        <v>14</v>
      </c>
      <c r="B17" s="10" t="s">
        <v>6</v>
      </c>
      <c r="C17" s="10" t="s">
        <v>6</v>
      </c>
      <c r="D17" s="10">
        <v>18.2</v>
      </c>
      <c r="E17" s="10">
        <v>1</v>
      </c>
      <c r="F17" s="10">
        <v>2.6070000000000002</v>
      </c>
      <c r="G17" s="10" t="s">
        <v>38</v>
      </c>
      <c r="H17" s="10" t="s">
        <v>30</v>
      </c>
      <c r="I17" s="10" t="s">
        <v>31</v>
      </c>
      <c r="J17" s="11">
        <f t="shared" si="1"/>
        <v>5</v>
      </c>
      <c r="K17" s="11">
        <f>(593+424+424+127+212)/1000</f>
        <v>1.78</v>
      </c>
      <c r="L17" s="11">
        <f>ROUND(SUMIFS(Table3[Stock],Table3[key],Table1[[#This Row],[key]])/1000+SUMIFS(Table3[In Transit],Table3[key],Table1[[#This Row],[key]])/1000,2)</f>
        <v>6.26</v>
      </c>
      <c r="M17" s="10">
        <v>5</v>
      </c>
      <c r="N17" s="10" t="s">
        <v>6</v>
      </c>
      <c r="O17" s="10" t="s">
        <v>6</v>
      </c>
      <c r="P17" s="10" t="s">
        <v>6</v>
      </c>
      <c r="Q17" s="10" t="s">
        <v>6</v>
      </c>
      <c r="R17" s="10" t="s">
        <v>6</v>
      </c>
      <c r="S17" s="10" t="s">
        <v>6</v>
      </c>
      <c r="T17" s="13" t="s">
        <v>6</v>
      </c>
    </row>
    <row r="18" spans="1:20" ht="15" customHeight="1" x14ac:dyDescent="0.3">
      <c r="A18" s="10">
        <v>15</v>
      </c>
      <c r="B18" s="10" t="s">
        <v>6</v>
      </c>
      <c r="C18" s="10">
        <v>943210</v>
      </c>
      <c r="D18" s="10">
        <v>19.05</v>
      </c>
      <c r="E18" s="10">
        <v>1.4</v>
      </c>
      <c r="F18" s="10">
        <v>3.6560000000000001</v>
      </c>
      <c r="G18" s="10" t="s">
        <v>6</v>
      </c>
      <c r="H18" s="10" t="s">
        <v>39</v>
      </c>
      <c r="I18" s="10" t="s">
        <v>31</v>
      </c>
      <c r="J18" s="11">
        <f t="shared" si="1"/>
        <v>0</v>
      </c>
      <c r="K18" s="11"/>
      <c r="L18" s="11">
        <f>ROUND(SUMIFS(Table3[Stock],Table3[key],Table1[[#This Row],[key]])/1000+SUMIFS(Table3[In Transit],Table3[key],Table1[[#This Row],[key]])/1000,2)</f>
        <v>0</v>
      </c>
      <c r="M18" s="10" t="s">
        <v>6</v>
      </c>
      <c r="N18" s="10" t="s">
        <v>6</v>
      </c>
      <c r="O18" s="10" t="s">
        <v>6</v>
      </c>
      <c r="P18" s="10" t="s">
        <v>6</v>
      </c>
      <c r="Q18" s="10" t="s">
        <v>6</v>
      </c>
      <c r="R18" s="10" t="s">
        <v>6</v>
      </c>
      <c r="S18" s="10" t="s">
        <v>6</v>
      </c>
      <c r="T18" s="13" t="s">
        <v>6</v>
      </c>
    </row>
    <row r="19" spans="1:20" ht="15" customHeight="1" x14ac:dyDescent="0.3">
      <c r="A19" s="10">
        <v>18</v>
      </c>
      <c r="B19" s="10" t="s">
        <v>6</v>
      </c>
      <c r="C19" s="10">
        <v>943209</v>
      </c>
      <c r="D19" s="10">
        <v>19.05</v>
      </c>
      <c r="E19" s="10">
        <v>2</v>
      </c>
      <c r="F19" s="10">
        <v>4.8780000000000001</v>
      </c>
      <c r="G19" s="10" t="s">
        <v>41</v>
      </c>
      <c r="H19" s="10" t="s">
        <v>30</v>
      </c>
      <c r="I19" s="10" t="s">
        <v>31</v>
      </c>
      <c r="J19" s="11">
        <v>65</v>
      </c>
      <c r="K19" s="11">
        <f>(4899+1103+3634+1379+1379+3322+5930+5554+2114+689+1379+1241)/1000</f>
        <v>32.622999999999998</v>
      </c>
      <c r="L19" s="11">
        <f>ROUND(SUMIFS(Table3[Stock],Table3[key],Table1[[#This Row],[key]])/1000+SUMIFS(Table3[In Transit],Table3[key],Table1[[#This Row],[key]])/1000,2)</f>
        <v>4.71</v>
      </c>
      <c r="M19" s="10">
        <v>45</v>
      </c>
      <c r="N19" s="10">
        <v>3</v>
      </c>
      <c r="O19" s="10" t="s">
        <v>6</v>
      </c>
      <c r="P19" s="10">
        <v>17</v>
      </c>
      <c r="Q19" s="10" t="s">
        <v>6</v>
      </c>
      <c r="R19" s="10" t="s">
        <v>6</v>
      </c>
      <c r="S19" s="10" t="s">
        <v>6</v>
      </c>
      <c r="T19" s="13" t="s">
        <v>6</v>
      </c>
    </row>
    <row r="20" spans="1:20" ht="15" customHeight="1" x14ac:dyDescent="0.3">
      <c r="A20" s="10">
        <v>20</v>
      </c>
      <c r="B20" s="10" t="s">
        <v>6</v>
      </c>
      <c r="C20" s="10" t="s">
        <v>6</v>
      </c>
      <c r="D20" s="10">
        <v>19.05</v>
      </c>
      <c r="E20" s="10">
        <v>2.2999999999999998</v>
      </c>
      <c r="F20" s="10">
        <v>6.6509999999999998</v>
      </c>
      <c r="G20" s="10" t="s">
        <v>42</v>
      </c>
      <c r="H20" s="10" t="s">
        <v>30</v>
      </c>
      <c r="I20" s="10" t="s">
        <v>31</v>
      </c>
      <c r="J20" s="11">
        <v>34</v>
      </c>
      <c r="K20" s="11">
        <f>(475+2345+2688+2071+3776+7089+3109+1216+3002)/1000</f>
        <v>25.771000000000001</v>
      </c>
      <c r="L20" s="11">
        <f>ROUND(SUMIFS(Table3[Stock],Table3[key],Table1[[#This Row],[key]])/1000+SUMIFS(Table3[In Transit],Table3[key],Table1[[#This Row],[key]])/1000,2)</f>
        <v>17.23</v>
      </c>
      <c r="M20" s="10">
        <v>30</v>
      </c>
      <c r="N20" s="10">
        <v>4</v>
      </c>
      <c r="O20" s="10" t="s">
        <v>6</v>
      </c>
      <c r="P20" s="10" t="s">
        <v>6</v>
      </c>
      <c r="Q20" s="10" t="s">
        <v>6</v>
      </c>
      <c r="R20" s="10" t="s">
        <v>6</v>
      </c>
      <c r="S20" s="10" t="s">
        <v>6</v>
      </c>
      <c r="T20" s="13" t="s">
        <v>6</v>
      </c>
    </row>
    <row r="21" spans="1:20" ht="15" customHeight="1" x14ac:dyDescent="0.3">
      <c r="A21" s="10">
        <v>24</v>
      </c>
      <c r="B21" s="10" t="s">
        <v>6</v>
      </c>
      <c r="C21" s="10">
        <v>943209</v>
      </c>
      <c r="D21" s="10">
        <v>21.4</v>
      </c>
      <c r="E21" s="10">
        <v>1.6</v>
      </c>
      <c r="F21" s="10">
        <v>4.6879999999999997</v>
      </c>
      <c r="G21" s="10" t="s">
        <v>43</v>
      </c>
      <c r="H21" s="10" t="s">
        <v>30</v>
      </c>
      <c r="I21" s="10" t="s">
        <v>31</v>
      </c>
      <c r="J21" s="11">
        <f t="shared" si="1"/>
        <v>5</v>
      </c>
      <c r="K21" s="11">
        <f>(73)/1000</f>
        <v>7.2999999999999995E-2</v>
      </c>
      <c r="L21" s="11">
        <f>ROUND(SUMIFS(Table3[Stock],Table3[key],Table1[[#This Row],[key]])/1000+SUMIFS(Table3[In Transit],Table3[key],Table1[[#This Row],[key]])/1000,2)</f>
        <v>0</v>
      </c>
      <c r="M21" s="10">
        <v>5</v>
      </c>
      <c r="N21" s="10" t="s">
        <v>6</v>
      </c>
      <c r="O21" s="10" t="s">
        <v>6</v>
      </c>
      <c r="P21" s="10" t="s">
        <v>6</v>
      </c>
      <c r="Q21" s="10" t="s">
        <v>6</v>
      </c>
      <c r="R21" s="10" t="s">
        <v>6</v>
      </c>
      <c r="S21" s="10" t="s">
        <v>6</v>
      </c>
      <c r="T21" s="13" t="s">
        <v>6</v>
      </c>
    </row>
    <row r="22" spans="1:20" ht="15" customHeight="1" x14ac:dyDescent="0.3">
      <c r="A22" s="10">
        <v>25</v>
      </c>
      <c r="B22" s="10" t="s">
        <v>6</v>
      </c>
      <c r="C22" s="10">
        <v>943209</v>
      </c>
      <c r="D22" s="10">
        <v>21.4</v>
      </c>
      <c r="E22" s="10">
        <v>2</v>
      </c>
      <c r="F22" s="10" t="s">
        <v>6</v>
      </c>
      <c r="G22" s="10" t="s">
        <v>6</v>
      </c>
      <c r="H22" s="10" t="s">
        <v>30</v>
      </c>
      <c r="I22" s="10" t="s">
        <v>31</v>
      </c>
      <c r="J22" s="11">
        <f t="shared" si="1"/>
        <v>0</v>
      </c>
      <c r="K22" s="11"/>
      <c r="L22" s="11">
        <f>ROUND(SUMIFS(Table3[Stock],Table3[key],Table1[[#This Row],[key]])/1000+SUMIFS(Table3[In Transit],Table3[key],Table1[[#This Row],[key]])/1000,2)</f>
        <v>0</v>
      </c>
      <c r="M22" s="10" t="s">
        <v>6</v>
      </c>
      <c r="N22" s="10" t="s">
        <v>6</v>
      </c>
      <c r="O22" s="10" t="s">
        <v>6</v>
      </c>
      <c r="P22" s="10" t="s">
        <v>6</v>
      </c>
      <c r="Q22" s="10" t="s">
        <v>6</v>
      </c>
      <c r="R22" s="10" t="s">
        <v>6</v>
      </c>
      <c r="S22" s="10" t="s">
        <v>6</v>
      </c>
      <c r="T22" s="13" t="s">
        <v>6</v>
      </c>
    </row>
    <row r="23" spans="1:20" ht="15" customHeight="1" x14ac:dyDescent="0.3">
      <c r="A23" s="10">
        <v>26</v>
      </c>
      <c r="B23" s="10" t="s">
        <v>6</v>
      </c>
      <c r="C23" s="10" t="s">
        <v>6</v>
      </c>
      <c r="D23" s="10">
        <v>22.2</v>
      </c>
      <c r="E23" s="10">
        <v>1.2</v>
      </c>
      <c r="F23" s="10">
        <v>3.6480000000000001</v>
      </c>
      <c r="G23" s="10" t="s">
        <v>44</v>
      </c>
      <c r="H23" s="10" t="s">
        <v>30</v>
      </c>
      <c r="I23" s="10" t="s">
        <v>31</v>
      </c>
      <c r="J23" s="11">
        <v>19.5</v>
      </c>
      <c r="K23" s="11">
        <f>(2156+1175+964+967+498+227+1061+1198+1625+389+893+693)/1000</f>
        <v>11.846</v>
      </c>
      <c r="L23" s="11">
        <f>ROUND(SUMIFS(Table3[Stock],Table3[key],Table1[[#This Row],[key]])/1000+SUMIFS(Table3[In Transit],Table3[key],Table1[[#This Row],[key]])/1000,2)</f>
        <v>21.04</v>
      </c>
      <c r="M23" s="10">
        <v>18</v>
      </c>
      <c r="N23" s="10">
        <v>1.5</v>
      </c>
      <c r="O23" s="10" t="s">
        <v>6</v>
      </c>
      <c r="P23" s="10" t="s">
        <v>6</v>
      </c>
      <c r="Q23" s="10" t="s">
        <v>6</v>
      </c>
      <c r="R23" s="10" t="s">
        <v>6</v>
      </c>
      <c r="S23" s="10" t="s">
        <v>6</v>
      </c>
      <c r="T23" s="13" t="s">
        <v>6</v>
      </c>
    </row>
    <row r="24" spans="1:20" ht="15" customHeight="1" x14ac:dyDescent="0.3">
      <c r="A24" s="10">
        <v>28</v>
      </c>
      <c r="B24" s="10" t="s">
        <v>6</v>
      </c>
      <c r="C24" s="10">
        <v>943209</v>
      </c>
      <c r="D24" s="10">
        <v>22.2</v>
      </c>
      <c r="E24" s="10">
        <v>1.4</v>
      </c>
      <c r="F24" s="10">
        <v>4.3090000000000002</v>
      </c>
      <c r="G24" s="10" t="s">
        <v>6</v>
      </c>
      <c r="H24" s="10" t="s">
        <v>39</v>
      </c>
      <c r="I24" s="10" t="s">
        <v>31</v>
      </c>
      <c r="J24" s="11">
        <f t="shared" si="1"/>
        <v>0</v>
      </c>
      <c r="K24" s="11"/>
      <c r="L24" s="11">
        <f>ROUND(SUMIFS(Table3[Stock],Table3[key],Table1[[#This Row],[key]])/1000+SUMIFS(Table3[In Transit],Table3[key],Table1[[#This Row],[key]])/1000,2)</f>
        <v>0</v>
      </c>
      <c r="M24" s="10" t="s">
        <v>6</v>
      </c>
      <c r="N24" s="10" t="s">
        <v>6</v>
      </c>
      <c r="O24" s="10" t="s">
        <v>6</v>
      </c>
      <c r="P24" s="10" t="s">
        <v>6</v>
      </c>
      <c r="Q24" s="10" t="s">
        <v>6</v>
      </c>
      <c r="R24" s="10" t="s">
        <v>6</v>
      </c>
      <c r="S24" s="10" t="s">
        <v>6</v>
      </c>
      <c r="T24" s="13" t="s">
        <v>6</v>
      </c>
    </row>
    <row r="25" spans="1:20" ht="15" customHeight="1" x14ac:dyDescent="0.3">
      <c r="A25" s="10">
        <v>29</v>
      </c>
      <c r="B25" s="10" t="s">
        <v>6</v>
      </c>
      <c r="C25" s="10">
        <v>943209</v>
      </c>
      <c r="D25" s="10">
        <v>22.2</v>
      </c>
      <c r="E25" s="10">
        <v>1.6</v>
      </c>
      <c r="F25" s="10">
        <v>4.609</v>
      </c>
      <c r="G25" s="10" t="s">
        <v>45</v>
      </c>
      <c r="H25" s="10" t="s">
        <v>30</v>
      </c>
      <c r="I25" s="10" t="s">
        <v>31</v>
      </c>
      <c r="J25" s="11">
        <v>106</v>
      </c>
      <c r="K25" s="11">
        <f>(10477+9811+3436+3431+7478+1854+10424+7865+2597+5930+8857+3226)/1000</f>
        <v>75.385999999999996</v>
      </c>
      <c r="L25" s="11">
        <f>ROUND(SUMIFS(Table3[Stock],Table3[key],Table1[[#This Row],[key]])/1000+SUMIFS(Table3[In Transit],Table3[key],Table1[[#This Row],[key]])/1000,2)</f>
        <v>139.44999999999999</v>
      </c>
      <c r="M25" s="10">
        <v>80</v>
      </c>
      <c r="N25" s="10">
        <v>1</v>
      </c>
      <c r="O25" s="10">
        <v>25</v>
      </c>
      <c r="P25" s="10" t="s">
        <v>6</v>
      </c>
      <c r="Q25" s="10" t="s">
        <v>6</v>
      </c>
      <c r="R25" s="10" t="s">
        <v>6</v>
      </c>
      <c r="S25" s="10" t="s">
        <v>6</v>
      </c>
      <c r="T25" s="13" t="s">
        <v>6</v>
      </c>
    </row>
    <row r="26" spans="1:20" ht="15" customHeight="1" x14ac:dyDescent="0.3">
      <c r="A26" s="10">
        <v>35</v>
      </c>
      <c r="B26" s="10" t="s">
        <v>6</v>
      </c>
      <c r="C26" s="10">
        <v>943209</v>
      </c>
      <c r="D26" s="10">
        <v>22.2</v>
      </c>
      <c r="E26" s="10">
        <v>2</v>
      </c>
      <c r="F26" s="10">
        <v>5.38</v>
      </c>
      <c r="G26" s="10" t="s">
        <v>47</v>
      </c>
      <c r="H26" s="10" t="s">
        <v>30</v>
      </c>
      <c r="I26" s="10" t="s">
        <v>48</v>
      </c>
      <c r="J26" s="11">
        <f t="shared" si="1"/>
        <v>0</v>
      </c>
      <c r="K26" s="11"/>
      <c r="L26" s="11">
        <f>ROUND(SUMIFS(Table3[Stock],Table3[key],Table1[[#This Row],[key]])/1000+SUMIFS(Table3[In Transit],Table3[key],Table1[[#This Row],[key]])/1000,2)</f>
        <v>34.19</v>
      </c>
      <c r="M26" s="10" t="s">
        <v>6</v>
      </c>
      <c r="N26" s="10" t="s">
        <v>6</v>
      </c>
      <c r="O26" s="10" t="s">
        <v>6</v>
      </c>
      <c r="P26" s="10" t="s">
        <v>6</v>
      </c>
      <c r="Q26" s="10" t="s">
        <v>6</v>
      </c>
      <c r="R26" s="10" t="s">
        <v>6</v>
      </c>
      <c r="S26" s="10" t="s">
        <v>6</v>
      </c>
      <c r="T26" s="13" t="s">
        <v>6</v>
      </c>
    </row>
    <row r="27" spans="1:20" ht="15" customHeight="1" x14ac:dyDescent="0.3">
      <c r="A27" s="10">
        <v>36</v>
      </c>
      <c r="B27" s="10" t="s">
        <v>6</v>
      </c>
      <c r="C27" s="10" t="s">
        <v>6</v>
      </c>
      <c r="D27" s="10">
        <v>22.2</v>
      </c>
      <c r="E27" s="10">
        <v>2</v>
      </c>
      <c r="F27" s="10" t="s">
        <v>6</v>
      </c>
      <c r="G27" s="10" t="s">
        <v>6</v>
      </c>
      <c r="H27" s="10" t="s">
        <v>6</v>
      </c>
      <c r="I27" s="10" t="s">
        <v>6</v>
      </c>
      <c r="J27" s="11">
        <f t="shared" si="1"/>
        <v>0</v>
      </c>
      <c r="K27" s="11"/>
      <c r="L27" s="11">
        <f>ROUND(SUMIFS(Table3[Stock],Table3[key],Table1[[#This Row],[key]])/1000+SUMIFS(Table3[In Transit],Table3[key],Table1[[#This Row],[key]])/1000,2)</f>
        <v>0</v>
      </c>
      <c r="M27" s="10" t="s">
        <v>6</v>
      </c>
      <c r="N27" s="10" t="s">
        <v>6</v>
      </c>
      <c r="O27" s="10" t="s">
        <v>6</v>
      </c>
      <c r="P27" s="10" t="s">
        <v>6</v>
      </c>
      <c r="Q27" s="10" t="s">
        <v>6</v>
      </c>
      <c r="R27" s="10" t="s">
        <v>6</v>
      </c>
      <c r="S27" s="10" t="s">
        <v>6</v>
      </c>
      <c r="T27" s="13" t="s">
        <v>6</v>
      </c>
    </row>
    <row r="28" spans="1:20" ht="15" customHeight="1" x14ac:dyDescent="0.3">
      <c r="A28" s="10">
        <v>37</v>
      </c>
      <c r="B28" s="10" t="s">
        <v>6</v>
      </c>
      <c r="C28" s="10" t="s">
        <v>6</v>
      </c>
      <c r="D28" s="10">
        <v>22.2</v>
      </c>
      <c r="E28" s="10">
        <v>2</v>
      </c>
      <c r="F28" s="10" t="s">
        <v>6</v>
      </c>
      <c r="G28" s="10" t="s">
        <v>6</v>
      </c>
      <c r="H28" s="10" t="s">
        <v>30</v>
      </c>
      <c r="I28" s="10" t="s">
        <v>31</v>
      </c>
      <c r="J28" s="11">
        <f t="shared" si="1"/>
        <v>0</v>
      </c>
      <c r="K28" s="11"/>
      <c r="L28" s="11">
        <f>ROUND(SUMIFS(Table3[Stock],Table3[key],Table1[[#This Row],[key]])/1000+SUMIFS(Table3[In Transit],Table3[key],Table1[[#This Row],[key]])/1000,2)</f>
        <v>0</v>
      </c>
      <c r="M28" s="10" t="s">
        <v>6</v>
      </c>
      <c r="N28" s="10" t="s">
        <v>6</v>
      </c>
      <c r="O28" s="10" t="s">
        <v>6</v>
      </c>
      <c r="P28" s="10" t="s">
        <v>6</v>
      </c>
      <c r="Q28" s="10" t="s">
        <v>6</v>
      </c>
      <c r="R28" s="10" t="s">
        <v>6</v>
      </c>
      <c r="S28" s="10" t="s">
        <v>6</v>
      </c>
      <c r="T28" s="13" t="s">
        <v>6</v>
      </c>
    </row>
    <row r="29" spans="1:20" ht="15" customHeight="1" x14ac:dyDescent="0.3">
      <c r="A29" s="10">
        <v>38</v>
      </c>
      <c r="B29" s="10" t="s">
        <v>6</v>
      </c>
      <c r="C29" s="10">
        <v>943209</v>
      </c>
      <c r="D29" s="10">
        <v>22.2</v>
      </c>
      <c r="E29" s="10">
        <v>2</v>
      </c>
      <c r="F29" s="10">
        <v>5.9279999999999999</v>
      </c>
      <c r="G29" s="10" t="s">
        <v>46</v>
      </c>
      <c r="H29" s="10" t="s">
        <v>30</v>
      </c>
      <c r="I29" s="10" t="s">
        <v>31</v>
      </c>
      <c r="J29" s="11">
        <f t="shared" si="1"/>
        <v>150</v>
      </c>
      <c r="K29" s="11">
        <f>(18615+15009+13801+6900+3404+12621+18743+15333+8034+18649+8128+12297)/1000</f>
        <v>151.53399999999999</v>
      </c>
      <c r="L29" s="11">
        <f>ROUND(SUMIFS(Table3[Stock],Table3[key],Table1[[#This Row],[key]])/1000+SUMIFS(Table3[In Transit],Table3[key],Table1[[#This Row],[key]])/1000,2)</f>
        <v>82.92</v>
      </c>
      <c r="M29" s="10">
        <v>90</v>
      </c>
      <c r="N29" s="10" t="s">
        <v>6</v>
      </c>
      <c r="O29" s="10" t="s">
        <v>6</v>
      </c>
      <c r="P29" s="10" t="s">
        <v>6</v>
      </c>
      <c r="Q29" s="10">
        <v>60</v>
      </c>
      <c r="R29" s="10" t="s">
        <v>6</v>
      </c>
      <c r="S29" s="10" t="s">
        <v>6</v>
      </c>
      <c r="T29" s="13" t="s">
        <v>6</v>
      </c>
    </row>
    <row r="30" spans="1:20" ht="15" customHeight="1" x14ac:dyDescent="0.3">
      <c r="A30" s="10">
        <v>39</v>
      </c>
      <c r="B30" s="10" t="s">
        <v>6</v>
      </c>
      <c r="C30" s="10">
        <v>943209</v>
      </c>
      <c r="D30" s="10">
        <v>22.2</v>
      </c>
      <c r="E30" s="10">
        <v>2</v>
      </c>
      <c r="F30" s="10">
        <v>5.9779999999999998</v>
      </c>
      <c r="G30" s="10" t="s">
        <v>49</v>
      </c>
      <c r="H30" s="10" t="s">
        <v>39</v>
      </c>
      <c r="I30" s="10" t="s">
        <v>48</v>
      </c>
      <c r="J30" s="11">
        <f t="shared" si="1"/>
        <v>60</v>
      </c>
      <c r="K30" s="11"/>
      <c r="L30" s="11">
        <f>ROUND(SUMIFS(Table3[Stock],Table3[key],Table1[[#This Row],[key]])/1000+SUMIFS(Table3[In Transit],Table3[key],Table1[[#This Row],[key]])/1000,2)</f>
        <v>35.25</v>
      </c>
      <c r="M30" s="10">
        <v>60</v>
      </c>
      <c r="N30" s="10" t="s">
        <v>6</v>
      </c>
      <c r="O30" s="10" t="s">
        <v>6</v>
      </c>
      <c r="P30" s="10" t="s">
        <v>6</v>
      </c>
      <c r="Q30" s="10" t="s">
        <v>6</v>
      </c>
      <c r="R30" s="10" t="s">
        <v>6</v>
      </c>
      <c r="S30" s="10" t="s">
        <v>6</v>
      </c>
      <c r="T30" s="13" t="s">
        <v>6</v>
      </c>
    </row>
    <row r="31" spans="1:20" ht="15" customHeight="1" x14ac:dyDescent="0.3">
      <c r="A31" s="10">
        <v>40</v>
      </c>
      <c r="B31" s="10" t="s">
        <v>6</v>
      </c>
      <c r="C31" s="10" t="s">
        <v>6</v>
      </c>
      <c r="D31" s="10">
        <v>22.2</v>
      </c>
      <c r="E31" s="10">
        <v>2.2999999999999998</v>
      </c>
      <c r="F31" s="10">
        <v>6.5019999999999998</v>
      </c>
      <c r="G31" s="10" t="s">
        <v>50</v>
      </c>
      <c r="H31" s="10" t="s">
        <v>39</v>
      </c>
      <c r="I31" s="10" t="s">
        <v>31</v>
      </c>
      <c r="J31" s="11">
        <f t="shared" si="1"/>
        <v>0</v>
      </c>
      <c r="K31" s="11"/>
      <c r="L31" s="11">
        <f>ROUND(SUMIFS(Table3[Stock],Table3[key],Table1[[#This Row],[key]])/1000+SUMIFS(Table3[In Transit],Table3[key],Table1[[#This Row],[key]])/1000,2)</f>
        <v>0</v>
      </c>
      <c r="M31" s="10" t="s">
        <v>6</v>
      </c>
      <c r="N31" s="10" t="s">
        <v>6</v>
      </c>
      <c r="O31" s="10" t="s">
        <v>6</v>
      </c>
      <c r="P31" s="10" t="s">
        <v>6</v>
      </c>
      <c r="Q31" s="10" t="s">
        <v>6</v>
      </c>
      <c r="R31" s="10" t="s">
        <v>6</v>
      </c>
      <c r="S31" s="10" t="s">
        <v>6</v>
      </c>
      <c r="T31" s="13" t="s">
        <v>6</v>
      </c>
    </row>
    <row r="32" spans="1:20" ht="15" customHeight="1" x14ac:dyDescent="0.3">
      <c r="A32" s="10">
        <v>42</v>
      </c>
      <c r="B32" s="10" t="s">
        <v>6</v>
      </c>
      <c r="C32" s="10">
        <v>943210</v>
      </c>
      <c r="D32" s="10">
        <v>25.4</v>
      </c>
      <c r="E32" s="10">
        <v>1.4</v>
      </c>
      <c r="F32" s="10">
        <v>4.5830000000000002</v>
      </c>
      <c r="G32" s="10" t="s">
        <v>6</v>
      </c>
      <c r="H32" s="10" t="s">
        <v>39</v>
      </c>
      <c r="I32" s="10" t="s">
        <v>48</v>
      </c>
      <c r="J32" s="11">
        <f t="shared" si="1"/>
        <v>0</v>
      </c>
      <c r="K32" s="11"/>
      <c r="L32" s="11">
        <f>ROUND(SUMIFS(Table3[Stock],Table3[key],Table1[[#This Row],[key]])/1000+SUMIFS(Table3[In Transit],Table3[key],Table1[[#This Row],[key]])/1000,2)</f>
        <v>0</v>
      </c>
      <c r="M32" s="10" t="s">
        <v>6</v>
      </c>
      <c r="N32" s="10" t="s">
        <v>6</v>
      </c>
      <c r="O32" s="10" t="s">
        <v>6</v>
      </c>
      <c r="P32" s="10" t="s">
        <v>6</v>
      </c>
      <c r="Q32" s="10" t="s">
        <v>6</v>
      </c>
      <c r="R32" s="10" t="s">
        <v>6</v>
      </c>
      <c r="S32" s="10" t="s">
        <v>6</v>
      </c>
      <c r="T32" s="13" t="s">
        <v>6</v>
      </c>
    </row>
    <row r="33" spans="1:20" ht="15" customHeight="1" x14ac:dyDescent="0.3">
      <c r="A33" s="10">
        <v>43</v>
      </c>
      <c r="B33" s="10" t="s">
        <v>6</v>
      </c>
      <c r="C33" s="10">
        <v>943210</v>
      </c>
      <c r="D33" s="10">
        <v>25.4</v>
      </c>
      <c r="E33" s="10">
        <v>1.4</v>
      </c>
      <c r="F33" s="10" t="s">
        <v>6</v>
      </c>
      <c r="G33" s="10" t="s">
        <v>6</v>
      </c>
      <c r="H33" s="10" t="s">
        <v>30</v>
      </c>
      <c r="I33" s="10" t="s">
        <v>48</v>
      </c>
      <c r="J33" s="11">
        <f t="shared" si="1"/>
        <v>0</v>
      </c>
      <c r="K33" s="11"/>
      <c r="L33" s="11">
        <f>ROUND(SUMIFS(Table3[Stock],Table3[key],Table1[[#This Row],[key]])/1000+SUMIFS(Table3[In Transit],Table3[key],Table1[[#This Row],[key]])/1000,2)</f>
        <v>0</v>
      </c>
      <c r="M33" s="10" t="s">
        <v>6</v>
      </c>
      <c r="N33" s="10" t="s">
        <v>6</v>
      </c>
      <c r="O33" s="10" t="s">
        <v>6</v>
      </c>
      <c r="P33" s="10" t="s">
        <v>6</v>
      </c>
      <c r="Q33" s="10" t="s">
        <v>6</v>
      </c>
      <c r="R33" s="10" t="s">
        <v>6</v>
      </c>
      <c r="S33" s="10" t="s">
        <v>6</v>
      </c>
      <c r="T33" s="13" t="s">
        <v>6</v>
      </c>
    </row>
    <row r="34" spans="1:20" ht="15" customHeight="1" x14ac:dyDescent="0.3">
      <c r="A34" s="10">
        <v>44</v>
      </c>
      <c r="B34" s="10" t="s">
        <v>6</v>
      </c>
      <c r="C34" s="10" t="s">
        <v>6</v>
      </c>
      <c r="D34" s="10">
        <v>25.4</v>
      </c>
      <c r="E34" s="10">
        <v>1.6</v>
      </c>
      <c r="F34" s="10" t="s">
        <v>6</v>
      </c>
      <c r="G34" s="10" t="s">
        <v>51</v>
      </c>
      <c r="H34" s="10" t="s">
        <v>30</v>
      </c>
      <c r="I34" s="10" t="s">
        <v>31</v>
      </c>
      <c r="J34" s="11">
        <v>41</v>
      </c>
      <c r="K34" s="11">
        <f>(4840+2558+4825+976+4135+3161+10401)/1000</f>
        <v>30.896000000000001</v>
      </c>
      <c r="L34" s="11">
        <f>ROUND(SUMIFS(Table3[Stock],Table3[key],Table1[[#This Row],[key]])/1000+SUMIFS(Table3[In Transit],Table3[key],Table1[[#This Row],[key]])/1000,2)</f>
        <v>41.07</v>
      </c>
      <c r="M34" s="10">
        <v>41</v>
      </c>
      <c r="N34" s="10" t="s">
        <v>6</v>
      </c>
      <c r="O34" s="10" t="s">
        <v>6</v>
      </c>
      <c r="P34" s="10" t="s">
        <v>6</v>
      </c>
      <c r="Q34" s="10" t="s">
        <v>6</v>
      </c>
      <c r="R34" s="10" t="s">
        <v>6</v>
      </c>
      <c r="S34" s="10" t="s">
        <v>6</v>
      </c>
      <c r="T34" s="13" t="s">
        <v>6</v>
      </c>
    </row>
    <row r="35" spans="1:20" ht="15" customHeight="1" x14ac:dyDescent="0.3">
      <c r="A35" s="10">
        <v>45</v>
      </c>
      <c r="B35" s="10" t="s">
        <v>6</v>
      </c>
      <c r="C35" s="10" t="s">
        <v>6</v>
      </c>
      <c r="D35" s="10">
        <v>25.4</v>
      </c>
      <c r="E35" s="10">
        <v>1.6</v>
      </c>
      <c r="F35" s="10" t="s">
        <v>6</v>
      </c>
      <c r="G35" s="10" t="s">
        <v>6</v>
      </c>
      <c r="H35" s="10" t="s">
        <v>6</v>
      </c>
      <c r="I35" s="10" t="s">
        <v>6</v>
      </c>
      <c r="J35" s="11">
        <f t="shared" si="1"/>
        <v>0</v>
      </c>
      <c r="K35" s="11"/>
      <c r="L35" s="11">
        <f>ROUND(SUMIFS(Table3[Stock],Table3[key],Table1[[#This Row],[key]])/1000+SUMIFS(Table3[In Transit],Table3[key],Table1[[#This Row],[key]])/1000,2)</f>
        <v>0</v>
      </c>
      <c r="M35" s="10" t="s">
        <v>6</v>
      </c>
      <c r="N35" s="10" t="s">
        <v>6</v>
      </c>
      <c r="O35" s="10" t="s">
        <v>6</v>
      </c>
      <c r="P35" s="10" t="s">
        <v>6</v>
      </c>
      <c r="Q35" s="10" t="s">
        <v>6</v>
      </c>
      <c r="R35" s="10" t="s">
        <v>6</v>
      </c>
      <c r="S35" s="10" t="s">
        <v>6</v>
      </c>
      <c r="T35" s="13" t="s">
        <v>6</v>
      </c>
    </row>
    <row r="36" spans="1:20" ht="15" customHeight="1" x14ac:dyDescent="0.3">
      <c r="A36" s="10">
        <v>47</v>
      </c>
      <c r="B36" s="10" t="s">
        <v>6</v>
      </c>
      <c r="C36" s="10">
        <v>943209</v>
      </c>
      <c r="D36" s="10">
        <v>25.4</v>
      </c>
      <c r="E36" s="10">
        <v>2</v>
      </c>
      <c r="F36" s="10">
        <v>6.74</v>
      </c>
      <c r="G36" s="10" t="s">
        <v>52</v>
      </c>
      <c r="H36" s="10" t="s">
        <v>30</v>
      </c>
      <c r="I36" s="10" t="s">
        <v>31</v>
      </c>
      <c r="J36" s="11">
        <f t="shared" si="1"/>
        <v>10</v>
      </c>
      <c r="K36" s="11">
        <f>(7540+1845+898+3266+4130+1633)/1000</f>
        <v>19.312000000000001</v>
      </c>
      <c r="L36" s="11">
        <f>ROUND(SUMIFS(Table3[Stock],Table3[key],Table1[[#This Row],[key]])/1000+SUMIFS(Table3[In Transit],Table3[key],Table1[[#This Row],[key]])/1000,2)</f>
        <v>27.5</v>
      </c>
      <c r="M36" s="10">
        <v>10</v>
      </c>
      <c r="N36" s="10" t="s">
        <v>6</v>
      </c>
      <c r="O36" s="10" t="s">
        <v>6</v>
      </c>
      <c r="P36" s="10" t="s">
        <v>6</v>
      </c>
      <c r="Q36" s="10" t="s">
        <v>6</v>
      </c>
      <c r="R36" s="10" t="s">
        <v>6</v>
      </c>
      <c r="S36" s="10" t="s">
        <v>6</v>
      </c>
      <c r="T36" s="13" t="s">
        <v>6</v>
      </c>
    </row>
    <row r="37" spans="1:20" ht="15" customHeight="1" x14ac:dyDescent="0.3">
      <c r="A37" s="10">
        <v>48</v>
      </c>
      <c r="B37" s="10" t="s">
        <v>6</v>
      </c>
      <c r="C37" s="10">
        <v>943209</v>
      </c>
      <c r="D37" s="10">
        <v>25.4</v>
      </c>
      <c r="E37" s="10">
        <v>2</v>
      </c>
      <c r="F37" s="10" t="s">
        <v>6</v>
      </c>
      <c r="G37" s="10" t="s">
        <v>6</v>
      </c>
      <c r="H37" s="10" t="s">
        <v>30</v>
      </c>
      <c r="I37" s="10" t="s">
        <v>31</v>
      </c>
      <c r="J37" s="11">
        <f t="shared" si="1"/>
        <v>0</v>
      </c>
      <c r="K37" s="11"/>
      <c r="L37" s="11">
        <f>ROUND(SUMIFS(Table3[Stock],Table3[key],Table1[[#This Row],[key]])/1000+SUMIFS(Table3[In Transit],Table3[key],Table1[[#This Row],[key]])/1000,2)</f>
        <v>0</v>
      </c>
      <c r="M37" s="10" t="s">
        <v>6</v>
      </c>
      <c r="N37" s="10" t="s">
        <v>6</v>
      </c>
      <c r="O37" s="10" t="s">
        <v>6</v>
      </c>
      <c r="P37" s="10" t="s">
        <v>6</v>
      </c>
      <c r="Q37" s="10" t="s">
        <v>6</v>
      </c>
      <c r="R37" s="10" t="s">
        <v>6</v>
      </c>
      <c r="S37" s="10" t="s">
        <v>6</v>
      </c>
      <c r="T37" s="13" t="s">
        <v>6</v>
      </c>
    </row>
    <row r="38" spans="1:20" ht="15" customHeight="1" x14ac:dyDescent="0.3">
      <c r="A38" s="10">
        <v>50</v>
      </c>
      <c r="B38" s="10" t="s">
        <v>6</v>
      </c>
      <c r="C38" s="10">
        <v>943209</v>
      </c>
      <c r="D38" s="10">
        <v>25.4</v>
      </c>
      <c r="E38" s="10">
        <v>2.5</v>
      </c>
      <c r="F38" s="10">
        <v>7.8079999999999998</v>
      </c>
      <c r="G38" s="10" t="s">
        <v>53</v>
      </c>
      <c r="H38" s="10" t="s">
        <v>30</v>
      </c>
      <c r="I38" s="10" t="s">
        <v>48</v>
      </c>
      <c r="J38" s="11">
        <f t="shared" si="1"/>
        <v>56</v>
      </c>
      <c r="K38" s="11"/>
      <c r="L38" s="11">
        <f>ROUND(SUMIFS(Table3[Stock],Table3[key],Table1[[#This Row],[key]])/1000+SUMIFS(Table3[In Transit],Table3[key],Table1[[#This Row],[key]])/1000,2)</f>
        <v>44.17</v>
      </c>
      <c r="M38" s="10">
        <v>56</v>
      </c>
      <c r="N38" s="10" t="s">
        <v>6</v>
      </c>
      <c r="O38" s="10" t="s">
        <v>6</v>
      </c>
      <c r="P38" s="10" t="s">
        <v>6</v>
      </c>
      <c r="Q38" s="10" t="s">
        <v>6</v>
      </c>
      <c r="R38" s="10" t="s">
        <v>6</v>
      </c>
      <c r="S38" s="10" t="s">
        <v>6</v>
      </c>
      <c r="T38" s="13" t="s">
        <v>6</v>
      </c>
    </row>
    <row r="39" spans="1:20" ht="15" customHeight="1" x14ac:dyDescent="0.3">
      <c r="A39" s="10">
        <v>51</v>
      </c>
      <c r="B39" s="10" t="s">
        <v>6</v>
      </c>
      <c r="C39" s="10" t="s">
        <v>6</v>
      </c>
      <c r="D39" s="10">
        <v>25.4</v>
      </c>
      <c r="E39" s="10">
        <v>2.5</v>
      </c>
      <c r="F39" s="10">
        <v>8.33</v>
      </c>
      <c r="G39" s="10" t="s">
        <v>54</v>
      </c>
      <c r="H39" s="10" t="s">
        <v>30</v>
      </c>
      <c r="I39" s="10" t="s">
        <v>48</v>
      </c>
      <c r="J39" s="11">
        <f t="shared" si="1"/>
        <v>0</v>
      </c>
      <c r="K39" s="11">
        <f>(16582+6632+13625+13265+10200+5527)/1000</f>
        <v>65.831000000000003</v>
      </c>
      <c r="L39" s="11">
        <f>ROUND(SUMIFS(Table3[Stock],Table3[key],Table1[[#This Row],[key]])/1000+SUMIFS(Table3[In Transit],Table3[key],Table1[[#This Row],[key]])/1000,2)</f>
        <v>0</v>
      </c>
      <c r="M39" s="10" t="s">
        <v>6</v>
      </c>
      <c r="N39" s="10" t="s">
        <v>6</v>
      </c>
      <c r="O39" s="10" t="s">
        <v>6</v>
      </c>
      <c r="P39" s="10" t="s">
        <v>6</v>
      </c>
      <c r="Q39" s="10" t="s">
        <v>6</v>
      </c>
      <c r="R39" s="10" t="s">
        <v>6</v>
      </c>
      <c r="S39" s="10" t="s">
        <v>6</v>
      </c>
      <c r="T39" s="13" t="s">
        <v>6</v>
      </c>
    </row>
    <row r="40" spans="1:20" ht="15" customHeight="1" x14ac:dyDescent="0.3">
      <c r="A40" s="10">
        <v>52</v>
      </c>
      <c r="B40" s="10" t="s">
        <v>6</v>
      </c>
      <c r="C40" s="10" t="s">
        <v>6</v>
      </c>
      <c r="D40" s="10">
        <v>25.4</v>
      </c>
      <c r="E40" s="10">
        <v>2.6</v>
      </c>
      <c r="F40" s="10">
        <v>5.117</v>
      </c>
      <c r="G40" s="10" t="s">
        <v>55</v>
      </c>
      <c r="H40" s="10" t="s">
        <v>56</v>
      </c>
      <c r="I40" s="10" t="s">
        <v>48</v>
      </c>
      <c r="J40" s="11">
        <f t="shared" si="1"/>
        <v>0</v>
      </c>
      <c r="K40" s="11"/>
      <c r="L40" s="11">
        <f>ROUND(SUMIFS(Table3[Stock],Table3[key],Table1[[#This Row],[key]])/1000+SUMIFS(Table3[In Transit],Table3[key],Table1[[#This Row],[key]])/1000,2)</f>
        <v>3.48</v>
      </c>
      <c r="M40" s="10" t="s">
        <v>6</v>
      </c>
      <c r="N40" s="10" t="s">
        <v>6</v>
      </c>
      <c r="O40" s="10" t="s">
        <v>6</v>
      </c>
      <c r="P40" s="10" t="s">
        <v>6</v>
      </c>
      <c r="Q40" s="10" t="s">
        <v>6</v>
      </c>
      <c r="R40" s="10" t="s">
        <v>6</v>
      </c>
      <c r="S40" s="10" t="s">
        <v>6</v>
      </c>
      <c r="T40" s="13" t="s">
        <v>6</v>
      </c>
    </row>
    <row r="41" spans="1:20" ht="15" customHeight="1" x14ac:dyDescent="0.3">
      <c r="A41" s="10">
        <v>54</v>
      </c>
      <c r="B41" s="10" t="s">
        <v>6</v>
      </c>
      <c r="C41" s="10" t="s">
        <v>6</v>
      </c>
      <c r="D41" s="10">
        <v>25.4</v>
      </c>
      <c r="E41" s="10">
        <v>4</v>
      </c>
      <c r="F41" s="10">
        <v>9.2889999999999997</v>
      </c>
      <c r="G41" s="10" t="s">
        <v>6</v>
      </c>
      <c r="H41" s="10" t="s">
        <v>56</v>
      </c>
      <c r="I41" s="10" t="s">
        <v>48</v>
      </c>
      <c r="J41" s="11">
        <f t="shared" si="1"/>
        <v>0</v>
      </c>
      <c r="K41" s="11"/>
      <c r="L41" s="11">
        <f>ROUND(SUMIFS(Table3[Stock],Table3[key],Table1[[#This Row],[key]])/1000+SUMIFS(Table3[In Transit],Table3[key],Table1[[#This Row],[key]])/1000,2)</f>
        <v>0</v>
      </c>
      <c r="M41" s="10" t="s">
        <v>6</v>
      </c>
      <c r="N41" s="10" t="s">
        <v>6</v>
      </c>
      <c r="O41" s="10" t="s">
        <v>6</v>
      </c>
      <c r="P41" s="10" t="s">
        <v>6</v>
      </c>
      <c r="Q41" s="10" t="s">
        <v>6</v>
      </c>
      <c r="R41" s="10" t="s">
        <v>6</v>
      </c>
      <c r="S41" s="10" t="s">
        <v>6</v>
      </c>
      <c r="T41" s="13" t="s">
        <v>6</v>
      </c>
    </row>
    <row r="42" spans="1:20" ht="15" customHeight="1" x14ac:dyDescent="0.3">
      <c r="A42" s="10">
        <v>55</v>
      </c>
      <c r="B42" s="10" t="s">
        <v>6</v>
      </c>
      <c r="C42" s="10">
        <v>943209</v>
      </c>
      <c r="D42" s="10">
        <v>28.58</v>
      </c>
      <c r="E42" s="10">
        <v>1.2</v>
      </c>
      <c r="F42" s="10">
        <v>4.8620000000000001</v>
      </c>
      <c r="G42" s="10" t="s">
        <v>57</v>
      </c>
      <c r="H42" s="10" t="s">
        <v>30</v>
      </c>
      <c r="I42" s="10" t="s">
        <v>48</v>
      </c>
      <c r="J42" s="11">
        <f t="shared" si="1"/>
        <v>0</v>
      </c>
      <c r="K42" s="11"/>
      <c r="L42" s="11">
        <f>ROUND(SUMIFS(Table3[Stock],Table3[key],Table1[[#This Row],[key]])/1000+SUMIFS(Table3[In Transit],Table3[key],Table1[[#This Row],[key]])/1000,2)</f>
        <v>0</v>
      </c>
      <c r="M42" s="10" t="s">
        <v>6</v>
      </c>
      <c r="N42" s="10" t="s">
        <v>6</v>
      </c>
      <c r="O42" s="10" t="s">
        <v>6</v>
      </c>
      <c r="P42" s="10" t="s">
        <v>6</v>
      </c>
      <c r="Q42" s="10" t="s">
        <v>6</v>
      </c>
      <c r="R42" s="10" t="s">
        <v>6</v>
      </c>
      <c r="S42" s="10" t="s">
        <v>6</v>
      </c>
      <c r="T42" s="13" t="s">
        <v>6</v>
      </c>
    </row>
    <row r="43" spans="1:20" ht="15" customHeight="1" x14ac:dyDescent="0.3">
      <c r="A43" s="10">
        <v>56</v>
      </c>
      <c r="B43" s="10" t="s">
        <v>6</v>
      </c>
      <c r="C43" s="10" t="s">
        <v>6</v>
      </c>
      <c r="D43" s="10">
        <v>28.58</v>
      </c>
      <c r="E43" s="10">
        <v>2.6</v>
      </c>
      <c r="F43" s="10">
        <v>7.4960000000000004</v>
      </c>
      <c r="G43" s="10" t="s">
        <v>58</v>
      </c>
      <c r="H43" s="10" t="s">
        <v>56</v>
      </c>
      <c r="I43" s="10" t="s">
        <v>48</v>
      </c>
      <c r="J43" s="11">
        <f t="shared" si="1"/>
        <v>8</v>
      </c>
      <c r="K43" s="11"/>
      <c r="L43" s="11">
        <f>ROUND(SUMIFS(Table3[Stock],Table3[key],Table1[[#This Row],[key]])/1000+SUMIFS(Table3[In Transit],Table3[key],Table1[[#This Row],[key]])/1000,2)</f>
        <v>0</v>
      </c>
      <c r="M43" s="10">
        <v>3</v>
      </c>
      <c r="N43" s="10" t="s">
        <v>6</v>
      </c>
      <c r="O43" s="10" t="s">
        <v>6</v>
      </c>
      <c r="P43" s="10" t="s">
        <v>6</v>
      </c>
      <c r="Q43" s="10">
        <v>5</v>
      </c>
      <c r="R43" s="10" t="s">
        <v>6</v>
      </c>
      <c r="S43" s="10" t="s">
        <v>6</v>
      </c>
      <c r="T43" s="13" t="s">
        <v>6</v>
      </c>
    </row>
    <row r="44" spans="1:20" ht="15" customHeight="1" x14ac:dyDescent="0.3">
      <c r="A44" s="10">
        <v>58</v>
      </c>
      <c r="B44" s="10" t="s">
        <v>6</v>
      </c>
      <c r="C44" s="10">
        <v>943210</v>
      </c>
      <c r="D44" s="10">
        <v>28.58</v>
      </c>
      <c r="E44" s="10">
        <v>3.2</v>
      </c>
      <c r="F44" s="10">
        <v>12.016999999999999</v>
      </c>
      <c r="G44" s="10" t="s">
        <v>6</v>
      </c>
      <c r="H44" s="10" t="s">
        <v>30</v>
      </c>
      <c r="I44" s="10" t="s">
        <v>48</v>
      </c>
      <c r="J44" s="11">
        <f t="shared" si="1"/>
        <v>0</v>
      </c>
      <c r="K44" s="11"/>
      <c r="L44" s="11">
        <f>ROUND(SUMIFS(Table3[Stock],Table3[key],Table1[[#This Row],[key]])/1000+SUMIFS(Table3[In Transit],Table3[key],Table1[[#This Row],[key]])/1000,2)</f>
        <v>0</v>
      </c>
      <c r="M44" s="10" t="s">
        <v>6</v>
      </c>
      <c r="N44" s="10" t="s">
        <v>6</v>
      </c>
      <c r="O44" s="10" t="s">
        <v>6</v>
      </c>
      <c r="P44" s="10" t="s">
        <v>6</v>
      </c>
      <c r="Q44" s="10" t="s">
        <v>6</v>
      </c>
      <c r="R44" s="10" t="s">
        <v>6</v>
      </c>
      <c r="S44" s="10" t="s">
        <v>6</v>
      </c>
      <c r="T44" s="13" t="s">
        <v>6</v>
      </c>
    </row>
    <row r="45" spans="1:20" ht="15" customHeight="1" x14ac:dyDescent="0.3">
      <c r="A45" s="10">
        <v>59</v>
      </c>
      <c r="B45" s="10" t="s">
        <v>6</v>
      </c>
      <c r="C45" s="10" t="s">
        <v>6</v>
      </c>
      <c r="D45" s="10">
        <v>29.4</v>
      </c>
      <c r="E45" s="10">
        <v>4.5</v>
      </c>
      <c r="F45" s="10" t="s">
        <v>6</v>
      </c>
      <c r="G45" s="10" t="s">
        <v>90</v>
      </c>
      <c r="H45" s="10" t="s">
        <v>56</v>
      </c>
      <c r="I45" s="10" t="s">
        <v>48</v>
      </c>
      <c r="J45" s="11">
        <f t="shared" si="1"/>
        <v>25</v>
      </c>
      <c r="K45" s="11"/>
      <c r="L45" s="11">
        <f>ROUND(SUMIFS(Table3[Stock],Table3[key],Table1[[#This Row],[key]])/1000+SUMIFS(Table3[In Transit],Table3[key],Table1[[#This Row],[key]])/1000,2)</f>
        <v>0</v>
      </c>
      <c r="M45" s="10" t="s">
        <v>6</v>
      </c>
      <c r="N45" s="10" t="s">
        <v>6</v>
      </c>
      <c r="O45" s="10" t="s">
        <v>6</v>
      </c>
      <c r="P45" s="10" t="s">
        <v>6</v>
      </c>
      <c r="Q45" s="10" t="s">
        <v>6</v>
      </c>
      <c r="R45" s="10">
        <v>25</v>
      </c>
      <c r="S45" s="10" t="s">
        <v>6</v>
      </c>
      <c r="T45" s="13" t="s">
        <v>6</v>
      </c>
    </row>
    <row r="46" spans="1:20" ht="15" customHeight="1" x14ac:dyDescent="0.3">
      <c r="A46" s="10">
        <v>60</v>
      </c>
      <c r="B46" s="10" t="s">
        <v>6</v>
      </c>
      <c r="C46" s="10" t="s">
        <v>6</v>
      </c>
      <c r="D46" s="10">
        <v>30</v>
      </c>
      <c r="E46" s="10">
        <v>3</v>
      </c>
      <c r="F46" s="10">
        <v>6.992</v>
      </c>
      <c r="G46" s="10" t="s">
        <v>6</v>
      </c>
      <c r="H46" s="10" t="s">
        <v>56</v>
      </c>
      <c r="I46" s="10" t="s">
        <v>48</v>
      </c>
      <c r="J46" s="11">
        <f t="shared" si="1"/>
        <v>0</v>
      </c>
      <c r="K46" s="11"/>
      <c r="L46" s="11">
        <f>ROUND(SUMIFS(Table3[Stock],Table3[key],Table1[[#This Row],[key]])/1000+SUMIFS(Table3[In Transit],Table3[key],Table1[[#This Row],[key]])/1000,2)</f>
        <v>0</v>
      </c>
      <c r="M46" s="10" t="s">
        <v>6</v>
      </c>
      <c r="N46" s="10" t="s">
        <v>6</v>
      </c>
      <c r="O46" s="10" t="s">
        <v>6</v>
      </c>
      <c r="P46" s="10" t="s">
        <v>6</v>
      </c>
      <c r="Q46" s="10" t="s">
        <v>6</v>
      </c>
      <c r="R46" s="10" t="s">
        <v>6</v>
      </c>
      <c r="S46" s="10" t="s">
        <v>6</v>
      </c>
      <c r="T46" s="13" t="s">
        <v>6</v>
      </c>
    </row>
    <row r="47" spans="1:20" ht="15" customHeight="1" x14ac:dyDescent="0.3">
      <c r="A47" s="10">
        <v>61</v>
      </c>
      <c r="B47" s="10" t="s">
        <v>6</v>
      </c>
      <c r="C47" s="10" t="s">
        <v>6</v>
      </c>
      <c r="D47" s="10">
        <v>31.75</v>
      </c>
      <c r="E47" s="10">
        <v>1.2</v>
      </c>
      <c r="F47" s="10" t="s">
        <v>6</v>
      </c>
      <c r="G47" s="10" t="s">
        <v>59</v>
      </c>
      <c r="H47" s="10" t="s">
        <v>30</v>
      </c>
      <c r="I47" s="10" t="s">
        <v>48</v>
      </c>
      <c r="J47" s="11">
        <f t="shared" si="1"/>
        <v>5</v>
      </c>
      <c r="K47" s="11">
        <f>(537+1613+2652)/1000</f>
        <v>4.8019999999999996</v>
      </c>
      <c r="L47" s="11">
        <f>ROUND(SUMIFS(Table3[Stock],Table3[key],Table1[[#This Row],[key]])/1000+SUMIFS(Table3[In Transit],Table3[key],Table1[[#This Row],[key]])/1000,2)</f>
        <v>22.28</v>
      </c>
      <c r="M47" s="10" t="s">
        <v>6</v>
      </c>
      <c r="N47" s="10">
        <v>5</v>
      </c>
      <c r="O47" s="10" t="s">
        <v>6</v>
      </c>
      <c r="P47" s="10" t="s">
        <v>6</v>
      </c>
      <c r="Q47" s="10" t="s">
        <v>6</v>
      </c>
      <c r="R47" s="10" t="s">
        <v>6</v>
      </c>
      <c r="S47" s="10" t="s">
        <v>6</v>
      </c>
      <c r="T47" s="13" t="s">
        <v>6</v>
      </c>
    </row>
    <row r="48" spans="1:20" ht="15" customHeight="1" x14ac:dyDescent="0.3">
      <c r="A48" s="10">
        <v>63</v>
      </c>
      <c r="B48" s="10" t="s">
        <v>6</v>
      </c>
      <c r="C48" s="10" t="s">
        <v>6</v>
      </c>
      <c r="D48" s="10">
        <v>31.75</v>
      </c>
      <c r="E48" s="10">
        <v>2</v>
      </c>
      <c r="F48" s="10">
        <v>8.657</v>
      </c>
      <c r="G48" s="10" t="s">
        <v>6</v>
      </c>
      <c r="H48" s="10" t="s">
        <v>30</v>
      </c>
      <c r="I48" s="10" t="s">
        <v>48</v>
      </c>
      <c r="J48" s="11">
        <f t="shared" si="1"/>
        <v>0</v>
      </c>
      <c r="K48" s="11"/>
      <c r="L48" s="11">
        <f>ROUND(SUMIFS(Table3[Stock],Table3[key],Table1[[#This Row],[key]])/1000+SUMIFS(Table3[In Transit],Table3[key],Table1[[#This Row],[key]])/1000,2)</f>
        <v>0</v>
      </c>
      <c r="M48" s="10" t="s">
        <v>6</v>
      </c>
      <c r="N48" s="10" t="s">
        <v>6</v>
      </c>
      <c r="O48" s="10" t="s">
        <v>6</v>
      </c>
      <c r="P48" s="10" t="s">
        <v>6</v>
      </c>
      <c r="Q48" s="10" t="s">
        <v>6</v>
      </c>
      <c r="R48" s="10" t="s">
        <v>6</v>
      </c>
      <c r="S48" s="10" t="s">
        <v>6</v>
      </c>
      <c r="T48" s="13" t="s">
        <v>6</v>
      </c>
    </row>
    <row r="49" spans="1:20" ht="15" customHeight="1" x14ac:dyDescent="0.3">
      <c r="A49" s="10">
        <v>64</v>
      </c>
      <c r="B49" s="10" t="s">
        <v>6</v>
      </c>
      <c r="C49" s="10">
        <v>943209</v>
      </c>
      <c r="D49" s="10">
        <v>31.75</v>
      </c>
      <c r="E49" s="10">
        <v>2.2999999999999998</v>
      </c>
      <c r="F49" s="10">
        <v>10.023</v>
      </c>
      <c r="G49" s="10" t="s">
        <v>61</v>
      </c>
      <c r="H49" s="10" t="s">
        <v>30</v>
      </c>
      <c r="I49" s="10" t="s">
        <v>48</v>
      </c>
      <c r="J49" s="11">
        <f t="shared" si="1"/>
        <v>15</v>
      </c>
      <c r="K49" s="11">
        <f>(1773+4191+1289+1289+644+1160+3153+967)/1000</f>
        <v>14.465999999999999</v>
      </c>
      <c r="L49" s="11">
        <f>ROUND(SUMIFS(Table3[Stock],Table3[key],Table1[[#This Row],[key]])/1000+SUMIFS(Table3[In Transit],Table3[key],Table1[[#This Row],[key]])/1000,2)</f>
        <v>22.29</v>
      </c>
      <c r="M49" s="10">
        <v>15</v>
      </c>
      <c r="N49" s="10" t="s">
        <v>6</v>
      </c>
      <c r="O49" s="10" t="s">
        <v>6</v>
      </c>
      <c r="P49" s="10" t="s">
        <v>6</v>
      </c>
      <c r="Q49" s="10" t="s">
        <v>6</v>
      </c>
      <c r="R49" s="10" t="s">
        <v>6</v>
      </c>
      <c r="S49" s="10" t="s">
        <v>6</v>
      </c>
      <c r="T49" s="13" t="s">
        <v>6</v>
      </c>
    </row>
    <row r="50" spans="1:20" ht="15" customHeight="1" x14ac:dyDescent="0.3">
      <c r="A50" s="10">
        <v>66</v>
      </c>
      <c r="B50" s="10" t="s">
        <v>6</v>
      </c>
      <c r="C50" s="10" t="s">
        <v>6</v>
      </c>
      <c r="D50" s="10">
        <v>31.75</v>
      </c>
      <c r="E50" s="10">
        <v>3.65</v>
      </c>
      <c r="F50" s="10">
        <v>15.176</v>
      </c>
      <c r="G50" s="10" t="s">
        <v>6</v>
      </c>
      <c r="H50" s="10" t="s">
        <v>56</v>
      </c>
      <c r="I50" s="10" t="s">
        <v>48</v>
      </c>
      <c r="J50" s="11">
        <f t="shared" ref="J50:J96" si="2">SUM(M50:R50)</f>
        <v>0</v>
      </c>
      <c r="K50" s="11"/>
      <c r="L50" s="11">
        <f>ROUND(SUMIFS(Table3[Stock],Table3[key],Table1[[#This Row],[key]])/1000+SUMIFS(Table3[In Transit],Table3[key],Table1[[#This Row],[key]])/1000,2)</f>
        <v>0</v>
      </c>
      <c r="M50" s="10" t="s">
        <v>6</v>
      </c>
      <c r="N50" s="10" t="s">
        <v>6</v>
      </c>
      <c r="O50" s="10" t="s">
        <v>6</v>
      </c>
      <c r="P50" s="10" t="s">
        <v>6</v>
      </c>
      <c r="Q50" s="10" t="s">
        <v>6</v>
      </c>
      <c r="R50" s="10" t="s">
        <v>6</v>
      </c>
      <c r="S50" s="10" t="s">
        <v>6</v>
      </c>
      <c r="T50" s="13" t="s">
        <v>6</v>
      </c>
    </row>
    <row r="51" spans="1:20" ht="15" customHeight="1" x14ac:dyDescent="0.3">
      <c r="A51" s="10">
        <v>67</v>
      </c>
      <c r="B51" s="10" t="s">
        <v>6</v>
      </c>
      <c r="C51" s="10" t="s">
        <v>6</v>
      </c>
      <c r="D51" s="10">
        <v>31.9</v>
      </c>
      <c r="E51" s="10">
        <v>4.55</v>
      </c>
      <c r="F51" s="10">
        <v>13.964</v>
      </c>
      <c r="G51" s="10" t="s">
        <v>6</v>
      </c>
      <c r="H51" s="10" t="s">
        <v>56</v>
      </c>
      <c r="I51" s="10" t="s">
        <v>48</v>
      </c>
      <c r="J51" s="11">
        <f t="shared" si="2"/>
        <v>0</v>
      </c>
      <c r="K51" s="11"/>
      <c r="L51" s="11">
        <f>ROUND(SUMIFS(Table3[Stock],Table3[key],Table1[[#This Row],[key]])/1000+SUMIFS(Table3[In Transit],Table3[key],Table1[[#This Row],[key]])/1000,2)</f>
        <v>0</v>
      </c>
      <c r="M51" s="10" t="s">
        <v>6</v>
      </c>
      <c r="N51" s="10" t="s">
        <v>6</v>
      </c>
      <c r="O51" s="10" t="s">
        <v>6</v>
      </c>
      <c r="P51" s="10" t="s">
        <v>6</v>
      </c>
      <c r="Q51" s="10" t="s">
        <v>6</v>
      </c>
      <c r="R51" s="10" t="s">
        <v>6</v>
      </c>
      <c r="S51" s="10" t="s">
        <v>6</v>
      </c>
      <c r="T51" s="13" t="s">
        <v>6</v>
      </c>
    </row>
    <row r="52" spans="1:20" ht="15" customHeight="1" x14ac:dyDescent="0.3">
      <c r="A52" s="10">
        <v>68</v>
      </c>
      <c r="B52" s="10" t="s">
        <v>6</v>
      </c>
      <c r="C52" s="10">
        <v>943210</v>
      </c>
      <c r="D52" s="10">
        <v>34</v>
      </c>
      <c r="E52" s="10">
        <v>1.4</v>
      </c>
      <c r="F52" s="10">
        <v>7.3390000000000004</v>
      </c>
      <c r="G52" s="10" t="s">
        <v>6</v>
      </c>
      <c r="H52" s="10" t="s">
        <v>30</v>
      </c>
      <c r="I52" s="10" t="s">
        <v>48</v>
      </c>
      <c r="J52" s="11">
        <f t="shared" si="2"/>
        <v>0</v>
      </c>
      <c r="K52" s="11"/>
      <c r="L52" s="11">
        <f>ROUND(SUMIFS(Table3[Stock],Table3[key],Table1[[#This Row],[key]])/1000+SUMIFS(Table3[In Transit],Table3[key],Table1[[#This Row],[key]])/1000,2)</f>
        <v>0</v>
      </c>
      <c r="M52" s="10" t="s">
        <v>6</v>
      </c>
      <c r="N52" s="10" t="s">
        <v>6</v>
      </c>
      <c r="O52" s="10" t="s">
        <v>6</v>
      </c>
      <c r="P52" s="10" t="s">
        <v>6</v>
      </c>
      <c r="Q52" s="10" t="s">
        <v>6</v>
      </c>
      <c r="R52" s="10" t="s">
        <v>6</v>
      </c>
      <c r="S52" s="10" t="s">
        <v>6</v>
      </c>
      <c r="T52" s="13" t="s">
        <v>6</v>
      </c>
    </row>
    <row r="53" spans="1:20" ht="15" customHeight="1" x14ac:dyDescent="0.3">
      <c r="A53" s="10">
        <v>69</v>
      </c>
      <c r="B53" s="10" t="s">
        <v>6</v>
      </c>
      <c r="C53" s="10">
        <v>943211</v>
      </c>
      <c r="D53" s="10">
        <v>34.93</v>
      </c>
      <c r="E53" s="10">
        <v>1.2</v>
      </c>
      <c r="F53" s="10">
        <v>5.0910000000000002</v>
      </c>
      <c r="G53" s="10" t="s">
        <v>62</v>
      </c>
      <c r="H53" s="10" t="s">
        <v>30</v>
      </c>
      <c r="I53" s="10" t="s">
        <v>48</v>
      </c>
      <c r="J53" s="11">
        <f t="shared" si="2"/>
        <v>1</v>
      </c>
      <c r="K53" s="11">
        <f>(673+673)/1000</f>
        <v>1.3460000000000001</v>
      </c>
      <c r="L53" s="11">
        <f>ROUND(SUMIFS(Table3[Stock],Table3[key],Table1[[#This Row],[key]])/1000+SUMIFS(Table3[In Transit],Table3[key],Table1[[#This Row],[key]])/1000,2)</f>
        <v>10.95</v>
      </c>
      <c r="M53" s="10" t="s">
        <v>6</v>
      </c>
      <c r="N53" s="10">
        <v>1</v>
      </c>
      <c r="O53" s="10" t="s">
        <v>6</v>
      </c>
      <c r="P53" s="10" t="s">
        <v>6</v>
      </c>
      <c r="Q53" s="10" t="s">
        <v>6</v>
      </c>
      <c r="R53" s="10" t="s">
        <v>6</v>
      </c>
      <c r="S53" s="10" t="s">
        <v>6</v>
      </c>
      <c r="T53" s="13" t="s">
        <v>6</v>
      </c>
    </row>
    <row r="54" spans="1:20" ht="15" customHeight="1" x14ac:dyDescent="0.3">
      <c r="A54" s="10">
        <v>70</v>
      </c>
      <c r="B54" s="10" t="s">
        <v>6</v>
      </c>
      <c r="C54" s="10">
        <v>943211</v>
      </c>
      <c r="D54" s="10">
        <v>34.93</v>
      </c>
      <c r="E54" s="10">
        <v>1.2</v>
      </c>
      <c r="F54" s="10" t="s">
        <v>6</v>
      </c>
      <c r="G54" s="10" t="s">
        <v>6</v>
      </c>
      <c r="H54" s="10" t="s">
        <v>30</v>
      </c>
      <c r="I54" s="10" t="s">
        <v>48</v>
      </c>
      <c r="J54" s="11">
        <f t="shared" si="2"/>
        <v>0</v>
      </c>
      <c r="K54" s="11"/>
      <c r="L54" s="11">
        <f>ROUND(SUMIFS(Table3[Stock],Table3[key],Table1[[#This Row],[key]])/1000+SUMIFS(Table3[In Transit],Table3[key],Table1[[#This Row],[key]])/1000,2)</f>
        <v>0</v>
      </c>
      <c r="M54" s="10" t="s">
        <v>6</v>
      </c>
      <c r="N54" s="10" t="s">
        <v>6</v>
      </c>
      <c r="O54" s="10" t="s">
        <v>6</v>
      </c>
      <c r="P54" s="10" t="s">
        <v>6</v>
      </c>
      <c r="Q54" s="10" t="s">
        <v>6</v>
      </c>
      <c r="R54" s="10" t="s">
        <v>6</v>
      </c>
      <c r="S54" s="10" t="s">
        <v>6</v>
      </c>
      <c r="T54" s="13" t="s">
        <v>6</v>
      </c>
    </row>
    <row r="55" spans="1:20" ht="15" customHeight="1" x14ac:dyDescent="0.3">
      <c r="A55" s="10">
        <v>72</v>
      </c>
      <c r="B55" s="10" t="s">
        <v>6</v>
      </c>
      <c r="C55" s="10" t="s">
        <v>6</v>
      </c>
      <c r="D55" s="10">
        <v>34.93</v>
      </c>
      <c r="E55" s="10">
        <v>1.2</v>
      </c>
      <c r="F55" s="10">
        <v>620</v>
      </c>
      <c r="G55" s="10" t="s">
        <v>6</v>
      </c>
      <c r="H55" s="10" t="s">
        <v>30</v>
      </c>
      <c r="I55" s="10" t="s">
        <v>6</v>
      </c>
      <c r="J55" s="11">
        <f t="shared" si="2"/>
        <v>0</v>
      </c>
      <c r="K55" s="11"/>
      <c r="L55" s="11">
        <f>ROUND(SUMIFS(Table3[Stock],Table3[key],Table1[[#This Row],[key]])/1000+SUMIFS(Table3[In Transit],Table3[key],Table1[[#This Row],[key]])/1000,2)</f>
        <v>0</v>
      </c>
      <c r="M55" s="10" t="s">
        <v>6</v>
      </c>
      <c r="N55" s="10" t="s">
        <v>6</v>
      </c>
      <c r="O55" s="10" t="s">
        <v>6</v>
      </c>
      <c r="P55" s="10" t="s">
        <v>6</v>
      </c>
      <c r="Q55" s="10" t="s">
        <v>6</v>
      </c>
      <c r="R55" s="10" t="s">
        <v>6</v>
      </c>
      <c r="S55" s="10" t="s">
        <v>6</v>
      </c>
      <c r="T55" s="13" t="s">
        <v>6</v>
      </c>
    </row>
    <row r="56" spans="1:20" ht="15" customHeight="1" x14ac:dyDescent="0.3">
      <c r="A56" s="10">
        <v>73</v>
      </c>
      <c r="B56" s="10" t="s">
        <v>6</v>
      </c>
      <c r="C56" s="10" t="s">
        <v>6</v>
      </c>
      <c r="D56" s="10">
        <v>34.93</v>
      </c>
      <c r="E56" s="10">
        <v>1.2</v>
      </c>
      <c r="F56" s="10">
        <v>650</v>
      </c>
      <c r="G56" s="10" t="s">
        <v>6</v>
      </c>
      <c r="H56" s="10" t="s">
        <v>30</v>
      </c>
      <c r="I56" s="10" t="s">
        <v>6</v>
      </c>
      <c r="J56" s="11">
        <f t="shared" si="2"/>
        <v>0</v>
      </c>
      <c r="K56" s="11"/>
      <c r="L56" s="11">
        <f>ROUND(SUMIFS(Table3[Stock],Table3[key],Table1[[#This Row],[key]])/1000+SUMIFS(Table3[In Transit],Table3[key],Table1[[#This Row],[key]])/1000,2)</f>
        <v>0</v>
      </c>
      <c r="M56" s="10" t="s">
        <v>6</v>
      </c>
      <c r="N56" s="10" t="s">
        <v>6</v>
      </c>
      <c r="O56" s="10" t="s">
        <v>6</v>
      </c>
      <c r="P56" s="10" t="s">
        <v>6</v>
      </c>
      <c r="Q56" s="10" t="s">
        <v>6</v>
      </c>
      <c r="R56" s="10" t="s">
        <v>6</v>
      </c>
      <c r="S56" s="10" t="s">
        <v>6</v>
      </c>
      <c r="T56" s="13" t="s">
        <v>6</v>
      </c>
    </row>
    <row r="57" spans="1:20" ht="15" customHeight="1" x14ac:dyDescent="0.3">
      <c r="A57" s="10">
        <v>74</v>
      </c>
      <c r="B57" s="10" t="s">
        <v>6</v>
      </c>
      <c r="C57" s="10" t="s">
        <v>6</v>
      </c>
      <c r="D57" s="10">
        <v>34.93</v>
      </c>
      <c r="E57" s="10">
        <v>1.2</v>
      </c>
      <c r="F57" s="10">
        <v>780</v>
      </c>
      <c r="G57" s="10" t="s">
        <v>6</v>
      </c>
      <c r="H57" s="10" t="s">
        <v>30</v>
      </c>
      <c r="I57" s="10" t="s">
        <v>6</v>
      </c>
      <c r="J57" s="11">
        <f t="shared" si="2"/>
        <v>0</v>
      </c>
      <c r="K57" s="11"/>
      <c r="L57" s="11">
        <f>ROUND(SUMIFS(Table3[Stock],Table3[key],Table1[[#This Row],[key]])/1000+SUMIFS(Table3[In Transit],Table3[key],Table1[[#This Row],[key]])/1000,2)</f>
        <v>0</v>
      </c>
      <c r="M57" s="10" t="s">
        <v>6</v>
      </c>
      <c r="N57" s="10" t="s">
        <v>6</v>
      </c>
      <c r="O57" s="10" t="s">
        <v>6</v>
      </c>
      <c r="P57" s="10" t="s">
        <v>6</v>
      </c>
      <c r="Q57" s="10" t="s">
        <v>6</v>
      </c>
      <c r="R57" s="10" t="s">
        <v>6</v>
      </c>
      <c r="S57" s="10" t="s">
        <v>6</v>
      </c>
      <c r="T57" s="13" t="s">
        <v>6</v>
      </c>
    </row>
    <row r="58" spans="1:20" ht="15" customHeight="1" x14ac:dyDescent="0.3">
      <c r="A58" s="10">
        <v>75</v>
      </c>
      <c r="B58" s="10" t="s">
        <v>6</v>
      </c>
      <c r="C58" s="10" t="s">
        <v>6</v>
      </c>
      <c r="D58" s="10">
        <v>38.1</v>
      </c>
      <c r="E58" s="10">
        <v>1.6</v>
      </c>
      <c r="F58" s="10">
        <v>7.2009999999999996</v>
      </c>
      <c r="G58" s="10" t="s">
        <v>63</v>
      </c>
      <c r="H58" s="10" t="s">
        <v>30</v>
      </c>
      <c r="I58" s="10" t="s">
        <v>48</v>
      </c>
      <c r="J58" s="11">
        <f t="shared" si="2"/>
        <v>0</v>
      </c>
      <c r="K58" s="11"/>
      <c r="L58" s="11">
        <f>ROUND(SUMIFS(Table3[Stock],Table3[key],Table1[[#This Row],[key]])/1000+SUMIFS(Table3[In Transit],Table3[key],Table1[[#This Row],[key]])/1000,2)</f>
        <v>6.32</v>
      </c>
      <c r="M58" s="10" t="s">
        <v>6</v>
      </c>
      <c r="N58" s="10" t="s">
        <v>6</v>
      </c>
      <c r="O58" s="10" t="s">
        <v>6</v>
      </c>
      <c r="P58" s="10" t="s">
        <v>6</v>
      </c>
      <c r="Q58" s="10" t="s">
        <v>6</v>
      </c>
      <c r="R58" s="10" t="s">
        <v>6</v>
      </c>
      <c r="S58" s="10" t="s">
        <v>6</v>
      </c>
      <c r="T58" s="13" t="s">
        <v>6</v>
      </c>
    </row>
    <row r="59" spans="1:20" ht="15" customHeight="1" x14ac:dyDescent="0.3">
      <c r="A59" s="10">
        <v>76</v>
      </c>
      <c r="B59" s="10" t="s">
        <v>6</v>
      </c>
      <c r="C59" s="10">
        <v>943209</v>
      </c>
      <c r="D59" s="10">
        <v>38.1</v>
      </c>
      <c r="E59" s="10">
        <v>1.6</v>
      </c>
      <c r="F59" s="10">
        <v>8.9149999999999991</v>
      </c>
      <c r="G59" s="10" t="s">
        <v>64</v>
      </c>
      <c r="H59" s="10" t="s">
        <v>39</v>
      </c>
      <c r="I59" s="10" t="s">
        <v>48</v>
      </c>
      <c r="J59" s="11">
        <f t="shared" si="2"/>
        <v>64</v>
      </c>
      <c r="K59" s="11">
        <f>(5040+4415+2460+6570+4020+6469+3780+5677+2529+63)/1000</f>
        <v>41.023000000000003</v>
      </c>
      <c r="L59" s="11">
        <f>ROUND(SUMIFS(Table3[Stock],Table3[key],Table1[[#This Row],[key]])/1000+SUMIFS(Table3[In Transit],Table3[key],Table1[[#This Row],[key]])/1000,2)</f>
        <v>17.66</v>
      </c>
      <c r="M59" s="10">
        <v>44</v>
      </c>
      <c r="N59" s="10">
        <v>20</v>
      </c>
      <c r="O59" s="10" t="s">
        <v>6</v>
      </c>
      <c r="P59" s="10" t="s">
        <v>6</v>
      </c>
      <c r="Q59" s="10" t="s">
        <v>6</v>
      </c>
      <c r="R59" s="10" t="s">
        <v>6</v>
      </c>
      <c r="S59" s="10" t="s">
        <v>6</v>
      </c>
      <c r="T59" s="13" t="s">
        <v>6</v>
      </c>
    </row>
    <row r="60" spans="1:20" ht="15" customHeight="1" x14ac:dyDescent="0.3">
      <c r="A60" s="10">
        <v>78</v>
      </c>
      <c r="B60" s="10" t="s">
        <v>6</v>
      </c>
      <c r="C60" s="10">
        <v>943209</v>
      </c>
      <c r="D60" s="10">
        <v>38.1</v>
      </c>
      <c r="E60" s="10">
        <v>2</v>
      </c>
      <c r="F60" s="10">
        <v>10.06</v>
      </c>
      <c r="G60" s="10" t="s">
        <v>66</v>
      </c>
      <c r="H60" s="10" t="s">
        <v>30</v>
      </c>
      <c r="I60" s="10" t="s">
        <v>48</v>
      </c>
      <c r="J60" s="11">
        <f t="shared" si="2"/>
        <v>10</v>
      </c>
      <c r="K60" s="11">
        <f>(3958+3143+986+710+3987+953+3625+654+741+2466+896+986)/1000</f>
        <v>23.105</v>
      </c>
      <c r="L60" s="11">
        <f>ROUND(SUMIFS(Table3[Stock],Table3[key],Table1[[#This Row],[key]])/1000+SUMIFS(Table3[In Transit],Table3[key],Table1[[#This Row],[key]])/1000,2)</f>
        <v>42.44</v>
      </c>
      <c r="M60" s="10" t="s">
        <v>6</v>
      </c>
      <c r="N60" s="10">
        <v>10</v>
      </c>
      <c r="O60" s="10" t="s">
        <v>6</v>
      </c>
      <c r="P60" s="10" t="s">
        <v>6</v>
      </c>
      <c r="Q60" s="10" t="s">
        <v>6</v>
      </c>
      <c r="R60" s="10" t="s">
        <v>6</v>
      </c>
      <c r="S60" s="10" t="s">
        <v>6</v>
      </c>
      <c r="T60" s="13" t="s">
        <v>6</v>
      </c>
    </row>
    <row r="61" spans="1:20" ht="15" customHeight="1" x14ac:dyDescent="0.3">
      <c r="A61" s="10">
        <v>79</v>
      </c>
      <c r="B61" s="10" t="s">
        <v>6</v>
      </c>
      <c r="C61" s="10">
        <v>943209</v>
      </c>
      <c r="D61" s="10">
        <v>38.1</v>
      </c>
      <c r="E61" s="10">
        <v>2.5</v>
      </c>
      <c r="F61" s="10">
        <v>13.586</v>
      </c>
      <c r="G61" s="10" t="s">
        <v>67</v>
      </c>
      <c r="H61" s="10" t="s">
        <v>39</v>
      </c>
      <c r="I61" s="10" t="s">
        <v>48</v>
      </c>
      <c r="J61" s="11">
        <f t="shared" si="2"/>
        <v>97</v>
      </c>
      <c r="K61" s="11">
        <f>(2788+2887+2890+3841+3224+5761+8652+3854+5880)/1000</f>
        <v>39.777000000000001</v>
      </c>
      <c r="L61" s="11">
        <f>ROUND(SUMIFS(Table3[Stock],Table3[key],Table1[[#This Row],[key]])/1000+SUMIFS(Table3[In Transit],Table3[key],Table1[[#This Row],[key]])/1000,2)</f>
        <v>99.86</v>
      </c>
      <c r="M61" s="10">
        <v>67</v>
      </c>
      <c r="N61" s="10">
        <v>30</v>
      </c>
      <c r="O61" s="10" t="s">
        <v>6</v>
      </c>
      <c r="P61" s="10" t="s">
        <v>6</v>
      </c>
      <c r="Q61" s="10" t="s">
        <v>6</v>
      </c>
      <c r="R61" s="10" t="s">
        <v>6</v>
      </c>
      <c r="S61" s="10" t="s">
        <v>6</v>
      </c>
      <c r="T61" s="13" t="s">
        <v>6</v>
      </c>
    </row>
    <row r="62" spans="1:20" ht="15" customHeight="1" x14ac:dyDescent="0.3">
      <c r="A62" s="10">
        <v>80</v>
      </c>
      <c r="B62" s="10" t="s">
        <v>6</v>
      </c>
      <c r="C62" s="10">
        <v>943211</v>
      </c>
      <c r="D62" s="10">
        <v>38.1</v>
      </c>
      <c r="E62" s="10">
        <v>3.2</v>
      </c>
      <c r="F62" s="10" t="s">
        <v>6</v>
      </c>
      <c r="G62" s="10" t="s">
        <v>6</v>
      </c>
      <c r="H62" s="10" t="s">
        <v>39</v>
      </c>
      <c r="I62" s="10" t="s">
        <v>48</v>
      </c>
      <c r="J62" s="11">
        <f t="shared" si="2"/>
        <v>0</v>
      </c>
      <c r="K62" s="11"/>
      <c r="L62" s="11">
        <f>ROUND(SUMIFS(Table3[Stock],Table3[key],Table1[[#This Row],[key]])/1000+SUMIFS(Table3[In Transit],Table3[key],Table1[[#This Row],[key]])/1000,2)</f>
        <v>0</v>
      </c>
      <c r="M62" s="10" t="s">
        <v>6</v>
      </c>
      <c r="N62" s="10" t="s">
        <v>6</v>
      </c>
      <c r="O62" s="10" t="s">
        <v>6</v>
      </c>
      <c r="P62" s="10" t="s">
        <v>6</v>
      </c>
      <c r="Q62" s="10" t="s">
        <v>6</v>
      </c>
      <c r="R62" s="10" t="s">
        <v>6</v>
      </c>
      <c r="S62" s="10" t="s">
        <v>6</v>
      </c>
      <c r="T62" s="13" t="s">
        <v>6</v>
      </c>
    </row>
    <row r="63" spans="1:20" ht="15" customHeight="1" x14ac:dyDescent="0.3">
      <c r="A63" s="10">
        <v>81</v>
      </c>
      <c r="B63" s="10" t="s">
        <v>6</v>
      </c>
      <c r="C63" s="10">
        <v>943211</v>
      </c>
      <c r="D63" s="10">
        <v>38.1</v>
      </c>
      <c r="E63" s="10">
        <v>3.2</v>
      </c>
      <c r="F63" s="10" t="s">
        <v>6</v>
      </c>
      <c r="G63" s="10" t="s">
        <v>6</v>
      </c>
      <c r="H63" s="10" t="s">
        <v>68</v>
      </c>
      <c r="I63" s="10" t="s">
        <v>6</v>
      </c>
      <c r="J63" s="11">
        <f t="shared" si="2"/>
        <v>0</v>
      </c>
      <c r="K63" s="11"/>
      <c r="L63" s="11">
        <f>ROUND(SUMIFS(Table3[Stock],Table3[key],Table1[[#This Row],[key]])/1000+SUMIFS(Table3[In Transit],Table3[key],Table1[[#This Row],[key]])/1000,2)</f>
        <v>0</v>
      </c>
      <c r="M63" s="10" t="s">
        <v>6</v>
      </c>
      <c r="N63" s="10" t="s">
        <v>6</v>
      </c>
      <c r="O63" s="10" t="s">
        <v>6</v>
      </c>
      <c r="P63" s="10" t="s">
        <v>6</v>
      </c>
      <c r="Q63" s="10" t="s">
        <v>6</v>
      </c>
      <c r="R63" s="10" t="s">
        <v>6</v>
      </c>
      <c r="S63" s="10" t="s">
        <v>6</v>
      </c>
      <c r="T63" s="13" t="s">
        <v>6</v>
      </c>
    </row>
    <row r="64" spans="1:20" ht="15" customHeight="1" x14ac:dyDescent="0.3">
      <c r="A64" s="10">
        <v>83</v>
      </c>
      <c r="B64" s="10" t="s">
        <v>69</v>
      </c>
      <c r="C64" s="10">
        <v>943209</v>
      </c>
      <c r="D64" s="10">
        <v>41.28</v>
      </c>
      <c r="E64" s="10">
        <v>1.6</v>
      </c>
      <c r="F64" s="10">
        <v>9.5</v>
      </c>
      <c r="G64" s="10" t="s">
        <v>70</v>
      </c>
      <c r="H64" s="10" t="s">
        <v>30</v>
      </c>
      <c r="I64" s="10" t="s">
        <v>48</v>
      </c>
      <c r="J64" s="11">
        <f t="shared" si="2"/>
        <v>13</v>
      </c>
      <c r="K64" s="11">
        <f>(2504+901+1002+1002+501+2054+1102+862+501+952)/1000</f>
        <v>11.381</v>
      </c>
      <c r="L64" s="11">
        <f>ROUND(SUMIFS(Table3[Stock],Table3[key],Table1[[#This Row],[key]])/1000+SUMIFS(Table3[In Transit],Table3[key],Table1[[#This Row],[key]])/1000,2)</f>
        <v>13.88</v>
      </c>
      <c r="M64" s="10">
        <v>10</v>
      </c>
      <c r="N64" s="10">
        <v>3</v>
      </c>
      <c r="O64" s="10" t="s">
        <v>6</v>
      </c>
      <c r="P64" s="10" t="s">
        <v>6</v>
      </c>
      <c r="Q64" s="10" t="s">
        <v>6</v>
      </c>
      <c r="R64" s="10" t="s">
        <v>6</v>
      </c>
      <c r="S64" s="10" t="s">
        <v>6</v>
      </c>
      <c r="T64" s="13" t="s">
        <v>6</v>
      </c>
    </row>
    <row r="65" spans="1:20" ht="15" customHeight="1" x14ac:dyDescent="0.3">
      <c r="A65" s="10">
        <v>84</v>
      </c>
      <c r="B65" s="10" t="s">
        <v>69</v>
      </c>
      <c r="C65" s="10" t="s">
        <v>6</v>
      </c>
      <c r="D65" s="10">
        <v>41.28</v>
      </c>
      <c r="E65" s="10">
        <v>1.6</v>
      </c>
      <c r="F65" s="10" t="s">
        <v>6</v>
      </c>
      <c r="G65" s="10" t="s">
        <v>6</v>
      </c>
      <c r="H65" s="10" t="s">
        <v>6</v>
      </c>
      <c r="I65" s="10" t="s">
        <v>6</v>
      </c>
      <c r="J65" s="11">
        <f t="shared" si="2"/>
        <v>0</v>
      </c>
      <c r="K65" s="11"/>
      <c r="L65" s="11">
        <f>ROUND(SUMIFS(Table3[Stock],Table3[key],Table1[[#This Row],[key]])/1000+SUMIFS(Table3[In Transit],Table3[key],Table1[[#This Row],[key]])/1000,2)</f>
        <v>0</v>
      </c>
      <c r="M65" s="10" t="s">
        <v>6</v>
      </c>
      <c r="N65" s="10" t="s">
        <v>6</v>
      </c>
      <c r="O65" s="10" t="s">
        <v>6</v>
      </c>
      <c r="P65" s="10" t="s">
        <v>6</v>
      </c>
      <c r="Q65" s="10" t="s">
        <v>6</v>
      </c>
      <c r="R65" s="10" t="s">
        <v>6</v>
      </c>
      <c r="S65" s="10" t="s">
        <v>6</v>
      </c>
      <c r="T65" s="13" t="s">
        <v>6</v>
      </c>
    </row>
    <row r="66" spans="1:20" ht="15" customHeight="1" x14ac:dyDescent="0.3">
      <c r="A66" s="10">
        <v>85</v>
      </c>
      <c r="B66" s="10" t="s">
        <v>6</v>
      </c>
      <c r="C66" s="10">
        <v>943209</v>
      </c>
      <c r="D66" s="10">
        <v>41.28</v>
      </c>
      <c r="E66" s="10">
        <v>2.6</v>
      </c>
      <c r="F66" s="10">
        <v>14.881</v>
      </c>
      <c r="G66" s="10" t="s">
        <v>71</v>
      </c>
      <c r="H66" s="10" t="s">
        <v>30</v>
      </c>
      <c r="I66" s="10" t="s">
        <v>48</v>
      </c>
      <c r="J66" s="11">
        <f t="shared" si="2"/>
        <v>85</v>
      </c>
      <c r="K66" s="11">
        <f>(3782+15422+6227+16825+5002+5899+3154+10097+4206+10515)/1000</f>
        <v>81.129000000000005</v>
      </c>
      <c r="L66" s="11">
        <f>ROUND(SUMIFS(Table3[Stock],Table3[key],Table1[[#This Row],[key]])/1000+SUMIFS(Table3[In Transit],Table3[key],Table1[[#This Row],[key]])/1000,2)</f>
        <v>6.6</v>
      </c>
      <c r="M66" s="10">
        <v>85</v>
      </c>
      <c r="N66" s="10" t="s">
        <v>6</v>
      </c>
      <c r="O66" s="10" t="s">
        <v>6</v>
      </c>
      <c r="P66" s="10" t="s">
        <v>6</v>
      </c>
      <c r="Q66" s="10" t="s">
        <v>6</v>
      </c>
      <c r="R66" s="10" t="s">
        <v>6</v>
      </c>
      <c r="S66" s="10" t="s">
        <v>6</v>
      </c>
      <c r="T66" s="13" t="s">
        <v>6</v>
      </c>
    </row>
    <row r="67" spans="1:20" ht="15" customHeight="1" x14ac:dyDescent="0.3">
      <c r="A67" s="10">
        <v>87</v>
      </c>
      <c r="B67" s="10" t="s">
        <v>6</v>
      </c>
      <c r="C67" s="10">
        <v>943210</v>
      </c>
      <c r="D67" s="10">
        <v>41.28</v>
      </c>
      <c r="E67" s="10">
        <v>3.15</v>
      </c>
      <c r="F67" s="10">
        <v>17.417000000000002</v>
      </c>
      <c r="G67" s="10" t="s">
        <v>72</v>
      </c>
      <c r="H67" s="10" t="s">
        <v>30</v>
      </c>
      <c r="I67" s="10" t="s">
        <v>48</v>
      </c>
      <c r="J67" s="11">
        <f t="shared" si="2"/>
        <v>57</v>
      </c>
      <c r="K67" s="11">
        <f>(5551+7373+4440+2962+1811+6733+2962+2823+2962)/1000</f>
        <v>37.616999999999997</v>
      </c>
      <c r="L67" s="11">
        <f>ROUND(SUMIFS(Table3[Stock],Table3[key],Table1[[#This Row],[key]])/1000+SUMIFS(Table3[In Transit],Table3[key],Table1[[#This Row],[key]])/1000,2)</f>
        <v>4.1100000000000003</v>
      </c>
      <c r="M67" s="10">
        <v>30</v>
      </c>
      <c r="N67" s="10">
        <v>20</v>
      </c>
      <c r="O67" s="10" t="s">
        <v>6</v>
      </c>
      <c r="P67" s="10">
        <v>7</v>
      </c>
      <c r="Q67" s="10" t="s">
        <v>6</v>
      </c>
      <c r="R67" s="10" t="s">
        <v>6</v>
      </c>
      <c r="S67" s="10" t="s">
        <v>6</v>
      </c>
      <c r="T67" s="13" t="s">
        <v>6</v>
      </c>
    </row>
    <row r="68" spans="1:20" ht="15" customHeight="1" x14ac:dyDescent="0.3">
      <c r="A68" s="10">
        <v>89</v>
      </c>
      <c r="B68" s="10" t="s">
        <v>6</v>
      </c>
      <c r="C68" s="10" t="s">
        <v>6</v>
      </c>
      <c r="D68" s="10">
        <v>41.28</v>
      </c>
      <c r="E68" s="10">
        <v>3.15</v>
      </c>
      <c r="F68" s="10" t="s">
        <v>6</v>
      </c>
      <c r="G68" s="10" t="s">
        <v>6</v>
      </c>
      <c r="H68" s="10" t="s">
        <v>6</v>
      </c>
      <c r="I68" s="10" t="s">
        <v>6</v>
      </c>
      <c r="J68" s="11">
        <f t="shared" si="2"/>
        <v>0</v>
      </c>
      <c r="K68" s="11"/>
      <c r="L68" s="11">
        <f>ROUND(SUMIFS(Table3[Stock],Table3[key],Table1[[#This Row],[key]])/1000+SUMIFS(Table3[In Transit],Table3[key],Table1[[#This Row],[key]])/1000,2)</f>
        <v>0</v>
      </c>
      <c r="M68" s="10" t="s">
        <v>6</v>
      </c>
      <c r="N68" s="10" t="s">
        <v>6</v>
      </c>
      <c r="O68" s="10" t="s">
        <v>6</v>
      </c>
      <c r="P68" s="10" t="s">
        <v>6</v>
      </c>
      <c r="Q68" s="10" t="s">
        <v>6</v>
      </c>
      <c r="R68" s="10" t="s">
        <v>6</v>
      </c>
      <c r="S68" s="10" t="s">
        <v>6</v>
      </c>
      <c r="T68" s="13" t="s">
        <v>6</v>
      </c>
    </row>
    <row r="69" spans="1:20" ht="15" customHeight="1" x14ac:dyDescent="0.3">
      <c r="A69" s="10">
        <v>90</v>
      </c>
      <c r="B69" s="10" t="s">
        <v>6</v>
      </c>
      <c r="C69" s="10">
        <v>943210</v>
      </c>
      <c r="D69" s="10">
        <v>42.7</v>
      </c>
      <c r="E69" s="10">
        <v>1.6</v>
      </c>
      <c r="F69" s="10" t="s">
        <v>6</v>
      </c>
      <c r="G69" s="10" t="s">
        <v>6</v>
      </c>
      <c r="H69" s="10" t="s">
        <v>39</v>
      </c>
      <c r="I69" s="10" t="s">
        <v>48</v>
      </c>
      <c r="J69" s="11">
        <f t="shared" si="2"/>
        <v>0</v>
      </c>
      <c r="K69" s="11"/>
      <c r="L69" s="11">
        <f>ROUND(SUMIFS(Table3[Stock],Table3[key],Table1[[#This Row],[key]])/1000+SUMIFS(Table3[In Transit],Table3[key],Table1[[#This Row],[key]])/1000,2)</f>
        <v>0</v>
      </c>
      <c r="M69" s="10" t="s">
        <v>6</v>
      </c>
      <c r="N69" s="10" t="s">
        <v>6</v>
      </c>
      <c r="O69" s="10" t="s">
        <v>6</v>
      </c>
      <c r="P69" s="10" t="s">
        <v>6</v>
      </c>
      <c r="Q69" s="10" t="s">
        <v>6</v>
      </c>
      <c r="R69" s="10" t="s">
        <v>6</v>
      </c>
      <c r="S69" s="10" t="s">
        <v>6</v>
      </c>
      <c r="T69" s="13" t="s">
        <v>6</v>
      </c>
    </row>
    <row r="70" spans="1:20" ht="15" customHeight="1" x14ac:dyDescent="0.3">
      <c r="A70" s="10">
        <v>92</v>
      </c>
      <c r="B70" s="10" t="s">
        <v>6</v>
      </c>
      <c r="C70" s="10">
        <v>943209</v>
      </c>
      <c r="D70" s="10">
        <v>42.7</v>
      </c>
      <c r="E70" s="10">
        <v>3.5</v>
      </c>
      <c r="F70" s="10">
        <v>20.471</v>
      </c>
      <c r="G70" s="10" t="s">
        <v>73</v>
      </c>
      <c r="H70" s="10" t="s">
        <v>30</v>
      </c>
      <c r="I70" s="10" t="s">
        <v>48</v>
      </c>
      <c r="J70" s="11">
        <f t="shared" si="2"/>
        <v>1.5</v>
      </c>
      <c r="K70" s="11">
        <f>(305+1051+1074)/1000</f>
        <v>2.4300000000000002</v>
      </c>
      <c r="L70" s="11">
        <f>ROUND(SUMIFS(Table3[Stock],Table3[key],Table1[[#This Row],[key]])/1000+SUMIFS(Table3[In Transit],Table3[key],Table1[[#This Row],[key]])/1000,2)</f>
        <v>51.75</v>
      </c>
      <c r="M70" s="10" t="s">
        <v>6</v>
      </c>
      <c r="N70" s="10">
        <v>1.5</v>
      </c>
      <c r="O70" s="10" t="s">
        <v>6</v>
      </c>
      <c r="P70" s="10" t="s">
        <v>6</v>
      </c>
      <c r="Q70" s="10" t="s">
        <v>6</v>
      </c>
      <c r="R70" s="10" t="s">
        <v>6</v>
      </c>
      <c r="S70" s="10" t="s">
        <v>6</v>
      </c>
      <c r="T70" s="13" t="s">
        <v>6</v>
      </c>
    </row>
    <row r="71" spans="1:20" ht="15" customHeight="1" x14ac:dyDescent="0.3">
      <c r="A71" s="10">
        <v>93</v>
      </c>
      <c r="B71" s="10" t="s">
        <v>6</v>
      </c>
      <c r="C71" s="10">
        <v>943209</v>
      </c>
      <c r="D71" s="10">
        <v>42.7</v>
      </c>
      <c r="E71" s="10">
        <v>4</v>
      </c>
      <c r="F71" s="10">
        <v>20.997</v>
      </c>
      <c r="G71" s="10" t="s">
        <v>74</v>
      </c>
      <c r="H71" s="10" t="s">
        <v>30</v>
      </c>
      <c r="I71" s="10" t="s">
        <v>48</v>
      </c>
      <c r="J71" s="11">
        <f t="shared" si="2"/>
        <v>38</v>
      </c>
      <c r="K71" s="11">
        <f>(5273+1595+5115+906+3989+2643+4537+4787+529+3191+2393)/1000</f>
        <v>34.957999999999998</v>
      </c>
      <c r="L71" s="11">
        <f>ROUND(SUMIFS(Table3[Stock],Table3[key],Table1[[#This Row],[key]])/1000+SUMIFS(Table3[In Transit],Table3[key],Table1[[#This Row],[key]])/1000,2)</f>
        <v>31.75</v>
      </c>
      <c r="M71" s="10">
        <v>25</v>
      </c>
      <c r="N71" s="10">
        <v>10</v>
      </c>
      <c r="O71" s="10" t="s">
        <v>6</v>
      </c>
      <c r="P71" s="10">
        <v>3</v>
      </c>
      <c r="Q71" s="10" t="s">
        <v>6</v>
      </c>
      <c r="R71" s="10" t="s">
        <v>6</v>
      </c>
      <c r="S71" s="10" t="s">
        <v>6</v>
      </c>
      <c r="T71" s="13" t="s">
        <v>6</v>
      </c>
    </row>
    <row r="72" spans="1:20" ht="15" customHeight="1" x14ac:dyDescent="0.3">
      <c r="A72" s="10">
        <v>94</v>
      </c>
      <c r="B72" s="10" t="s">
        <v>75</v>
      </c>
      <c r="C72" s="10">
        <v>943209</v>
      </c>
      <c r="D72" s="10">
        <v>44.45</v>
      </c>
      <c r="E72" s="10">
        <v>1.6</v>
      </c>
      <c r="F72" s="10">
        <v>10.02</v>
      </c>
      <c r="G72" s="10" t="s">
        <v>76</v>
      </c>
      <c r="H72" s="10" t="s">
        <v>30</v>
      </c>
      <c r="I72" s="10" t="s">
        <v>48</v>
      </c>
      <c r="J72" s="11">
        <f t="shared" si="2"/>
        <v>15</v>
      </c>
      <c r="K72" s="11">
        <f>(1411+1274+2117+2117+2196)/1000</f>
        <v>9.1150000000000002</v>
      </c>
      <c r="L72" s="11">
        <f>ROUND(SUMIFS(Table3[Stock],Table3[key],Table1[[#This Row],[key]])/1000+SUMIFS(Table3[In Transit],Table3[key],Table1[[#This Row],[key]])/1000,2)</f>
        <v>0</v>
      </c>
      <c r="M72" s="10" t="s">
        <v>6</v>
      </c>
      <c r="N72" s="10">
        <v>15</v>
      </c>
      <c r="O72" s="10" t="s">
        <v>6</v>
      </c>
      <c r="P72" s="10" t="s">
        <v>6</v>
      </c>
      <c r="Q72" s="10" t="s">
        <v>6</v>
      </c>
      <c r="R72" s="10" t="s">
        <v>6</v>
      </c>
      <c r="S72" s="10" t="s">
        <v>6</v>
      </c>
      <c r="T72" s="13" t="s">
        <v>6</v>
      </c>
    </row>
    <row r="73" spans="1:20" ht="15" customHeight="1" x14ac:dyDescent="0.3">
      <c r="A73" s="10">
        <v>96</v>
      </c>
      <c r="B73" s="10" t="s">
        <v>6</v>
      </c>
      <c r="C73" s="10">
        <v>943210</v>
      </c>
      <c r="D73" s="10">
        <v>45</v>
      </c>
      <c r="E73" s="10">
        <v>1.4</v>
      </c>
      <c r="F73" s="10">
        <v>8.58</v>
      </c>
      <c r="G73" s="10" t="s">
        <v>6</v>
      </c>
      <c r="H73" s="10" t="s">
        <v>30</v>
      </c>
      <c r="I73" s="10" t="s">
        <v>48</v>
      </c>
      <c r="J73" s="11">
        <f t="shared" si="2"/>
        <v>0</v>
      </c>
      <c r="K73" s="11"/>
      <c r="L73" s="11">
        <f>ROUND(SUMIFS(Table3[Stock],Table3[key],Table1[[#This Row],[key]])/1000+SUMIFS(Table3[In Transit],Table3[key],Table1[[#This Row],[key]])/1000,2)</f>
        <v>0</v>
      </c>
      <c r="M73" s="10" t="s">
        <v>6</v>
      </c>
      <c r="N73" s="10" t="s">
        <v>6</v>
      </c>
      <c r="O73" s="10" t="s">
        <v>6</v>
      </c>
      <c r="P73" s="10" t="s">
        <v>6</v>
      </c>
      <c r="Q73" s="10" t="s">
        <v>6</v>
      </c>
      <c r="R73" s="10" t="s">
        <v>6</v>
      </c>
      <c r="S73" s="10" t="s">
        <v>6</v>
      </c>
      <c r="T73" s="13" t="s">
        <v>6</v>
      </c>
    </row>
    <row r="74" spans="1:20" ht="15" customHeight="1" x14ac:dyDescent="0.3">
      <c r="A74" s="10">
        <v>97</v>
      </c>
      <c r="B74" s="10" t="s">
        <v>6</v>
      </c>
      <c r="C74" s="10">
        <v>943210</v>
      </c>
      <c r="D74" s="10">
        <v>45</v>
      </c>
      <c r="E74" s="10">
        <v>1.4</v>
      </c>
      <c r="F74" s="10">
        <v>9.6340000000000003</v>
      </c>
      <c r="G74" s="10" t="s">
        <v>6</v>
      </c>
      <c r="H74" s="10" t="s">
        <v>39</v>
      </c>
      <c r="I74" s="10" t="s">
        <v>48</v>
      </c>
      <c r="J74" s="11">
        <f t="shared" si="2"/>
        <v>0</v>
      </c>
      <c r="K74" s="11"/>
      <c r="L74" s="11">
        <f>ROUND(SUMIFS(Table3[Stock],Table3[key],Table1[[#This Row],[key]])/1000+SUMIFS(Table3[In Transit],Table3[key],Table1[[#This Row],[key]])/1000,2)</f>
        <v>0</v>
      </c>
      <c r="M74" s="10" t="s">
        <v>6</v>
      </c>
      <c r="N74" s="10" t="s">
        <v>6</v>
      </c>
      <c r="O74" s="10" t="s">
        <v>6</v>
      </c>
      <c r="P74" s="10" t="s">
        <v>6</v>
      </c>
      <c r="Q74" s="10" t="s">
        <v>6</v>
      </c>
      <c r="R74" s="10" t="s">
        <v>6</v>
      </c>
      <c r="S74" s="10" t="s">
        <v>6</v>
      </c>
      <c r="T74" s="13" t="s">
        <v>6</v>
      </c>
    </row>
    <row r="75" spans="1:20" ht="15" customHeight="1" x14ac:dyDescent="0.3">
      <c r="A75" s="10">
        <v>98</v>
      </c>
      <c r="B75" s="10" t="s">
        <v>6</v>
      </c>
      <c r="C75" s="10" t="s">
        <v>6</v>
      </c>
      <c r="D75" s="10">
        <v>45</v>
      </c>
      <c r="E75" s="10">
        <v>1.4</v>
      </c>
      <c r="F75" s="10">
        <v>9.7240000000000002</v>
      </c>
      <c r="G75" s="10" t="s">
        <v>6</v>
      </c>
      <c r="H75" s="10" t="s">
        <v>39</v>
      </c>
      <c r="I75" s="10" t="s">
        <v>48</v>
      </c>
      <c r="J75" s="11">
        <f t="shared" si="2"/>
        <v>0</v>
      </c>
      <c r="K75" s="11"/>
      <c r="L75" s="11">
        <f>ROUND(SUMIFS(Table3[Stock],Table3[key],Table1[[#This Row],[key]])/1000+SUMIFS(Table3[In Transit],Table3[key],Table1[[#This Row],[key]])/1000,2)</f>
        <v>0</v>
      </c>
      <c r="M75" s="10" t="s">
        <v>6</v>
      </c>
      <c r="N75" s="10" t="s">
        <v>6</v>
      </c>
      <c r="O75" s="10" t="s">
        <v>6</v>
      </c>
      <c r="P75" s="10" t="s">
        <v>6</v>
      </c>
      <c r="Q75" s="10" t="s">
        <v>6</v>
      </c>
      <c r="R75" s="10" t="s">
        <v>6</v>
      </c>
      <c r="S75" s="10" t="s">
        <v>6</v>
      </c>
      <c r="T75" s="13" t="s">
        <v>6</v>
      </c>
    </row>
    <row r="76" spans="1:20" ht="15" customHeight="1" x14ac:dyDescent="0.3">
      <c r="A76" s="10">
        <v>99</v>
      </c>
      <c r="B76" s="10" t="s">
        <v>6</v>
      </c>
      <c r="C76" s="10">
        <v>943210</v>
      </c>
      <c r="D76" s="10">
        <v>45</v>
      </c>
      <c r="E76" s="10">
        <v>1.6</v>
      </c>
      <c r="F76" s="10">
        <v>10.96</v>
      </c>
      <c r="G76" s="10" t="s">
        <v>6</v>
      </c>
      <c r="H76" s="10" t="s">
        <v>39</v>
      </c>
      <c r="I76" s="10" t="s">
        <v>48</v>
      </c>
      <c r="J76" s="11">
        <f t="shared" si="2"/>
        <v>0</v>
      </c>
      <c r="K76" s="11"/>
      <c r="L76" s="11">
        <f>ROUND(SUMIFS(Table3[Stock],Table3[key],Table1[[#This Row],[key]])/1000+SUMIFS(Table3[In Transit],Table3[key],Table1[[#This Row],[key]])/1000,2)</f>
        <v>0</v>
      </c>
      <c r="M76" s="10" t="s">
        <v>6</v>
      </c>
      <c r="N76" s="10" t="s">
        <v>6</v>
      </c>
      <c r="O76" s="10" t="s">
        <v>6</v>
      </c>
      <c r="P76" s="10" t="s">
        <v>6</v>
      </c>
      <c r="Q76" s="10" t="s">
        <v>6</v>
      </c>
      <c r="R76" s="10" t="s">
        <v>6</v>
      </c>
      <c r="S76" s="10" t="s">
        <v>6</v>
      </c>
      <c r="T76" s="13" t="s">
        <v>6</v>
      </c>
    </row>
    <row r="77" spans="1:20" ht="15" customHeight="1" x14ac:dyDescent="0.3">
      <c r="A77" s="10">
        <v>100</v>
      </c>
      <c r="B77" s="10" t="s">
        <v>6</v>
      </c>
      <c r="C77" s="10" t="s">
        <v>6</v>
      </c>
      <c r="D77" s="10">
        <v>45</v>
      </c>
      <c r="E77" s="10">
        <v>3.5</v>
      </c>
      <c r="F77" s="10">
        <v>10.96</v>
      </c>
      <c r="G77" s="10" t="s">
        <v>6</v>
      </c>
      <c r="H77" s="10" t="s">
        <v>56</v>
      </c>
      <c r="I77" s="10" t="s">
        <v>48</v>
      </c>
      <c r="J77" s="11">
        <f t="shared" si="2"/>
        <v>0</v>
      </c>
      <c r="K77" s="11"/>
      <c r="L77" s="11">
        <f>ROUND(SUMIFS(Table3[Stock],Table3[key],Table1[[#This Row],[key]])/1000+SUMIFS(Table3[In Transit],Table3[key],Table1[[#This Row],[key]])/1000,2)</f>
        <v>0</v>
      </c>
      <c r="M77" s="10" t="s">
        <v>6</v>
      </c>
      <c r="N77" s="10" t="s">
        <v>6</v>
      </c>
      <c r="O77" s="10" t="s">
        <v>6</v>
      </c>
      <c r="P77" s="10" t="s">
        <v>6</v>
      </c>
      <c r="Q77" s="10" t="s">
        <v>6</v>
      </c>
      <c r="R77" s="10" t="s">
        <v>6</v>
      </c>
      <c r="S77" s="10" t="s">
        <v>6</v>
      </c>
      <c r="T77" s="13" t="s">
        <v>6</v>
      </c>
    </row>
    <row r="78" spans="1:20" ht="15" customHeight="1" x14ac:dyDescent="0.3">
      <c r="A78" s="10">
        <v>101</v>
      </c>
      <c r="B78" s="10" t="s">
        <v>6</v>
      </c>
      <c r="C78" s="10" t="s">
        <v>6</v>
      </c>
      <c r="D78" s="10">
        <v>47.63</v>
      </c>
      <c r="E78" s="10">
        <v>4</v>
      </c>
      <c r="F78" s="10">
        <v>25.824000000000002</v>
      </c>
      <c r="G78" s="10" t="s">
        <v>6</v>
      </c>
      <c r="H78" s="10" t="s">
        <v>56</v>
      </c>
      <c r="I78" s="10" t="s">
        <v>48</v>
      </c>
      <c r="J78" s="11">
        <f t="shared" si="2"/>
        <v>0</v>
      </c>
      <c r="K78" s="11"/>
      <c r="L78" s="11">
        <f>ROUND(SUMIFS(Table3[Stock],Table3[key],Table1[[#This Row],[key]])/1000+SUMIFS(Table3[In Transit],Table3[key],Table1[[#This Row],[key]])/1000,2)</f>
        <v>0</v>
      </c>
      <c r="M78" s="10" t="s">
        <v>6</v>
      </c>
      <c r="N78" s="10" t="s">
        <v>6</v>
      </c>
      <c r="O78" s="10" t="s">
        <v>6</v>
      </c>
      <c r="P78" s="10" t="s">
        <v>6</v>
      </c>
      <c r="Q78" s="10" t="s">
        <v>6</v>
      </c>
      <c r="R78" s="10" t="s">
        <v>6</v>
      </c>
      <c r="S78" s="10" t="s">
        <v>6</v>
      </c>
      <c r="T78" s="13" t="s">
        <v>6</v>
      </c>
    </row>
    <row r="79" spans="1:20" ht="15" customHeight="1" x14ac:dyDescent="0.3">
      <c r="A79" s="10">
        <v>102</v>
      </c>
      <c r="B79" s="10" t="s">
        <v>6</v>
      </c>
      <c r="C79" s="10">
        <v>943211</v>
      </c>
      <c r="D79" s="10">
        <v>48</v>
      </c>
      <c r="E79" s="10">
        <v>1.2</v>
      </c>
      <c r="F79" s="10" t="s">
        <v>6</v>
      </c>
      <c r="G79" s="10" t="s">
        <v>6</v>
      </c>
      <c r="H79" s="10" t="s">
        <v>30</v>
      </c>
      <c r="I79" s="10" t="s">
        <v>48</v>
      </c>
      <c r="J79" s="11">
        <f t="shared" si="2"/>
        <v>0</v>
      </c>
      <c r="K79" s="11">
        <f>(1468)/1000</f>
        <v>1.468</v>
      </c>
      <c r="L79" s="11">
        <f>ROUND(SUMIFS(Table3[Stock],Table3[key],Table1[[#This Row],[key]])/1000+SUMIFS(Table3[In Transit],Table3[key],Table1[[#This Row],[key]])/1000,2)</f>
        <v>0</v>
      </c>
      <c r="M79" s="10" t="s">
        <v>6</v>
      </c>
      <c r="N79" s="10" t="s">
        <v>6</v>
      </c>
      <c r="O79" s="10" t="s">
        <v>6</v>
      </c>
      <c r="P79" s="10" t="s">
        <v>6</v>
      </c>
      <c r="Q79" s="10" t="s">
        <v>6</v>
      </c>
      <c r="R79" s="10" t="s">
        <v>6</v>
      </c>
      <c r="S79" s="10" t="s">
        <v>6</v>
      </c>
      <c r="T79" s="13" t="s">
        <v>6</v>
      </c>
    </row>
    <row r="80" spans="1:20" ht="15" customHeight="1" x14ac:dyDescent="0.3">
      <c r="A80" s="10">
        <v>103</v>
      </c>
      <c r="B80" s="10" t="s">
        <v>6</v>
      </c>
      <c r="C80" s="10">
        <v>943211</v>
      </c>
      <c r="D80" s="10">
        <v>48</v>
      </c>
      <c r="E80" s="10">
        <v>1.2</v>
      </c>
      <c r="F80" s="10" t="s">
        <v>6</v>
      </c>
      <c r="G80" s="10" t="s">
        <v>6</v>
      </c>
      <c r="H80" s="10" t="s">
        <v>30</v>
      </c>
      <c r="I80" s="10" t="s">
        <v>48</v>
      </c>
      <c r="J80" s="11">
        <f t="shared" si="2"/>
        <v>0</v>
      </c>
      <c r="K80" s="11"/>
      <c r="L80" s="11">
        <f>ROUND(SUMIFS(Table3[Stock],Table3[key],Table1[[#This Row],[key]])/1000+SUMIFS(Table3[In Transit],Table3[key],Table1[[#This Row],[key]])/1000,2)</f>
        <v>0</v>
      </c>
      <c r="M80" s="10" t="s">
        <v>6</v>
      </c>
      <c r="N80" s="10" t="s">
        <v>6</v>
      </c>
      <c r="O80" s="10" t="s">
        <v>6</v>
      </c>
      <c r="P80" s="10" t="s">
        <v>6</v>
      </c>
      <c r="Q80" s="10" t="s">
        <v>6</v>
      </c>
      <c r="R80" s="10" t="s">
        <v>6</v>
      </c>
      <c r="S80" s="10" t="s">
        <v>6</v>
      </c>
      <c r="T80" s="13" t="s">
        <v>6</v>
      </c>
    </row>
    <row r="81" spans="1:20" ht="15" customHeight="1" x14ac:dyDescent="0.3">
      <c r="A81" s="10">
        <v>104</v>
      </c>
      <c r="B81" s="10" t="s">
        <v>6</v>
      </c>
      <c r="C81" s="10">
        <v>943211</v>
      </c>
      <c r="D81" s="10">
        <v>48</v>
      </c>
      <c r="E81" s="10">
        <v>1.2</v>
      </c>
      <c r="F81" s="10">
        <v>25.824000000000002</v>
      </c>
      <c r="G81" s="10" t="s">
        <v>6</v>
      </c>
      <c r="H81" s="10" t="s">
        <v>30</v>
      </c>
      <c r="I81" s="10" t="s">
        <v>48</v>
      </c>
      <c r="J81" s="11">
        <f t="shared" si="2"/>
        <v>0</v>
      </c>
      <c r="K81" s="11"/>
      <c r="L81" s="11">
        <f>ROUND(SUMIFS(Table3[Stock],Table3[key],Table1[[#This Row],[key]])/1000+SUMIFS(Table3[In Transit],Table3[key],Table1[[#This Row],[key]])/1000,2)</f>
        <v>0</v>
      </c>
      <c r="M81" s="10" t="s">
        <v>6</v>
      </c>
      <c r="N81" s="10" t="s">
        <v>6</v>
      </c>
      <c r="O81" s="10" t="s">
        <v>6</v>
      </c>
      <c r="P81" s="10" t="s">
        <v>6</v>
      </c>
      <c r="Q81" s="10" t="s">
        <v>6</v>
      </c>
      <c r="R81" s="10" t="s">
        <v>6</v>
      </c>
      <c r="S81" s="10" t="s">
        <v>6</v>
      </c>
      <c r="T81" s="13" t="s">
        <v>6</v>
      </c>
    </row>
    <row r="82" spans="1:20" ht="15" customHeight="1" x14ac:dyDescent="0.3">
      <c r="A82" s="10">
        <v>106</v>
      </c>
      <c r="B82" s="10" t="s">
        <v>77</v>
      </c>
      <c r="C82" s="10">
        <v>943209</v>
      </c>
      <c r="D82" s="10">
        <v>48.6</v>
      </c>
      <c r="E82" s="10">
        <v>1.6</v>
      </c>
      <c r="F82" s="10">
        <v>11.12</v>
      </c>
      <c r="G82" s="10" t="s">
        <v>78</v>
      </c>
      <c r="H82" s="10" t="s">
        <v>30</v>
      </c>
      <c r="I82" s="10" t="s">
        <v>48</v>
      </c>
      <c r="J82" s="11">
        <f t="shared" si="2"/>
        <v>1</v>
      </c>
      <c r="K82" s="11">
        <f>(344+1596+537)/1000</f>
        <v>2.4769999999999999</v>
      </c>
      <c r="L82" s="11">
        <f>ROUND(SUMIFS(Table3[Stock],Table3[key],Table1[[#This Row],[key]])/1000+SUMIFS(Table3[In Transit],Table3[key],Table1[[#This Row],[key]])/1000,2)</f>
        <v>1.64</v>
      </c>
      <c r="M82" s="10">
        <v>1</v>
      </c>
      <c r="N82" s="10" t="s">
        <v>6</v>
      </c>
      <c r="O82" s="10" t="s">
        <v>6</v>
      </c>
      <c r="P82" s="10" t="s">
        <v>6</v>
      </c>
      <c r="Q82" s="10" t="s">
        <v>6</v>
      </c>
      <c r="R82" s="10" t="s">
        <v>6</v>
      </c>
      <c r="S82" s="10" t="s">
        <v>6</v>
      </c>
      <c r="T82" s="13" t="s">
        <v>6</v>
      </c>
    </row>
    <row r="83" spans="1:20" ht="15" customHeight="1" x14ac:dyDescent="0.3">
      <c r="A83" s="10">
        <v>107</v>
      </c>
      <c r="B83" s="10" t="s">
        <v>6</v>
      </c>
      <c r="C83" s="10">
        <v>943210</v>
      </c>
      <c r="D83" s="10">
        <v>48.6</v>
      </c>
      <c r="E83" s="10">
        <v>2</v>
      </c>
      <c r="F83" s="10">
        <v>14.411</v>
      </c>
      <c r="G83" s="10" t="s">
        <v>6</v>
      </c>
      <c r="H83" s="10" t="s">
        <v>39</v>
      </c>
      <c r="I83" s="10" t="s">
        <v>48</v>
      </c>
      <c r="J83" s="11">
        <f t="shared" si="2"/>
        <v>0</v>
      </c>
      <c r="K83" s="11"/>
      <c r="L83" s="11">
        <f>ROUND(SUMIFS(Table3[Stock],Table3[key],Table1[[#This Row],[key]])/1000+SUMIFS(Table3[In Transit],Table3[key],Table1[[#This Row],[key]])/1000,2)</f>
        <v>0</v>
      </c>
      <c r="M83" s="10" t="s">
        <v>6</v>
      </c>
      <c r="N83" s="10" t="s">
        <v>6</v>
      </c>
      <c r="O83" s="10" t="s">
        <v>6</v>
      </c>
      <c r="P83" s="10" t="s">
        <v>6</v>
      </c>
      <c r="Q83" s="10" t="s">
        <v>6</v>
      </c>
      <c r="R83" s="10" t="s">
        <v>6</v>
      </c>
      <c r="S83" s="10" t="s">
        <v>6</v>
      </c>
      <c r="T83" s="13" t="s">
        <v>6</v>
      </c>
    </row>
    <row r="84" spans="1:20" ht="15" customHeight="1" x14ac:dyDescent="0.3">
      <c r="A84" s="10">
        <v>108</v>
      </c>
      <c r="B84" s="10" t="s">
        <v>6</v>
      </c>
      <c r="C84" s="10" t="s">
        <v>6</v>
      </c>
      <c r="D84" s="10">
        <v>48.6</v>
      </c>
      <c r="E84" s="10">
        <v>2</v>
      </c>
      <c r="F84" s="10" t="s">
        <v>6</v>
      </c>
      <c r="G84" s="10" t="s">
        <v>6</v>
      </c>
      <c r="H84" s="10" t="s">
        <v>6</v>
      </c>
      <c r="I84" s="10" t="s">
        <v>6</v>
      </c>
      <c r="J84" s="11">
        <f t="shared" si="2"/>
        <v>0</v>
      </c>
      <c r="K84" s="11"/>
      <c r="L84" s="11">
        <f>ROUND(SUMIFS(Table3[Stock],Table3[key],Table1[[#This Row],[key]])/1000+SUMIFS(Table3[In Transit],Table3[key],Table1[[#This Row],[key]])/1000,2)</f>
        <v>0</v>
      </c>
      <c r="M84" s="10" t="s">
        <v>6</v>
      </c>
      <c r="N84" s="10" t="s">
        <v>6</v>
      </c>
      <c r="O84" s="10" t="s">
        <v>6</v>
      </c>
      <c r="P84" s="10" t="s">
        <v>6</v>
      </c>
      <c r="Q84" s="10" t="s">
        <v>6</v>
      </c>
      <c r="R84" s="10" t="s">
        <v>6</v>
      </c>
      <c r="S84" s="10" t="s">
        <v>6</v>
      </c>
      <c r="T84" s="13" t="s">
        <v>6</v>
      </c>
    </row>
    <row r="85" spans="1:20" ht="15" customHeight="1" x14ac:dyDescent="0.3">
      <c r="A85" s="10">
        <v>109</v>
      </c>
      <c r="B85" s="10" t="s">
        <v>6</v>
      </c>
      <c r="C85" s="10" t="s">
        <v>6</v>
      </c>
      <c r="D85" s="10">
        <v>48.6</v>
      </c>
      <c r="E85" s="10">
        <v>2.2999999999999998</v>
      </c>
      <c r="F85" s="10">
        <v>15.055</v>
      </c>
      <c r="G85" s="10" t="s">
        <v>6</v>
      </c>
      <c r="H85" s="10" t="s">
        <v>39</v>
      </c>
      <c r="I85" s="10" t="s">
        <v>48</v>
      </c>
      <c r="J85" s="11">
        <f t="shared" si="2"/>
        <v>0</v>
      </c>
      <c r="K85" s="11"/>
      <c r="L85" s="11">
        <f>ROUND(SUMIFS(Table3[Stock],Table3[key],Table1[[#This Row],[key]])/1000+SUMIFS(Table3[In Transit],Table3[key],Table1[[#This Row],[key]])/1000,2)</f>
        <v>0</v>
      </c>
      <c r="M85" s="10" t="s">
        <v>6</v>
      </c>
      <c r="N85" s="10" t="s">
        <v>6</v>
      </c>
      <c r="O85" s="10" t="s">
        <v>6</v>
      </c>
      <c r="P85" s="10" t="s">
        <v>6</v>
      </c>
      <c r="Q85" s="10" t="s">
        <v>6</v>
      </c>
      <c r="R85" s="10" t="s">
        <v>6</v>
      </c>
      <c r="S85" s="10" t="s">
        <v>6</v>
      </c>
      <c r="T85" s="13" t="s">
        <v>6</v>
      </c>
    </row>
    <row r="86" spans="1:20" ht="15" customHeight="1" x14ac:dyDescent="0.3">
      <c r="A86" s="10">
        <v>110</v>
      </c>
      <c r="B86" s="10" t="s">
        <v>6</v>
      </c>
      <c r="C86" s="10" t="s">
        <v>6</v>
      </c>
      <c r="D86" s="10">
        <v>48.6</v>
      </c>
      <c r="E86" s="10">
        <v>2.2999999999999998</v>
      </c>
      <c r="F86" s="10">
        <v>15.782999999999999</v>
      </c>
      <c r="G86" s="10" t="s">
        <v>6</v>
      </c>
      <c r="H86" s="10" t="s">
        <v>30</v>
      </c>
      <c r="I86" s="10" t="s">
        <v>48</v>
      </c>
      <c r="J86" s="11">
        <f t="shared" si="2"/>
        <v>0</v>
      </c>
      <c r="K86" s="11"/>
      <c r="L86" s="11">
        <f>ROUND(SUMIFS(Table3[Stock],Table3[key],Table1[[#This Row],[key]])/1000+SUMIFS(Table3[In Transit],Table3[key],Table1[[#This Row],[key]])/1000,2)</f>
        <v>0</v>
      </c>
      <c r="M86" s="10" t="s">
        <v>6</v>
      </c>
      <c r="N86" s="10" t="s">
        <v>6</v>
      </c>
      <c r="O86" s="10" t="s">
        <v>6</v>
      </c>
      <c r="P86" s="10" t="s">
        <v>6</v>
      </c>
      <c r="Q86" s="10" t="s">
        <v>6</v>
      </c>
      <c r="R86" s="10" t="s">
        <v>6</v>
      </c>
      <c r="S86" s="10" t="s">
        <v>6</v>
      </c>
      <c r="T86" s="13" t="s">
        <v>6</v>
      </c>
    </row>
    <row r="87" spans="1:20" ht="15" customHeight="1" x14ac:dyDescent="0.3">
      <c r="A87" s="10">
        <v>111</v>
      </c>
      <c r="B87" s="10" t="s">
        <v>6</v>
      </c>
      <c r="C87" s="10">
        <v>943210</v>
      </c>
      <c r="D87" s="10">
        <v>48.6</v>
      </c>
      <c r="E87" s="10">
        <v>2.2999999999999998</v>
      </c>
      <c r="F87" s="10">
        <v>16.466000000000001</v>
      </c>
      <c r="G87" s="10" t="s">
        <v>6</v>
      </c>
      <c r="H87" s="10" t="s">
        <v>39</v>
      </c>
      <c r="I87" s="10" t="s">
        <v>48</v>
      </c>
      <c r="J87" s="11">
        <f t="shared" si="2"/>
        <v>0</v>
      </c>
      <c r="K87" s="11"/>
      <c r="L87" s="11">
        <f>ROUND(SUMIFS(Table3[Stock],Table3[key],Table1[[#This Row],[key]])/1000+SUMIFS(Table3[In Transit],Table3[key],Table1[[#This Row],[key]])/1000,2)</f>
        <v>0</v>
      </c>
      <c r="M87" s="10" t="s">
        <v>6</v>
      </c>
      <c r="N87" s="10" t="s">
        <v>6</v>
      </c>
      <c r="O87" s="10" t="s">
        <v>6</v>
      </c>
      <c r="P87" s="10" t="s">
        <v>6</v>
      </c>
      <c r="Q87" s="10" t="s">
        <v>6</v>
      </c>
      <c r="R87" s="10" t="s">
        <v>6</v>
      </c>
      <c r="S87" s="10" t="s">
        <v>6</v>
      </c>
      <c r="T87" s="13" t="s">
        <v>6</v>
      </c>
    </row>
    <row r="88" spans="1:20" ht="15" customHeight="1" x14ac:dyDescent="0.3">
      <c r="A88" s="10">
        <v>113</v>
      </c>
      <c r="B88" s="10" t="s">
        <v>6</v>
      </c>
      <c r="C88" s="10">
        <v>943209</v>
      </c>
      <c r="D88" s="10">
        <v>48.6</v>
      </c>
      <c r="E88" s="10">
        <v>3.5</v>
      </c>
      <c r="F88" s="10">
        <v>23.356999999999999</v>
      </c>
      <c r="G88" s="10" t="s">
        <v>79</v>
      </c>
      <c r="H88" s="10" t="s">
        <v>30</v>
      </c>
      <c r="I88" s="10" t="s">
        <v>48</v>
      </c>
      <c r="J88" s="11">
        <f t="shared" si="2"/>
        <v>10</v>
      </c>
      <c r="K88" s="11">
        <f>(1380+3990+1944+2394+1596)/1000</f>
        <v>11.304</v>
      </c>
      <c r="L88" s="11">
        <f>ROUND(SUMIFS(Table3[Stock],Table3[key],Table1[[#This Row],[key]])/1000+SUMIFS(Table3[In Transit],Table3[key],Table1[[#This Row],[key]])/1000,2)</f>
        <v>47.27</v>
      </c>
      <c r="M88" s="10">
        <v>10</v>
      </c>
      <c r="N88" s="10" t="s">
        <v>6</v>
      </c>
      <c r="O88" s="10" t="s">
        <v>6</v>
      </c>
      <c r="P88" s="10" t="s">
        <v>6</v>
      </c>
      <c r="Q88" s="10" t="s">
        <v>6</v>
      </c>
      <c r="R88" s="10" t="s">
        <v>6</v>
      </c>
      <c r="S88" s="10" t="s">
        <v>6</v>
      </c>
      <c r="T88" s="13" t="s">
        <v>6</v>
      </c>
    </row>
    <row r="89" spans="1:20" ht="15" customHeight="1" x14ac:dyDescent="0.3">
      <c r="A89" s="10">
        <v>114</v>
      </c>
      <c r="B89" s="10" t="s">
        <v>6</v>
      </c>
      <c r="C89" s="10" t="s">
        <v>6</v>
      </c>
      <c r="D89" s="10">
        <v>50.8</v>
      </c>
      <c r="E89" s="10">
        <v>2.6</v>
      </c>
      <c r="F89" s="10">
        <v>18.542999999999999</v>
      </c>
      <c r="G89" s="10" t="s">
        <v>6</v>
      </c>
      <c r="H89" s="10" t="s">
        <v>30</v>
      </c>
      <c r="I89" s="10" t="s">
        <v>48</v>
      </c>
      <c r="J89" s="11">
        <f t="shared" si="2"/>
        <v>0</v>
      </c>
      <c r="K89" s="11"/>
      <c r="L89" s="11">
        <f>ROUND(SUMIFS(Table3[Stock],Table3[key],Table1[[#This Row],[key]])/1000+SUMIFS(Table3[In Transit],Table3[key],Table1[[#This Row],[key]])/1000,2)</f>
        <v>0</v>
      </c>
      <c r="M89" s="10" t="s">
        <v>6</v>
      </c>
      <c r="N89" s="10" t="s">
        <v>6</v>
      </c>
      <c r="O89" s="10" t="s">
        <v>6</v>
      </c>
      <c r="P89" s="10" t="s">
        <v>6</v>
      </c>
      <c r="Q89" s="10" t="s">
        <v>6</v>
      </c>
      <c r="R89" s="10" t="s">
        <v>6</v>
      </c>
      <c r="S89" s="10" t="s">
        <v>6</v>
      </c>
      <c r="T89" s="13" t="s">
        <v>6</v>
      </c>
    </row>
    <row r="90" spans="1:20" ht="15" customHeight="1" x14ac:dyDescent="0.3">
      <c r="A90" s="10">
        <v>115</v>
      </c>
      <c r="B90" s="10" t="s">
        <v>6</v>
      </c>
      <c r="C90" s="10">
        <v>943211</v>
      </c>
      <c r="D90" s="10">
        <v>50.8</v>
      </c>
      <c r="E90" s="10">
        <v>2.6</v>
      </c>
      <c r="F90" s="10">
        <v>18.542999999999999</v>
      </c>
      <c r="G90" s="10" t="s">
        <v>6</v>
      </c>
      <c r="H90" s="10" t="s">
        <v>30</v>
      </c>
      <c r="I90" s="10" t="s">
        <v>48</v>
      </c>
      <c r="J90" s="11">
        <f t="shared" si="2"/>
        <v>0</v>
      </c>
      <c r="K90" s="11"/>
      <c r="L90" s="11">
        <f>ROUND(SUMIFS(Table3[Stock],Table3[key],Table1[[#This Row],[key]])/1000+SUMIFS(Table3[In Transit],Table3[key],Table1[[#This Row],[key]])/1000,2)</f>
        <v>0</v>
      </c>
      <c r="M90" s="10" t="s">
        <v>6</v>
      </c>
      <c r="N90" s="10" t="s">
        <v>6</v>
      </c>
      <c r="O90" s="10" t="s">
        <v>6</v>
      </c>
      <c r="P90" s="10" t="s">
        <v>6</v>
      </c>
      <c r="Q90" s="10" t="s">
        <v>6</v>
      </c>
      <c r="R90" s="10" t="s">
        <v>6</v>
      </c>
      <c r="S90" s="10" t="s">
        <v>6</v>
      </c>
      <c r="T90" s="13" t="s">
        <v>6</v>
      </c>
    </row>
    <row r="91" spans="1:20" ht="15" customHeight="1" x14ac:dyDescent="0.3">
      <c r="A91" s="10">
        <v>116</v>
      </c>
      <c r="B91" s="10" t="s">
        <v>6</v>
      </c>
      <c r="C91" s="10">
        <v>943209</v>
      </c>
      <c r="D91" s="10">
        <v>54</v>
      </c>
      <c r="E91" s="10">
        <v>3</v>
      </c>
      <c r="F91" s="10">
        <v>21.847000000000001</v>
      </c>
      <c r="G91" s="10" t="s">
        <v>80</v>
      </c>
      <c r="H91" s="10" t="s">
        <v>65</v>
      </c>
      <c r="I91" s="10" t="s">
        <v>48</v>
      </c>
      <c r="J91" s="11">
        <f t="shared" si="2"/>
        <v>20</v>
      </c>
      <c r="K91" s="11">
        <v>0</v>
      </c>
      <c r="L91" s="11">
        <f>ROUND(SUMIFS(Table3[Stock],Table3[key],Table1[[#This Row],[key]])/1000+SUMIFS(Table3[In Transit],Table3[key],Table1[[#This Row],[key]])/1000,2)</f>
        <v>48.84</v>
      </c>
      <c r="M91" s="10" t="s">
        <v>6</v>
      </c>
      <c r="N91" s="10">
        <v>20</v>
      </c>
      <c r="O91" s="10" t="s">
        <v>6</v>
      </c>
      <c r="P91" s="10" t="s">
        <v>6</v>
      </c>
      <c r="Q91" s="10" t="s">
        <v>6</v>
      </c>
      <c r="R91" s="10" t="s">
        <v>6</v>
      </c>
      <c r="S91" s="10" t="s">
        <v>6</v>
      </c>
      <c r="T91" s="13" t="s">
        <v>6</v>
      </c>
    </row>
    <row r="92" spans="1:20" ht="15" customHeight="1" x14ac:dyDescent="0.3">
      <c r="A92" s="10">
        <v>117</v>
      </c>
      <c r="B92" s="10" t="s">
        <v>6</v>
      </c>
      <c r="C92" s="10">
        <v>943209</v>
      </c>
      <c r="D92" s="10">
        <v>57.15</v>
      </c>
      <c r="E92" s="10">
        <v>2.5</v>
      </c>
      <c r="F92" s="10">
        <v>19.239000000000001</v>
      </c>
      <c r="G92" s="10" t="s">
        <v>81</v>
      </c>
      <c r="H92" s="10" t="s">
        <v>30</v>
      </c>
      <c r="I92" s="10" t="s">
        <v>48</v>
      </c>
      <c r="J92" s="11">
        <v>178</v>
      </c>
      <c r="K92" s="11">
        <f>(24622+21051+24643+4700+13147+15082+18647+7008+3921+15678+23040+4468)/1000</f>
        <v>176.00700000000001</v>
      </c>
      <c r="L92" s="11">
        <f>ROUND(SUMIFS(Table3[Stock],Table3[key],Table1[[#This Row],[key]])/1000+SUMIFS(Table3[In Transit],Table3[key],Table1[[#This Row],[key]])/1000,2)</f>
        <v>247.75</v>
      </c>
      <c r="M92" s="10">
        <v>80</v>
      </c>
      <c r="N92" s="10">
        <v>56</v>
      </c>
      <c r="O92" s="10" t="s">
        <v>6</v>
      </c>
      <c r="P92" s="10">
        <v>42</v>
      </c>
      <c r="Q92" s="10" t="s">
        <v>6</v>
      </c>
      <c r="R92" s="10" t="s">
        <v>6</v>
      </c>
      <c r="S92" s="10" t="s">
        <v>6</v>
      </c>
      <c r="T92" s="13" t="s">
        <v>6</v>
      </c>
    </row>
    <row r="93" spans="1:20" ht="15" customHeight="1" x14ac:dyDescent="0.3">
      <c r="A93" s="10">
        <v>121</v>
      </c>
      <c r="B93" s="10" t="s">
        <v>6</v>
      </c>
      <c r="C93" s="10">
        <v>943210</v>
      </c>
      <c r="D93" s="10">
        <v>57.15</v>
      </c>
      <c r="E93" s="10">
        <v>3</v>
      </c>
      <c r="F93" s="10">
        <v>22.635000000000002</v>
      </c>
      <c r="G93" s="10" t="s">
        <v>6</v>
      </c>
      <c r="H93" s="10" t="s">
        <v>30</v>
      </c>
      <c r="I93" s="10" t="s">
        <v>48</v>
      </c>
      <c r="J93" s="11">
        <f t="shared" si="2"/>
        <v>0</v>
      </c>
      <c r="K93" s="11"/>
      <c r="L93" s="11">
        <f>ROUND(SUMIFS(Table3[Stock],Table3[key],Table1[[#This Row],[key]])/1000+SUMIFS(Table3[In Transit],Table3[key],Table1[[#This Row],[key]])/1000,2)</f>
        <v>0</v>
      </c>
      <c r="M93" s="10" t="s">
        <v>6</v>
      </c>
      <c r="N93" s="10" t="s">
        <v>6</v>
      </c>
      <c r="O93" s="10" t="s">
        <v>6</v>
      </c>
      <c r="P93" s="10" t="s">
        <v>6</v>
      </c>
      <c r="Q93" s="10" t="s">
        <v>6</v>
      </c>
      <c r="R93" s="10" t="s">
        <v>6</v>
      </c>
      <c r="S93" s="10" t="s">
        <v>6</v>
      </c>
      <c r="T93" s="13" t="s">
        <v>6</v>
      </c>
    </row>
    <row r="94" spans="1:20" ht="15" customHeight="1" x14ac:dyDescent="0.3">
      <c r="A94" s="10">
        <v>122</v>
      </c>
      <c r="B94" s="10" t="s">
        <v>6</v>
      </c>
      <c r="C94" s="10" t="s">
        <v>6</v>
      </c>
      <c r="D94" s="10">
        <v>57.15</v>
      </c>
      <c r="E94" s="10">
        <v>3</v>
      </c>
      <c r="F94" s="10" t="s">
        <v>6</v>
      </c>
      <c r="G94" s="10" t="s">
        <v>6</v>
      </c>
      <c r="H94" s="10" t="s">
        <v>30</v>
      </c>
      <c r="I94" s="10" t="s">
        <v>6</v>
      </c>
      <c r="J94" s="11">
        <f t="shared" si="2"/>
        <v>0</v>
      </c>
      <c r="K94" s="11"/>
      <c r="L94" s="11">
        <f>ROUND(SUMIFS(Table3[Stock],Table3[key],Table1[[#This Row],[key]])/1000+SUMIFS(Table3[In Transit],Table3[key],Table1[[#This Row],[key]])/1000,2)</f>
        <v>0</v>
      </c>
      <c r="M94" s="10" t="s">
        <v>6</v>
      </c>
      <c r="N94" s="10" t="s">
        <v>6</v>
      </c>
      <c r="O94" s="10" t="s">
        <v>6</v>
      </c>
      <c r="P94" s="10" t="s">
        <v>6</v>
      </c>
      <c r="Q94" s="10" t="s">
        <v>6</v>
      </c>
      <c r="R94" s="10" t="s">
        <v>6</v>
      </c>
      <c r="S94" s="10" t="s">
        <v>6</v>
      </c>
      <c r="T94" s="13" t="s">
        <v>6</v>
      </c>
    </row>
    <row r="95" spans="1:20" ht="15" customHeight="1" x14ac:dyDescent="0.3">
      <c r="A95" s="10">
        <v>124</v>
      </c>
      <c r="B95" s="10" t="s">
        <v>6</v>
      </c>
      <c r="C95" s="10">
        <v>943209</v>
      </c>
      <c r="D95" s="10">
        <v>60.3</v>
      </c>
      <c r="E95" s="10">
        <v>2</v>
      </c>
      <c r="F95" s="10">
        <v>14.654999999999999</v>
      </c>
      <c r="G95" s="10" t="s">
        <v>82</v>
      </c>
      <c r="H95" s="10" t="s">
        <v>30</v>
      </c>
      <c r="I95" s="10" t="s">
        <v>48</v>
      </c>
      <c r="J95" s="11">
        <v>54</v>
      </c>
      <c r="K95" s="11">
        <f>(7571+5440+5143+1509+3025+2717+14936+8524+3932+11187+5873)/1000</f>
        <v>69.856999999999999</v>
      </c>
      <c r="L95" s="11">
        <f>ROUND(SUMIFS(Table3[Stock],Table3[key],Table1[[#This Row],[key]])/1000+SUMIFS(Table3[In Transit],Table3[key],Table1[[#This Row],[key]])/1000,2)</f>
        <v>9.7100000000000009</v>
      </c>
      <c r="M95" s="10">
        <v>15</v>
      </c>
      <c r="N95" s="10">
        <v>9</v>
      </c>
      <c r="O95" s="10" t="s">
        <v>6</v>
      </c>
      <c r="P95" s="10">
        <v>30</v>
      </c>
      <c r="Q95" s="10" t="s">
        <v>6</v>
      </c>
      <c r="R95" s="10" t="s">
        <v>6</v>
      </c>
      <c r="S95" s="10" t="s">
        <v>6</v>
      </c>
      <c r="T95" s="13" t="s">
        <v>6</v>
      </c>
    </row>
    <row r="96" spans="1:20" ht="15" customHeight="1" x14ac:dyDescent="0.3">
      <c r="A96" s="10">
        <v>127</v>
      </c>
      <c r="B96" s="10" t="s">
        <v>83</v>
      </c>
      <c r="C96" s="10" t="s">
        <v>6</v>
      </c>
      <c r="D96" s="10">
        <v>63.5</v>
      </c>
      <c r="E96" s="10">
        <v>1.6</v>
      </c>
      <c r="F96" s="10" t="s">
        <v>6</v>
      </c>
      <c r="G96" s="10" t="s">
        <v>6</v>
      </c>
      <c r="H96" s="10" t="s">
        <v>30</v>
      </c>
      <c r="I96" s="10" t="s">
        <v>48</v>
      </c>
      <c r="J96" s="11">
        <f t="shared" si="2"/>
        <v>0</v>
      </c>
      <c r="K96" s="11"/>
      <c r="L96" s="11">
        <f>ROUND(SUMIFS(Table3[Stock],Table3[key],Table1[[#This Row],[key]])/1000+SUMIFS(Table3[In Transit],Table3[key],Table1[[#This Row],[key]])/1000,2)</f>
        <v>0</v>
      </c>
      <c r="M96" s="10" t="s">
        <v>6</v>
      </c>
      <c r="N96" s="10" t="s">
        <v>6</v>
      </c>
      <c r="O96" s="10" t="s">
        <v>6</v>
      </c>
      <c r="P96" s="10" t="s">
        <v>6</v>
      </c>
      <c r="Q96" s="10" t="s">
        <v>6</v>
      </c>
      <c r="R96" s="10" t="s">
        <v>6</v>
      </c>
      <c r="S96" s="10" t="s">
        <v>6</v>
      </c>
      <c r="T96" s="13" t="s">
        <v>6</v>
      </c>
    </row>
    <row r="97" spans="1:21" ht="15" customHeight="1" x14ac:dyDescent="0.3">
      <c r="A97" s="9" t="s">
        <v>6</v>
      </c>
      <c r="B97" s="10" t="s">
        <v>6</v>
      </c>
      <c r="C97" s="10" t="s">
        <v>6</v>
      </c>
      <c r="D97" s="10" t="s">
        <v>6</v>
      </c>
      <c r="E97" s="10" t="s">
        <v>6</v>
      </c>
      <c r="F97" s="10" t="s">
        <v>6</v>
      </c>
      <c r="G97" s="10" t="s">
        <v>6</v>
      </c>
      <c r="H97" s="10" t="s">
        <v>6</v>
      </c>
      <c r="I97" s="10" t="s">
        <v>6</v>
      </c>
      <c r="J97" s="10" t="s">
        <v>6</v>
      </c>
      <c r="K97" s="11">
        <f>SUM(K4:K95)</f>
        <v>990.83599999999979</v>
      </c>
      <c r="L97" s="11">
        <f>SUM(L2:L95)</f>
        <v>2335.2400000000002</v>
      </c>
      <c r="M97" s="11"/>
      <c r="N97" s="10" t="s">
        <v>6</v>
      </c>
      <c r="O97" s="10" t="s">
        <v>6</v>
      </c>
      <c r="P97" s="10" t="s">
        <v>6</v>
      </c>
      <c r="Q97" s="10" t="s">
        <v>6</v>
      </c>
      <c r="R97" s="10" t="s">
        <v>6</v>
      </c>
      <c r="S97" s="10" t="s">
        <v>6</v>
      </c>
      <c r="T97" s="10" t="s">
        <v>6</v>
      </c>
    </row>
    <row r="98" spans="1:21" ht="15" customHeight="1" x14ac:dyDescent="0.3">
      <c r="U98" s="10" t="s">
        <v>6</v>
      </c>
    </row>
  </sheetData>
  <phoneticPr fontId="1" type="noConversion"/>
  <conditionalFormatting sqref="G4:G96">
    <cfRule type="duplicateValues" dxfId="59" priority="162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074C4-8999-4A69-B7BB-EC5219CC4BE2}">
  <dimension ref="A1:AB123"/>
  <sheetViews>
    <sheetView tabSelected="1" topLeftCell="A59" zoomScale="90" zoomScaleNormal="90" workbookViewId="0">
      <selection activeCell="C61" sqref="C61"/>
    </sheetView>
  </sheetViews>
  <sheetFormatPr defaultRowHeight="20.25" customHeight="1" outlineLevelCol="1" x14ac:dyDescent="0.25"/>
  <cols>
    <col min="1" max="1" width="5" customWidth="1"/>
    <col min="2" max="2" width="10.28515625" customWidth="1"/>
    <col min="3" max="3" width="8" customWidth="1"/>
    <col min="4" max="4" width="9.140625" bestFit="1" customWidth="1"/>
    <col min="5" max="5" width="5.5703125" customWidth="1"/>
    <col min="6" max="6" width="9.140625" bestFit="1" customWidth="1"/>
    <col min="7" max="7" width="9.85546875" customWidth="1"/>
    <col min="8" max="8" width="20.42578125" customWidth="1" outlineLevel="1"/>
    <col min="9" max="9" width="9.140625" customWidth="1" outlineLevel="1"/>
    <col min="10" max="10" width="5" customWidth="1" outlineLevel="1"/>
    <col min="11" max="11" width="5.140625" customWidth="1" outlineLevel="1"/>
    <col min="12" max="12" width="8.140625" customWidth="1" outlineLevel="1"/>
    <col min="13" max="13" width="11.5703125" customWidth="1"/>
    <col min="14" max="15" width="8.7109375" customWidth="1"/>
    <col min="16" max="16" width="12.5703125" bestFit="1" customWidth="1"/>
    <col min="17" max="17" width="11" customWidth="1"/>
    <col min="18" max="18" width="9.28515625" customWidth="1"/>
    <col min="19" max="19" width="7.85546875" customWidth="1"/>
    <col min="20" max="20" width="13.28515625" customWidth="1"/>
    <col min="21" max="21" width="10.28515625" customWidth="1"/>
    <col min="22" max="22" width="7.42578125" customWidth="1"/>
    <col min="23" max="23" width="8.140625" customWidth="1"/>
    <col min="24" max="24" width="6.85546875" customWidth="1"/>
    <col min="25" max="25" width="10" customWidth="1"/>
    <col min="26" max="26" width="11.140625" customWidth="1"/>
    <col min="27" max="27" width="34.5703125" bestFit="1" customWidth="1"/>
  </cols>
  <sheetData>
    <row r="1" spans="1:27" ht="20.25" customHeight="1" x14ac:dyDescent="0.25">
      <c r="H1" s="20" t="s">
        <v>7</v>
      </c>
      <c r="L1" s="21" t="s">
        <v>91</v>
      </c>
    </row>
    <row r="2" spans="1:27" ht="20.25" customHeight="1" x14ac:dyDescent="0.25">
      <c r="P2">
        <f>SUM(Table3[Schedule])</f>
        <v>1783501</v>
      </c>
      <c r="Q2">
        <f>SUM(Table3[Stock])</f>
        <v>1239154.4118952581</v>
      </c>
      <c r="R2">
        <f>SUM(Table3[In Transit])</f>
        <v>277507</v>
      </c>
    </row>
    <row r="3" spans="1:27" ht="20.25" customHeight="1" x14ac:dyDescent="0.25">
      <c r="A3" s="22" t="s">
        <v>19</v>
      </c>
      <c r="B3" s="22" t="s">
        <v>20</v>
      </c>
      <c r="C3" s="22" t="s">
        <v>21</v>
      </c>
      <c r="D3" s="22" t="s">
        <v>22</v>
      </c>
      <c r="E3" s="22" t="s">
        <v>23</v>
      </c>
      <c r="F3" s="22" t="s">
        <v>24</v>
      </c>
      <c r="G3" s="22" t="s">
        <v>25</v>
      </c>
      <c r="H3" s="22" t="s">
        <v>26</v>
      </c>
      <c r="I3" s="22" t="s">
        <v>27</v>
      </c>
      <c r="J3" s="22" t="s">
        <v>28</v>
      </c>
      <c r="K3" s="22" t="s">
        <v>92</v>
      </c>
      <c r="L3" s="22" t="s">
        <v>93</v>
      </c>
      <c r="M3" s="23" t="s">
        <v>94</v>
      </c>
      <c r="N3" s="23" t="s">
        <v>95</v>
      </c>
      <c r="O3" s="23" t="s">
        <v>96</v>
      </c>
      <c r="P3" s="24" t="s">
        <v>97</v>
      </c>
      <c r="Q3" s="22" t="s">
        <v>98</v>
      </c>
      <c r="R3" s="22" t="s">
        <v>99</v>
      </c>
      <c r="S3" s="22" t="s">
        <v>100</v>
      </c>
      <c r="T3" s="22" t="s">
        <v>101</v>
      </c>
      <c r="U3" s="23" t="s">
        <v>102</v>
      </c>
      <c r="V3" s="23" t="s">
        <v>103</v>
      </c>
      <c r="W3" s="23" t="s">
        <v>104</v>
      </c>
      <c r="X3" s="23" t="s">
        <v>105</v>
      </c>
      <c r="Y3" s="25" t="s">
        <v>106</v>
      </c>
      <c r="Z3" s="26" t="s">
        <v>107</v>
      </c>
      <c r="AA3" s="27" t="s">
        <v>108</v>
      </c>
    </row>
    <row r="4" spans="1:27" ht="20.25" customHeight="1" x14ac:dyDescent="0.25">
      <c r="A4" s="28">
        <v>1</v>
      </c>
      <c r="B4" s="28"/>
      <c r="C4" s="28">
        <v>943209</v>
      </c>
      <c r="D4" s="28">
        <v>12.7</v>
      </c>
      <c r="E4" s="28">
        <v>1.2</v>
      </c>
      <c r="F4" s="28">
        <v>6</v>
      </c>
      <c r="G4" s="28">
        <v>2.0419999999999998</v>
      </c>
      <c r="H4" s="28" t="s">
        <v>29</v>
      </c>
      <c r="I4" s="28" t="s">
        <v>30</v>
      </c>
      <c r="J4" s="28" t="s">
        <v>31</v>
      </c>
      <c r="K4" s="28"/>
      <c r="L4" s="28">
        <v>5032</v>
      </c>
      <c r="M4" s="28"/>
      <c r="N4" s="28">
        <v>1939985</v>
      </c>
      <c r="O4" s="28"/>
      <c r="P4" s="28">
        <f>'vsm req'!K4</f>
        <v>6000</v>
      </c>
      <c r="Q4" s="28">
        <f t="shared" ref="Q4:Q36" si="0">((D4-E4)*E4*0.0246615*F4*L4)</f>
        <v>10275.2041104</v>
      </c>
      <c r="R4" s="28">
        <v>0</v>
      </c>
      <c r="S4" s="28"/>
      <c r="T4" s="28">
        <f>ROUND((Q4+Table3[[#This Row],[In Transit]])/P4*30,0)</f>
        <v>51</v>
      </c>
      <c r="U4" s="29">
        <v>0</v>
      </c>
      <c r="V4" s="29"/>
      <c r="W4" s="28"/>
      <c r="X4" s="28"/>
      <c r="Y4" s="30">
        <f>IF((45-Table3[[#This Row],[Coverage post order]])&gt;0,Table3[[#This Row],[Schedule]]*1.5,0)</f>
        <v>0</v>
      </c>
      <c r="Z4" s="28">
        <f>ROUND((Table3[[#This Row],[Stock]]+Table3[[#This Row],[056 Order]]+Table3[[#This Row],[0789 Order]]+Table3[[#This Row],[0788 Order]]+Table3[[#This Row],[In Transit]])/Table3[[#This Row],[Schedule]]*30,0)</f>
        <v>51</v>
      </c>
      <c r="AA4" s="31">
        <v>789</v>
      </c>
    </row>
    <row r="5" spans="1:27" ht="20.25" customHeight="1" x14ac:dyDescent="0.25">
      <c r="A5" s="28">
        <v>2</v>
      </c>
      <c r="B5" s="28"/>
      <c r="C5" s="28">
        <v>943210</v>
      </c>
      <c r="D5" s="28">
        <v>12.7</v>
      </c>
      <c r="E5" s="28">
        <v>1.4</v>
      </c>
      <c r="F5" s="28">
        <v>5.67</v>
      </c>
      <c r="G5" s="28">
        <v>2.2120000000000002</v>
      </c>
      <c r="H5" s="28"/>
      <c r="I5" s="28" t="s">
        <v>30</v>
      </c>
      <c r="J5" s="28" t="s">
        <v>31</v>
      </c>
      <c r="K5" s="28"/>
      <c r="L5" s="28">
        <v>393</v>
      </c>
      <c r="M5" s="28"/>
      <c r="N5" s="28">
        <v>3552188</v>
      </c>
      <c r="O5" s="28"/>
      <c r="P5" s="28">
        <f>'vsm req'!K5</f>
        <v>1500</v>
      </c>
      <c r="Q5" s="28">
        <f t="shared" si="0"/>
        <v>869.36384896829975</v>
      </c>
      <c r="R5" s="28"/>
      <c r="S5" s="28"/>
      <c r="T5" s="28">
        <f>ROUND((Q5+Table3[[#This Row],[In Transit]])/P5*30,0)</f>
        <v>17</v>
      </c>
      <c r="U5" s="29"/>
      <c r="V5" s="29">
        <v>2250</v>
      </c>
      <c r="W5" s="28"/>
      <c r="X5" s="28"/>
      <c r="Y5" s="30">
        <f>IF((45-Table3[[#This Row],[Coverage post order]])&gt;0,Table3[[#This Row],[Schedule]]*1.5,0)</f>
        <v>0</v>
      </c>
      <c r="Z5" s="28">
        <f>ROUND((Table3[[#This Row],[Stock]]+Table3[[#This Row],[056 Order]]+Table3[[#This Row],[0789 Order]]+Table3[[#This Row],[0788 Order]]+Table3[[#This Row],[In Transit]])/Table3[[#This Row],[Schedule]]*30,0)</f>
        <v>62</v>
      </c>
      <c r="AA5" s="61" t="s">
        <v>95</v>
      </c>
    </row>
    <row r="6" spans="1:27" ht="20.25" customHeight="1" x14ac:dyDescent="0.25">
      <c r="A6" s="28">
        <v>3</v>
      </c>
      <c r="B6" s="28"/>
      <c r="C6" s="28"/>
      <c r="D6" s="28">
        <v>12.7</v>
      </c>
      <c r="E6" s="28">
        <v>1.4</v>
      </c>
      <c r="F6" s="28">
        <v>6</v>
      </c>
      <c r="G6" s="28">
        <v>2.3410000000000002</v>
      </c>
      <c r="H6" s="28"/>
      <c r="I6" s="28" t="s">
        <v>30</v>
      </c>
      <c r="J6" s="28" t="s">
        <v>31</v>
      </c>
      <c r="K6" s="28"/>
      <c r="L6" s="28">
        <v>0</v>
      </c>
      <c r="M6" s="28"/>
      <c r="N6" s="28">
        <v>1931117</v>
      </c>
      <c r="O6" s="28"/>
      <c r="P6" s="28">
        <f>'vsm req'!K6</f>
        <v>0</v>
      </c>
      <c r="Q6" s="28">
        <f t="shared" si="0"/>
        <v>0</v>
      </c>
      <c r="R6" s="28"/>
      <c r="S6" s="28"/>
      <c r="T6" s="28" t="e">
        <f>ROUND((Q6+Table3[[#This Row],[In Transit]])/P6*30,0)</f>
        <v>#DIV/0!</v>
      </c>
      <c r="U6" s="29"/>
      <c r="V6" s="28"/>
      <c r="W6" s="28"/>
      <c r="X6" s="28"/>
      <c r="Y6" s="30" t="e">
        <f>IF((45-Table3[[#This Row],[Coverage post order]])&gt;0,Table3[[#This Row],[Schedule]]*1.5,0)</f>
        <v>#DIV/0!</v>
      </c>
      <c r="Z6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6" s="28"/>
    </row>
    <row r="7" spans="1:27" ht="20.25" customHeight="1" x14ac:dyDescent="0.25">
      <c r="A7" s="28">
        <v>4</v>
      </c>
      <c r="B7" s="28"/>
      <c r="C7" s="28"/>
      <c r="D7" s="28">
        <v>12.7</v>
      </c>
      <c r="E7" s="28">
        <v>1.4</v>
      </c>
      <c r="F7" s="28">
        <v>6.0350000000000001</v>
      </c>
      <c r="G7" s="28">
        <v>2.355</v>
      </c>
      <c r="H7" s="28"/>
      <c r="I7" s="28" t="s">
        <v>30</v>
      </c>
      <c r="J7" s="28" t="s">
        <v>31</v>
      </c>
      <c r="K7" s="28"/>
      <c r="L7" s="28">
        <v>0</v>
      </c>
      <c r="M7" s="29"/>
      <c r="N7" s="28"/>
      <c r="O7" s="28"/>
      <c r="P7" s="28">
        <f>'vsm req'!K7</f>
        <v>0</v>
      </c>
      <c r="Q7" s="28">
        <f t="shared" si="0"/>
        <v>0</v>
      </c>
      <c r="R7" s="28"/>
      <c r="S7" s="28"/>
      <c r="T7" s="28" t="e">
        <f>ROUND((Q7+Table3[[#This Row],[In Transit]])/P7*30,0)</f>
        <v>#DIV/0!</v>
      </c>
      <c r="U7" s="29"/>
      <c r="V7" s="28"/>
      <c r="W7" s="28"/>
      <c r="X7" s="28"/>
      <c r="Y7" s="30" t="e">
        <f>IF((45-Table3[[#This Row],[Coverage post order]])&gt;0,Table3[[#This Row],[Schedule]]*1.5,0)</f>
        <v>#DIV/0!</v>
      </c>
      <c r="Z7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7" s="28"/>
    </row>
    <row r="8" spans="1:27" ht="20.25" customHeight="1" x14ac:dyDescent="0.25">
      <c r="A8" s="28">
        <v>5</v>
      </c>
      <c r="B8" s="28"/>
      <c r="C8" s="28">
        <v>943210</v>
      </c>
      <c r="D8" s="28">
        <v>12.7</v>
      </c>
      <c r="E8" s="28">
        <v>1.6</v>
      </c>
      <c r="F8" s="28">
        <v>6</v>
      </c>
      <c r="G8" s="28">
        <v>2.6280000000000001</v>
      </c>
      <c r="H8" s="28" t="s">
        <v>32</v>
      </c>
      <c r="I8" s="28" t="s">
        <v>30</v>
      </c>
      <c r="J8" s="28" t="s">
        <v>31</v>
      </c>
      <c r="K8" s="28"/>
      <c r="L8" s="28">
        <v>1043</v>
      </c>
      <c r="M8" s="29"/>
      <c r="N8" s="28">
        <v>1931154</v>
      </c>
      <c r="O8" s="28"/>
      <c r="P8" s="28">
        <f>'vsm req'!K8</f>
        <v>0</v>
      </c>
      <c r="Q8" s="28">
        <f t="shared" si="0"/>
        <v>2740.9304059199999</v>
      </c>
      <c r="R8" s="28"/>
      <c r="S8" s="28"/>
      <c r="T8" s="28" t="e">
        <f>ROUND((Q8+Table3[[#This Row],[In Transit]])/P8*30,0)</f>
        <v>#DIV/0!</v>
      </c>
      <c r="U8" s="29"/>
      <c r="V8" s="29"/>
      <c r="W8" s="28"/>
      <c r="X8" s="28"/>
      <c r="Y8" s="30" t="e">
        <f>IF((45-Table3[[#This Row],[Coverage post order]])&gt;0,Table3[[#This Row],[Schedule]]*1.5,0)</f>
        <v>#DIV/0!</v>
      </c>
      <c r="Z8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8" s="28"/>
    </row>
    <row r="9" spans="1:27" ht="20.25" customHeight="1" x14ac:dyDescent="0.25">
      <c r="A9" s="28">
        <v>6</v>
      </c>
      <c r="B9" s="28"/>
      <c r="C9" s="28"/>
      <c r="D9" s="28">
        <v>12.7</v>
      </c>
      <c r="E9" s="28">
        <v>2</v>
      </c>
      <c r="F9" s="28">
        <v>6</v>
      </c>
      <c r="G9" s="28">
        <v>3.1669999999999998</v>
      </c>
      <c r="H9" s="28"/>
      <c r="I9" s="28" t="s">
        <v>30</v>
      </c>
      <c r="J9" s="28" t="s">
        <v>31</v>
      </c>
      <c r="K9" s="28"/>
      <c r="L9" s="28">
        <v>0</v>
      </c>
      <c r="M9" s="29"/>
      <c r="N9" s="28"/>
      <c r="O9" s="28"/>
      <c r="P9" s="28">
        <f>'vsm req'!K9</f>
        <v>2000</v>
      </c>
      <c r="Q9" s="28">
        <f t="shared" si="0"/>
        <v>0</v>
      </c>
      <c r="R9" s="28"/>
      <c r="S9" s="28"/>
      <c r="T9" s="28">
        <f>ROUND((Q9+Table3[[#This Row],[In Transit]])/P9*30,0)</f>
        <v>0</v>
      </c>
      <c r="U9" s="29"/>
      <c r="V9" s="28"/>
      <c r="W9" s="28"/>
      <c r="X9" s="28"/>
      <c r="Y9" s="30">
        <f>IF((45-Table3[[#This Row],[Coverage post order]])&gt;0,Table3[[#This Row],[Schedule]]*1.5,0)</f>
        <v>3000</v>
      </c>
      <c r="Z9" s="28">
        <f>ROUND((Table3[[#This Row],[Stock]]+Table3[[#This Row],[056 Order]]+Table3[[#This Row],[0789 Order]]+Table3[[#This Row],[0788 Order]]+Table3[[#This Row],[In Transit]])/Table3[[#This Row],[Schedule]]*30,0)</f>
        <v>0</v>
      </c>
      <c r="AA9" s="61" t="s">
        <v>109</v>
      </c>
    </row>
    <row r="10" spans="1:27" ht="20.25" customHeight="1" x14ac:dyDescent="0.25">
      <c r="A10" s="28"/>
      <c r="B10" s="28"/>
      <c r="C10" s="20"/>
      <c r="D10" s="20">
        <v>14</v>
      </c>
      <c r="E10" s="20">
        <v>2.4500000000000002</v>
      </c>
      <c r="F10" s="20">
        <v>5</v>
      </c>
      <c r="G10" s="20"/>
      <c r="H10" s="20"/>
      <c r="I10" s="20"/>
      <c r="J10" s="20"/>
      <c r="K10" s="20"/>
      <c r="L10" s="20">
        <v>0</v>
      </c>
      <c r="M10" s="32"/>
      <c r="N10" s="33"/>
      <c r="O10" s="33"/>
      <c r="P10" s="20">
        <f>'vsm req'!K10</f>
        <v>0</v>
      </c>
      <c r="Q10" s="20">
        <f>((D10-E10)*E10*0.0246615*F10*L10)</f>
        <v>0</v>
      </c>
      <c r="R10" s="20"/>
      <c r="S10" s="20"/>
      <c r="T10" s="28" t="e">
        <f>ROUND((Q10+Table3[[#This Row],[In Transit]])/P10*30,0)</f>
        <v>#DIV/0!</v>
      </c>
      <c r="U10" s="32"/>
      <c r="V10" s="33"/>
      <c r="W10" s="33"/>
      <c r="X10" s="33"/>
      <c r="Y10" s="34" t="e">
        <f>IF((45-Table3[[#This Row],[Coverage post order]])&gt;0,Table3[[#This Row],[Schedule]]*1.5,0)</f>
        <v>#DIV/0!</v>
      </c>
      <c r="Z10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A10" s="28"/>
    </row>
    <row r="11" spans="1:27" ht="20.25" customHeight="1" x14ac:dyDescent="0.25">
      <c r="A11" s="28">
        <v>7</v>
      </c>
      <c r="B11" s="28"/>
      <c r="C11" s="28"/>
      <c r="D11" s="28">
        <v>15.88</v>
      </c>
      <c r="E11" s="28">
        <v>1</v>
      </c>
      <c r="F11" s="28">
        <v>6.19</v>
      </c>
      <c r="G11" s="28">
        <v>2.2719999999999998</v>
      </c>
      <c r="H11" s="28" t="s">
        <v>33</v>
      </c>
      <c r="I11" s="28" t="s">
        <v>30</v>
      </c>
      <c r="J11" s="28" t="s">
        <v>31</v>
      </c>
      <c r="K11" s="28"/>
      <c r="L11" s="28">
        <v>0</v>
      </c>
      <c r="M11" s="29"/>
      <c r="N11" s="28">
        <v>1940054</v>
      </c>
      <c r="O11" s="28"/>
      <c r="P11" s="28">
        <f>'vsm req'!K11</f>
        <v>0</v>
      </c>
      <c r="Q11" s="28">
        <f t="shared" si="0"/>
        <v>0</v>
      </c>
      <c r="R11" s="28"/>
      <c r="S11" s="28"/>
      <c r="T11" s="28" t="e">
        <f>ROUND((Q11+Table3[[#This Row],[In Transit]])/P11*30,0)</f>
        <v>#DIV/0!</v>
      </c>
      <c r="U11" s="29"/>
      <c r="V11" s="28"/>
      <c r="W11" s="28"/>
      <c r="X11" s="28"/>
      <c r="Y11" s="30" t="e">
        <f>IF((45-Table3[[#This Row],[Coverage post order]])&gt;0,Table3[[#This Row],[Schedule]]*1.5,0)</f>
        <v>#DIV/0!</v>
      </c>
      <c r="Z11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11" s="28"/>
    </row>
    <row r="12" spans="1:27" ht="20.25" customHeight="1" x14ac:dyDescent="0.25">
      <c r="A12" s="28">
        <v>8</v>
      </c>
      <c r="B12" s="28"/>
      <c r="C12" s="28">
        <v>943210</v>
      </c>
      <c r="D12" s="28">
        <v>15.88</v>
      </c>
      <c r="E12" s="28">
        <v>1.2</v>
      </c>
      <c r="F12" s="28">
        <v>6</v>
      </c>
      <c r="G12" s="28">
        <v>2.6070000000000002</v>
      </c>
      <c r="H12" s="28" t="s">
        <v>34</v>
      </c>
      <c r="I12" s="28" t="s">
        <v>30</v>
      </c>
      <c r="J12" s="28" t="s">
        <v>31</v>
      </c>
      <c r="K12" s="28"/>
      <c r="L12" s="28">
        <v>602</v>
      </c>
      <c r="M12" s="29"/>
      <c r="N12" s="28">
        <v>1940054</v>
      </c>
      <c r="O12" s="28"/>
      <c r="P12" s="28">
        <f>'vsm req'!K12</f>
        <v>5000</v>
      </c>
      <c r="Q12" s="28">
        <f t="shared" si="0"/>
        <v>1569.1863862079999</v>
      </c>
      <c r="R12" s="28"/>
      <c r="S12" s="28"/>
      <c r="T12" s="28">
        <f>ROUND((Q12+Table3[[#This Row],[In Transit]])/P12*30,0)</f>
        <v>9</v>
      </c>
      <c r="U12" s="29"/>
      <c r="V12" s="28">
        <v>7500</v>
      </c>
      <c r="W12" s="28"/>
      <c r="X12" s="28"/>
      <c r="Y12" s="30">
        <f>IF((45-Table3[[#This Row],[Coverage post order]])&gt;0,Table3[[#This Row],[Schedule]]*1.5,0)</f>
        <v>0</v>
      </c>
      <c r="Z12" s="28">
        <f>ROUND((Table3[[#This Row],[Stock]]+Table3[[#This Row],[056 Order]]+Table3[[#This Row],[0789 Order]]+Table3[[#This Row],[0788 Order]]+Table3[[#This Row],[In Transit]])/Table3[[#This Row],[Schedule]]*30,0)</f>
        <v>54</v>
      </c>
      <c r="AA12" s="61" t="s">
        <v>95</v>
      </c>
    </row>
    <row r="13" spans="1:27" ht="20.25" customHeight="1" x14ac:dyDescent="0.25">
      <c r="A13" s="28">
        <v>9</v>
      </c>
      <c r="B13" s="28"/>
      <c r="C13" s="28"/>
      <c r="D13" s="28">
        <v>15.88</v>
      </c>
      <c r="E13" s="28">
        <v>1.4</v>
      </c>
      <c r="F13" s="28">
        <v>6</v>
      </c>
      <c r="G13" s="28">
        <v>2.6070000000000002</v>
      </c>
      <c r="H13" s="28"/>
      <c r="I13" s="28" t="s">
        <v>30</v>
      </c>
      <c r="J13" s="28" t="s">
        <v>31</v>
      </c>
      <c r="K13" s="28"/>
      <c r="L13" s="28">
        <v>2456</v>
      </c>
      <c r="M13" s="29"/>
      <c r="N13" s="28"/>
      <c r="O13" s="28"/>
      <c r="P13" s="28">
        <f>'vsm req'!K13</f>
        <v>0</v>
      </c>
      <c r="Q13" s="28">
        <f t="shared" si="0"/>
        <v>7367.0853070079993</v>
      </c>
      <c r="R13" s="28"/>
      <c r="S13" s="28"/>
      <c r="T13" s="28" t="e">
        <f>ROUND((Q13+Table3[[#This Row],[In Transit]])/P13*30,0)</f>
        <v>#DIV/0!</v>
      </c>
      <c r="U13" s="29"/>
      <c r="V13" s="28"/>
      <c r="W13" s="28"/>
      <c r="X13" s="28"/>
      <c r="Y13" s="30" t="e">
        <f>IF((45-Table3[[#This Row],[Coverage post order]])&gt;0,Table3[[#This Row],[Schedule]]*1.5,0)</f>
        <v>#DIV/0!</v>
      </c>
      <c r="Z13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13" s="28"/>
    </row>
    <row r="14" spans="1:27" ht="20.25" customHeight="1" x14ac:dyDescent="0.25">
      <c r="A14" s="28">
        <v>10</v>
      </c>
      <c r="B14" s="28"/>
      <c r="C14" s="28"/>
      <c r="D14" s="28">
        <v>15.88</v>
      </c>
      <c r="E14" s="28">
        <v>1.6</v>
      </c>
      <c r="F14" s="28">
        <v>6</v>
      </c>
      <c r="G14" s="28">
        <v>3.3809999999999998</v>
      </c>
      <c r="H14" s="28" t="s">
        <v>35</v>
      </c>
      <c r="I14" s="28" t="s">
        <v>30</v>
      </c>
      <c r="J14" s="28" t="s">
        <v>31</v>
      </c>
      <c r="K14" s="28"/>
      <c r="L14" s="28">
        <v>3154</v>
      </c>
      <c r="M14" s="29"/>
      <c r="N14" s="28">
        <v>1900224</v>
      </c>
      <c r="O14" s="28"/>
      <c r="P14" s="28">
        <f>'vsm req'!K14</f>
        <v>1000</v>
      </c>
      <c r="Q14" s="28">
        <f t="shared" si="0"/>
        <v>10663.029675648</v>
      </c>
      <c r="R14" s="28"/>
      <c r="S14" s="28"/>
      <c r="T14" s="28">
        <f>ROUND((Q14+Table3[[#This Row],[In Transit]])/P14*30,0)</f>
        <v>320</v>
      </c>
      <c r="U14" s="29"/>
      <c r="V14" s="28"/>
      <c r="W14" s="28"/>
      <c r="X14" s="28"/>
      <c r="Y14" s="30">
        <f>IF((45-Table3[[#This Row],[Coverage post order]])&gt;0,Table3[[#This Row],[Schedule]]*1.5,0)</f>
        <v>0</v>
      </c>
      <c r="Z14" s="28">
        <f>ROUND((Table3[[#This Row],[Stock]]+Table3[[#This Row],[056 Order]]+Table3[[#This Row],[0789 Order]]+Table3[[#This Row],[0788 Order]]+Table3[[#This Row],[In Transit]])/Table3[[#This Row],[Schedule]]*30,0)</f>
        <v>320</v>
      </c>
      <c r="AA14" s="28"/>
    </row>
    <row r="15" spans="1:27" ht="20.25" customHeight="1" x14ac:dyDescent="0.25">
      <c r="A15" s="28">
        <v>11</v>
      </c>
      <c r="B15" s="28"/>
      <c r="C15" s="28">
        <v>943209</v>
      </c>
      <c r="D15" s="28">
        <v>15.88</v>
      </c>
      <c r="E15" s="28">
        <v>2</v>
      </c>
      <c r="F15" s="28">
        <v>6</v>
      </c>
      <c r="G15" s="28">
        <v>4.1079999999999997</v>
      </c>
      <c r="H15" s="28" t="s">
        <v>36</v>
      </c>
      <c r="I15" s="28" t="s">
        <v>30</v>
      </c>
      <c r="J15" s="28" t="s">
        <v>31</v>
      </c>
      <c r="K15" s="28"/>
      <c r="L15" s="28">
        <v>0</v>
      </c>
      <c r="M15" s="29"/>
      <c r="N15" s="28">
        <v>1940120</v>
      </c>
      <c r="O15" s="28"/>
      <c r="P15" s="28">
        <f>'vsm req'!K15</f>
        <v>3000</v>
      </c>
      <c r="Q15" s="28">
        <f t="shared" si="0"/>
        <v>0</v>
      </c>
      <c r="R15" s="28"/>
      <c r="S15" s="28"/>
      <c r="T15" s="28">
        <f>ROUND((Q15+Table3[[#This Row],[In Transit]])/P15*30,0)</f>
        <v>0</v>
      </c>
      <c r="U15" s="29"/>
      <c r="V15" s="28">
        <v>4500</v>
      </c>
      <c r="W15" s="28"/>
      <c r="X15" s="28"/>
      <c r="Y15" s="30">
        <f>IF((45-Table3[[#This Row],[Coverage post order]])&gt;0,Table3[[#This Row],[Schedule]]*1.5,0)</f>
        <v>0</v>
      </c>
      <c r="Z15" s="28">
        <f>ROUND((Table3[[#This Row],[Stock]]+Table3[[#This Row],[056 Order]]+Table3[[#This Row],[0789 Order]]+Table3[[#This Row],[0788 Order]]+Table3[[#This Row],[In Transit]])/Table3[[#This Row],[Schedule]]*30,0)</f>
        <v>45</v>
      </c>
      <c r="AA15" s="61" t="s">
        <v>95</v>
      </c>
    </row>
    <row r="16" spans="1:27" ht="20.25" customHeight="1" x14ac:dyDescent="0.25">
      <c r="A16" s="35">
        <v>12</v>
      </c>
      <c r="B16" s="35"/>
      <c r="C16" s="20"/>
      <c r="D16" s="20">
        <v>16.8</v>
      </c>
      <c r="E16" s="20">
        <v>2.4</v>
      </c>
      <c r="F16" s="20">
        <v>4.4000000000000004</v>
      </c>
      <c r="G16" s="20">
        <v>3.75</v>
      </c>
      <c r="H16" s="20" t="s">
        <v>37</v>
      </c>
      <c r="I16" s="20" t="s">
        <v>30</v>
      </c>
      <c r="J16" s="20" t="s">
        <v>31</v>
      </c>
      <c r="K16" s="20"/>
      <c r="L16" s="20">
        <v>0</v>
      </c>
      <c r="M16" s="32"/>
      <c r="N16" s="33"/>
      <c r="O16" s="33"/>
      <c r="P16" s="20">
        <f>'vsm req'!K16</f>
        <v>0</v>
      </c>
      <c r="Q16" s="20">
        <f t="shared" si="0"/>
        <v>0</v>
      </c>
      <c r="R16" s="20"/>
      <c r="S16" s="20"/>
      <c r="T16" s="35" t="e">
        <f>ROUND((Q16+Table3[[#This Row],[In Transit]])/P16*30,0)</f>
        <v>#DIV/0!</v>
      </c>
      <c r="U16" s="32"/>
      <c r="V16" s="33"/>
      <c r="W16" s="33"/>
      <c r="X16" s="33"/>
      <c r="Y16" s="34" t="e">
        <f>IF((45-Table3[[#This Row],[Coverage post order]])&gt;0,Table3[[#This Row],[Schedule]]*1.5,0)</f>
        <v>#DIV/0!</v>
      </c>
      <c r="Z1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6" s="35"/>
    </row>
    <row r="17" spans="1:27" ht="20.25" customHeight="1" x14ac:dyDescent="0.25">
      <c r="A17" s="28">
        <v>13</v>
      </c>
      <c r="B17" s="28"/>
      <c r="C17" s="28"/>
      <c r="D17" s="28">
        <v>18.2</v>
      </c>
      <c r="E17" s="28">
        <v>1</v>
      </c>
      <c r="F17" s="28">
        <v>6.1449999999999996</v>
      </c>
      <c r="G17" s="28">
        <v>2.6070000000000002</v>
      </c>
      <c r="H17" s="28" t="s">
        <v>38</v>
      </c>
      <c r="I17" s="28" t="s">
        <v>30</v>
      </c>
      <c r="J17" s="28" t="s">
        <v>31</v>
      </c>
      <c r="K17" s="28"/>
      <c r="L17" s="28">
        <v>2400</v>
      </c>
      <c r="M17" s="29"/>
      <c r="N17" s="28">
        <v>2288945</v>
      </c>
      <c r="O17" s="28"/>
      <c r="P17" s="28">
        <f>'vsm req'!K17</f>
        <v>5000</v>
      </c>
      <c r="Q17" s="28">
        <f t="shared" si="0"/>
        <v>6255.7741943999999</v>
      </c>
      <c r="R17" s="28">
        <v>0</v>
      </c>
      <c r="S17" s="28"/>
      <c r="T17" s="28">
        <f>ROUND((Q17+Table3[[#This Row],[In Transit]])/P17*30,0)</f>
        <v>38</v>
      </c>
      <c r="U17" s="29"/>
      <c r="V17" s="29"/>
      <c r="W17" s="28"/>
      <c r="X17" s="28"/>
      <c r="Y17" s="30">
        <f>IF((45-Table3[[#This Row],[Coverage post order]])&gt;0,Table3[[#This Row],[Schedule]]*1.5,0)</f>
        <v>7500</v>
      </c>
      <c r="Z17" s="28">
        <f>ROUND((Table3[[#This Row],[Stock]]+Table3[[#This Row],[056 Order]]+Table3[[#This Row],[0789 Order]]+Table3[[#This Row],[0788 Order]]+Table3[[#This Row],[In Transit]])/Table3[[#This Row],[Schedule]]*30,0)</f>
        <v>38</v>
      </c>
      <c r="AA17" s="35" t="s">
        <v>110</v>
      </c>
    </row>
    <row r="18" spans="1:27" ht="20.25" customHeight="1" x14ac:dyDescent="0.25">
      <c r="A18" s="28">
        <v>14</v>
      </c>
      <c r="B18" s="28"/>
      <c r="C18" s="28">
        <v>943210</v>
      </c>
      <c r="D18" s="28">
        <v>19.05</v>
      </c>
      <c r="E18" s="28">
        <v>1.4</v>
      </c>
      <c r="F18" s="28">
        <v>6</v>
      </c>
      <c r="G18" s="28">
        <v>3.6560000000000001</v>
      </c>
      <c r="H18" s="28"/>
      <c r="I18" s="28" t="s">
        <v>39</v>
      </c>
      <c r="J18" s="28" t="s">
        <v>31</v>
      </c>
      <c r="K18" s="28"/>
      <c r="L18" s="28">
        <v>1856</v>
      </c>
      <c r="M18" s="29">
        <v>3891285</v>
      </c>
      <c r="N18" s="28">
        <v>1931848</v>
      </c>
      <c r="O18" s="28"/>
      <c r="P18" s="28">
        <f>'vsm req'!K18</f>
        <v>11000</v>
      </c>
      <c r="Q18" s="28">
        <f t="shared" si="0"/>
        <v>6786.1187654400001</v>
      </c>
      <c r="R18" s="28">
        <v>0</v>
      </c>
      <c r="S18" s="28"/>
      <c r="T18" s="28">
        <f>ROUND((Q18+Table3[[#This Row],[In Transit]])/P18*30,0)</f>
        <v>19</v>
      </c>
      <c r="U18" s="28">
        <v>10000</v>
      </c>
      <c r="V18" s="28"/>
      <c r="W18" s="28"/>
      <c r="X18" s="28"/>
      <c r="Y18" s="30">
        <f>IF((45-Table3[[#This Row],[Coverage post order]])&gt;0,Table3[[#This Row],[Schedule]]*1.5,0)</f>
        <v>0</v>
      </c>
      <c r="Z18" s="28">
        <f>ROUND((Table3[[#This Row],[Stock]]+Table3[[#This Row],[056 Order]]+Table3[[#This Row],[0789 Order]]+Table3[[#This Row],[0788 Order]]+Table3[[#This Row],[In Transit]])/Table3[[#This Row],[Schedule]]*30,0)</f>
        <v>46</v>
      </c>
      <c r="AA18" s="28"/>
    </row>
    <row r="19" spans="1:27" ht="20.25" customHeight="1" x14ac:dyDescent="0.25">
      <c r="A19" s="35">
        <v>15</v>
      </c>
      <c r="B19" s="35"/>
      <c r="C19" s="20">
        <v>943209</v>
      </c>
      <c r="D19" s="20">
        <v>19.05</v>
      </c>
      <c r="E19" s="20">
        <v>1.6</v>
      </c>
      <c r="F19" s="20">
        <v>6</v>
      </c>
      <c r="G19" s="20">
        <v>4.0620000000000003</v>
      </c>
      <c r="H19" s="20" t="s">
        <v>40</v>
      </c>
      <c r="I19" s="20" t="s">
        <v>30</v>
      </c>
      <c r="J19" s="20" t="s">
        <v>31</v>
      </c>
      <c r="K19" s="20"/>
      <c r="L19" s="20">
        <v>2851</v>
      </c>
      <c r="M19" s="32">
        <v>3498997</v>
      </c>
      <c r="N19" s="33">
        <v>2405716</v>
      </c>
      <c r="O19" s="33"/>
      <c r="P19" s="20">
        <v>15000</v>
      </c>
      <c r="Q19" s="20">
        <f t="shared" si="0"/>
        <v>11778.320562480001</v>
      </c>
      <c r="R19" s="20">
        <v>0</v>
      </c>
      <c r="S19" s="20"/>
      <c r="T19" s="28">
        <f>ROUND((Q19+Table3[[#This Row],[In Transit]])/P19*30,0)</f>
        <v>24</v>
      </c>
      <c r="U19" s="33">
        <v>15000</v>
      </c>
      <c r="V19" s="33"/>
      <c r="W19" s="33"/>
      <c r="X19" s="33"/>
      <c r="Y19" s="34">
        <f>IF((45-Table3[[#This Row],[Coverage post order]])&gt;0,Table3[[#This Row],[Schedule]]*1.5,0)</f>
        <v>0</v>
      </c>
      <c r="Z19" s="35">
        <f>ROUND((Table3[[#This Row],[Stock]]+Table3[[#This Row],[056 Order]]+Table3[[#This Row],[0789 Order]]+Table3[[#This Row],[0788 Order]]+Table3[[#This Row],[In Transit]])/Table3[[#This Row],[Schedule]]*30,0)</f>
        <v>54</v>
      </c>
      <c r="AA19" s="35"/>
    </row>
    <row r="20" spans="1:27" ht="20.25" customHeight="1" x14ac:dyDescent="0.25">
      <c r="A20" s="35">
        <v>16</v>
      </c>
      <c r="B20" s="35"/>
      <c r="C20" s="20"/>
      <c r="D20" s="20">
        <v>19.05</v>
      </c>
      <c r="E20" s="20">
        <v>1.6</v>
      </c>
      <c r="F20" s="20">
        <v>6.2</v>
      </c>
      <c r="G20" s="20">
        <v>4.1310000000000002</v>
      </c>
      <c r="H20" s="20" t="s">
        <v>40</v>
      </c>
      <c r="I20" s="20" t="s">
        <v>30</v>
      </c>
      <c r="J20" s="20" t="s">
        <v>31</v>
      </c>
      <c r="K20" s="20"/>
      <c r="L20" s="20">
        <v>0</v>
      </c>
      <c r="M20" s="32"/>
      <c r="N20" s="33"/>
      <c r="O20" s="33"/>
      <c r="P20" s="20">
        <f>'vsm req'!K20</f>
        <v>0</v>
      </c>
      <c r="Q20" s="20">
        <f t="shared" si="0"/>
        <v>0</v>
      </c>
      <c r="R20" s="20"/>
      <c r="S20" s="20"/>
      <c r="T20" s="35" t="e">
        <f>ROUND((Q20+Table3[[#This Row],[In Transit]])/P20*30,0)</f>
        <v>#DIV/0!</v>
      </c>
      <c r="U20" s="32"/>
      <c r="V20" s="33"/>
      <c r="W20" s="33"/>
      <c r="X20" s="33"/>
      <c r="Y20" s="34" t="e">
        <f>IF((45-Table3[[#This Row],[Coverage post order]])&gt;0,Table3[[#This Row],[Schedule]]*1.5,0)</f>
        <v>#DIV/0!</v>
      </c>
      <c r="Z2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20" s="35"/>
    </row>
    <row r="21" spans="1:27" ht="20.25" customHeight="1" x14ac:dyDescent="0.25">
      <c r="A21" s="28">
        <v>17</v>
      </c>
      <c r="B21" s="28"/>
      <c r="C21" s="28">
        <v>943209</v>
      </c>
      <c r="D21" s="28">
        <v>19.05</v>
      </c>
      <c r="E21" s="28">
        <v>2</v>
      </c>
      <c r="F21" s="28">
        <v>5.8</v>
      </c>
      <c r="G21" s="28">
        <v>4.8780000000000001</v>
      </c>
      <c r="H21" s="28" t="s">
        <v>41</v>
      </c>
      <c r="I21" s="28" t="s">
        <v>30</v>
      </c>
      <c r="J21" s="28" t="s">
        <v>31</v>
      </c>
      <c r="K21" s="28"/>
      <c r="L21" s="28">
        <v>965</v>
      </c>
      <c r="M21" s="29"/>
      <c r="N21" s="28">
        <v>1940292</v>
      </c>
      <c r="O21" s="28"/>
      <c r="P21" s="28">
        <f>'vsm req'!K21</f>
        <v>17000</v>
      </c>
      <c r="Q21" s="28">
        <f t="shared" si="0"/>
        <v>4706.8371685500006</v>
      </c>
      <c r="R21" s="28"/>
      <c r="S21" s="28"/>
      <c r="T21" s="28">
        <f>ROUND((Q21+Table3[[#This Row],[In Transit]])/P21*30,0)</f>
        <v>8</v>
      </c>
      <c r="U21" s="29"/>
      <c r="V21" s="36">
        <v>25500</v>
      </c>
      <c r="W21" s="28"/>
      <c r="X21" s="28"/>
      <c r="Y21" s="30">
        <f>IF((45-Table3[[#This Row],[Coverage post order]])&gt;0,Table3[[#This Row],[Schedule]]*1.5,0)</f>
        <v>0</v>
      </c>
      <c r="Z21" s="28">
        <f>ROUND((Table3[[#This Row],[Stock]]+Table3[[#This Row],[056 Order]]+Table3[[#This Row],[0789 Order]]+Table3[[#This Row],[0788 Order]]+Table3[[#This Row],[In Transit]])/Table3[[#This Row],[Schedule]]*30,0)</f>
        <v>53</v>
      </c>
      <c r="AA21" s="61" t="s">
        <v>95</v>
      </c>
    </row>
    <row r="22" spans="1:27" ht="20.25" customHeight="1" x14ac:dyDescent="0.25">
      <c r="A22" s="35">
        <v>18</v>
      </c>
      <c r="B22" s="35"/>
      <c r="C22" s="20">
        <v>943209</v>
      </c>
      <c r="D22" s="20">
        <v>19.05</v>
      </c>
      <c r="E22" s="20">
        <v>2</v>
      </c>
      <c r="F22" s="20">
        <v>5.8410000000000002</v>
      </c>
      <c r="G22" s="20">
        <v>4.9119999999999999</v>
      </c>
      <c r="H22" s="20" t="s">
        <v>41</v>
      </c>
      <c r="I22" s="20" t="s">
        <v>30</v>
      </c>
      <c r="J22" s="20" t="s">
        <v>31</v>
      </c>
      <c r="K22" s="20"/>
      <c r="L22" s="20">
        <v>0</v>
      </c>
      <c r="M22" s="32">
        <v>3673888</v>
      </c>
      <c r="N22" s="33"/>
      <c r="O22" s="33"/>
      <c r="P22" s="20">
        <f>'vsm req'!K22</f>
        <v>48000</v>
      </c>
      <c r="Q22" s="20">
        <f t="shared" si="0"/>
        <v>0</v>
      </c>
      <c r="R22" s="20">
        <v>0</v>
      </c>
      <c r="S22" s="20"/>
      <c r="T22" s="28">
        <f>ROUND((Q22+Table3[[#This Row],[In Transit]])/P22*30,0)</f>
        <v>0</v>
      </c>
      <c r="U22" s="32">
        <v>72000</v>
      </c>
      <c r="V22" s="33"/>
      <c r="W22" s="33"/>
      <c r="X22" s="33"/>
      <c r="Y22" s="34">
        <f>IF((45-Table3[[#This Row],[Coverage post order]])&gt;0,Table3[[#This Row],[Schedule]]*1.5,0)</f>
        <v>0</v>
      </c>
      <c r="Z22" s="35">
        <f>ROUND((Table3[[#This Row],[Stock]]+Table3[[#This Row],[056 Order]]+Table3[[#This Row],[0789 Order]]+Table3[[#This Row],[0788 Order]]+Table3[[#This Row],[In Transit]])/Table3[[#This Row],[Schedule]]*30,0)</f>
        <v>45</v>
      </c>
      <c r="AA22" s="41" t="s">
        <v>94</v>
      </c>
    </row>
    <row r="23" spans="1:27" ht="20.25" customHeight="1" x14ac:dyDescent="0.25">
      <c r="A23" s="35">
        <v>19</v>
      </c>
      <c r="B23" s="35"/>
      <c r="C23" s="20">
        <v>943209</v>
      </c>
      <c r="D23" s="20">
        <v>19.05</v>
      </c>
      <c r="E23" s="20">
        <v>2.2999999999999998</v>
      </c>
      <c r="F23" s="20">
        <v>6</v>
      </c>
      <c r="G23" s="20">
        <v>6.6509999999999998</v>
      </c>
      <c r="H23" s="20" t="s">
        <v>42</v>
      </c>
      <c r="I23" s="20" t="s">
        <v>30</v>
      </c>
      <c r="J23" s="20" t="s">
        <v>31</v>
      </c>
      <c r="K23" s="20"/>
      <c r="L23" s="20">
        <v>0</v>
      </c>
      <c r="M23" s="32">
        <v>3499232</v>
      </c>
      <c r="N23" s="33"/>
      <c r="O23" s="33"/>
      <c r="P23" s="20">
        <f>'vsm req'!K23</f>
        <v>4000</v>
      </c>
      <c r="Q23" s="20">
        <f t="shared" si="0"/>
        <v>0</v>
      </c>
      <c r="R23" s="20"/>
      <c r="S23" s="20"/>
      <c r="T23" s="28">
        <f>ROUND((Q23+Table3[[#This Row],[In Transit]])/P23*30,0)</f>
        <v>0</v>
      </c>
      <c r="U23" s="33">
        <v>6000</v>
      </c>
      <c r="V23" s="33"/>
      <c r="W23" s="33"/>
      <c r="X23" s="33"/>
      <c r="Y23" s="37">
        <f>IF((45-Table3[[#This Row],[Coverage post order]])&gt;0,Table3[[#This Row],[Schedule]]*1.5,0)</f>
        <v>0</v>
      </c>
      <c r="Z23" s="35">
        <f>ROUND((Table3[[#This Row],[Stock]]+Table3[[#This Row],[056 Order]]+Table3[[#This Row],[0789 Order]]+Table3[[#This Row],[0788 Order]]+Table3[[#This Row],[In Transit]])/Table3[[#This Row],[Schedule]]*30,0)</f>
        <v>45</v>
      </c>
      <c r="AA23" s="41" t="s">
        <v>94</v>
      </c>
    </row>
    <row r="24" spans="1:27" ht="20.25" customHeight="1" x14ac:dyDescent="0.25">
      <c r="A24" s="35">
        <v>20</v>
      </c>
      <c r="B24" s="35"/>
      <c r="C24" s="20"/>
      <c r="D24" s="20">
        <v>19.05</v>
      </c>
      <c r="E24" s="20">
        <v>2.2999999999999998</v>
      </c>
      <c r="F24" s="20">
        <v>6.32</v>
      </c>
      <c r="G24" s="20">
        <v>6.6509999999999998</v>
      </c>
      <c r="H24" s="20" t="s">
        <v>42</v>
      </c>
      <c r="I24" s="20" t="s">
        <v>30</v>
      </c>
      <c r="J24" s="20" t="s">
        <v>31</v>
      </c>
      <c r="K24" s="20"/>
      <c r="L24" s="20">
        <v>2870</v>
      </c>
      <c r="M24" s="32"/>
      <c r="N24" s="33"/>
      <c r="O24" s="33"/>
      <c r="P24" s="20">
        <f>'vsm req'!K24</f>
        <v>0</v>
      </c>
      <c r="Q24" s="20">
        <f t="shared" si="0"/>
        <v>17233.008840390001</v>
      </c>
      <c r="R24" s="20"/>
      <c r="S24" s="20"/>
      <c r="T24" s="35" t="e">
        <f>ROUND((Q24+Table3[[#This Row],[In Transit]])/P24*30,0)</f>
        <v>#DIV/0!</v>
      </c>
      <c r="U24" s="32"/>
      <c r="V24" s="33"/>
      <c r="W24" s="33"/>
      <c r="X24" s="33"/>
      <c r="Y24" s="34" t="e">
        <f>IF((45-Table3[[#This Row],[Coverage post order]])&gt;0,Table3[[#This Row],[Schedule]]*1.5,0)</f>
        <v>#DIV/0!</v>
      </c>
      <c r="Z2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24" s="35"/>
    </row>
    <row r="25" spans="1:27" ht="20.25" customHeight="1" x14ac:dyDescent="0.25">
      <c r="A25" s="35"/>
      <c r="B25" s="35"/>
      <c r="C25" s="20">
        <v>943209</v>
      </c>
      <c r="D25" s="20">
        <v>19.05</v>
      </c>
      <c r="E25" s="20">
        <v>2.2999999999999998</v>
      </c>
      <c r="F25" s="20">
        <v>7</v>
      </c>
      <c r="G25" s="20"/>
      <c r="H25" s="20"/>
      <c r="I25" s="20"/>
      <c r="J25" s="20"/>
      <c r="K25" s="20"/>
      <c r="L25" s="20">
        <v>2546</v>
      </c>
      <c r="M25" s="32">
        <v>3500582</v>
      </c>
      <c r="N25" s="33"/>
      <c r="O25" s="33"/>
      <c r="P25" s="20">
        <f>'vsm req'!K25</f>
        <v>30000</v>
      </c>
      <c r="Q25" s="20">
        <f t="shared" si="0"/>
        <v>16932.402171824997</v>
      </c>
      <c r="R25" s="20">
        <v>0</v>
      </c>
      <c r="S25" s="20"/>
      <c r="T25" s="35">
        <f>ROUND((Q25+Table3[[#This Row],[In Transit]])/P25*30,0)</f>
        <v>17</v>
      </c>
      <c r="U25" s="32">
        <v>45000</v>
      </c>
      <c r="V25" s="33"/>
      <c r="W25" s="33"/>
      <c r="X25" s="33"/>
      <c r="Y25" s="34">
        <f>IF((45-Table3[[#This Row],[Coverage post order]])&gt;0,Table3[[#This Row],[Schedule]]*1.5,0)</f>
        <v>0</v>
      </c>
      <c r="Z25" s="33">
        <f>ROUND((Table3[[#This Row],[Stock]]+Table3[[#This Row],[056 Order]]+Table3[[#This Row],[0789 Order]]+Table3[[#This Row],[0788 Order]]+Table3[[#This Row],[In Transit]])/Table3[[#This Row],[Schedule]]*30,0)</f>
        <v>62</v>
      </c>
      <c r="AA25" s="41" t="s">
        <v>94</v>
      </c>
    </row>
    <row r="26" spans="1:27" ht="20.25" customHeight="1" x14ac:dyDescent="0.25">
      <c r="A26" s="35"/>
      <c r="B26" s="35"/>
      <c r="C26" s="20"/>
      <c r="D26" s="20">
        <v>19</v>
      </c>
      <c r="E26" s="20">
        <v>3.25</v>
      </c>
      <c r="F26" s="20">
        <v>6.2</v>
      </c>
      <c r="G26" s="20"/>
      <c r="H26" s="20"/>
      <c r="I26" s="20"/>
      <c r="J26" s="20"/>
      <c r="K26" s="20"/>
      <c r="L26" s="20">
        <v>200</v>
      </c>
      <c r="M26" s="32"/>
      <c r="N26" s="33"/>
      <c r="O26" s="33"/>
      <c r="P26" s="20">
        <f>'vsm req'!K26</f>
        <v>0</v>
      </c>
      <c r="Q26" s="20">
        <f>((D26-E26)*E26*0.0246615*F26*L26)</f>
        <v>1565.3270587499999</v>
      </c>
      <c r="R26" s="20"/>
      <c r="S26" s="20"/>
      <c r="T26" s="35" t="e">
        <f>ROUND((Q26+Table3[[#This Row],[In Transit]])/P26*30,0)</f>
        <v>#DIV/0!</v>
      </c>
      <c r="U26" s="32"/>
      <c r="V26" s="33"/>
      <c r="W26" s="33"/>
      <c r="X26" s="33"/>
      <c r="Y26" s="34" t="e">
        <f>IF((45-Table3[[#This Row],[Coverage post order]])&gt;0,Table3[[#This Row],[Schedule]]*1.5,0)</f>
        <v>#DIV/0!</v>
      </c>
      <c r="Z26" s="33" t="e">
        <f>ROUND((Table3[[#This Row],[Stock]]+Table3[[#This Row],[056 Order]]+Table3[[#This Row],[0789 Order]]+Table3[[#This Row],[0788 Order]])/Table3[[#This Row],[Schedule]]*30,0)</f>
        <v>#DIV/0!</v>
      </c>
      <c r="AA26" s="35"/>
    </row>
    <row r="27" spans="1:27" ht="20.25" customHeight="1" x14ac:dyDescent="0.25">
      <c r="A27" s="28">
        <v>21</v>
      </c>
      <c r="B27" s="28"/>
      <c r="C27" s="28">
        <v>943209</v>
      </c>
      <c r="D27" s="28">
        <v>21.4</v>
      </c>
      <c r="E27" s="28">
        <v>1.6</v>
      </c>
      <c r="F27" s="28">
        <v>6</v>
      </c>
      <c r="G27" s="28">
        <v>4.6879999999999997</v>
      </c>
      <c r="H27" s="28" t="s">
        <v>43</v>
      </c>
      <c r="I27" s="28" t="s">
        <v>30</v>
      </c>
      <c r="J27" s="28" t="s">
        <v>31</v>
      </c>
      <c r="K27" s="28"/>
      <c r="L27" s="28">
        <v>0</v>
      </c>
      <c r="M27" s="29"/>
      <c r="N27" s="28">
        <v>3219710</v>
      </c>
      <c r="O27" s="28"/>
      <c r="P27" s="28">
        <f>'vsm req'!K27</f>
        <v>5000</v>
      </c>
      <c r="Q27" s="28">
        <f t="shared" si="0"/>
        <v>0</v>
      </c>
      <c r="R27" s="28"/>
      <c r="S27" s="28"/>
      <c r="T27" s="28">
        <f>ROUND((Q27+Table3[[#This Row],[In Transit]])/P27*30,0)</f>
        <v>0</v>
      </c>
      <c r="U27" s="29"/>
      <c r="V27" s="28">
        <v>7500</v>
      </c>
      <c r="W27" s="28"/>
      <c r="X27" s="28"/>
      <c r="Y27" s="30">
        <f>IF((45-Table3[[#This Row],[Coverage post order]])&gt;0,Table3[[#This Row],[Schedule]]*1.5,0)</f>
        <v>0</v>
      </c>
      <c r="Z27" s="28">
        <f>ROUND((Table3[[#This Row],[Stock]]+Table3[[#This Row],[056 Order]]+Table3[[#This Row],[0789 Order]]+Table3[[#This Row],[0788 Order]]+Table3[[#This Row],[In Transit]])/Table3[[#This Row],[Schedule]]*30,0)</f>
        <v>45</v>
      </c>
      <c r="AA27" s="61" t="s">
        <v>95</v>
      </c>
    </row>
    <row r="28" spans="1:27" ht="20.25" customHeight="1" x14ac:dyDescent="0.25">
      <c r="A28" s="28">
        <v>22</v>
      </c>
      <c r="B28" s="28"/>
      <c r="C28" s="28">
        <v>943209</v>
      </c>
      <c r="D28" s="28">
        <v>21.4</v>
      </c>
      <c r="E28" s="28">
        <v>2</v>
      </c>
      <c r="F28" s="28">
        <v>5.66</v>
      </c>
      <c r="G28" s="28"/>
      <c r="H28" s="28"/>
      <c r="I28" s="28" t="s">
        <v>30</v>
      </c>
      <c r="J28" s="28" t="s">
        <v>31</v>
      </c>
      <c r="K28" s="28"/>
      <c r="L28" s="28">
        <v>0</v>
      </c>
      <c r="M28" s="29"/>
      <c r="N28" s="28">
        <v>2405717</v>
      </c>
      <c r="O28" s="28"/>
      <c r="P28" s="28">
        <f>'vsm req'!K28</f>
        <v>0</v>
      </c>
      <c r="Q28" s="28">
        <f t="shared" si="0"/>
        <v>0</v>
      </c>
      <c r="R28" s="28"/>
      <c r="S28" s="28"/>
      <c r="T28" s="28" t="e">
        <f>ROUND((Q28+Table3[[#This Row],[In Transit]])/P28*30,0)</f>
        <v>#DIV/0!</v>
      </c>
      <c r="U28" s="29"/>
      <c r="V28" s="28"/>
      <c r="W28" s="28"/>
      <c r="X28" s="28"/>
      <c r="Y28" s="30" t="e">
        <f>IF((45-Table3[[#This Row],[Coverage post order]])&gt;0,Table3[[#This Row],[Schedule]]*1.5,0)</f>
        <v>#DIV/0!</v>
      </c>
      <c r="Z28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28" s="31">
        <v>789</v>
      </c>
    </row>
    <row r="29" spans="1:27" ht="20.25" customHeight="1" x14ac:dyDescent="0.25">
      <c r="A29" s="35">
        <v>23</v>
      </c>
      <c r="B29" s="35"/>
      <c r="C29" s="20"/>
      <c r="D29" s="20">
        <v>22.2</v>
      </c>
      <c r="E29" s="20">
        <v>1.2</v>
      </c>
      <c r="F29" s="20">
        <v>5.3</v>
      </c>
      <c r="G29" s="20"/>
      <c r="H29" s="20"/>
      <c r="I29" s="20"/>
      <c r="J29" s="20"/>
      <c r="K29" s="20"/>
      <c r="L29" s="20">
        <v>1143</v>
      </c>
      <c r="M29" s="32"/>
      <c r="N29" s="33"/>
      <c r="O29" s="33"/>
      <c r="P29" s="20">
        <f>'vsm req'!K29</f>
        <v>9500</v>
      </c>
      <c r="Q29" s="20">
        <f t="shared" si="0"/>
        <v>3764.8019014199995</v>
      </c>
      <c r="R29" s="20">
        <v>0</v>
      </c>
      <c r="S29" s="20"/>
      <c r="T29" s="35">
        <f>ROUND((Q29+Table3[[#This Row],[In Transit]])/P29*30,0)</f>
        <v>12</v>
      </c>
      <c r="U29" s="32"/>
      <c r="V29" s="33"/>
      <c r="W29" s="33"/>
      <c r="X29" s="33"/>
      <c r="Y29" s="34">
        <f>IF((45-Table3[[#This Row],[Coverage post order]])&gt;0,Table3[[#This Row],[Schedule]]*1.5,0)</f>
        <v>14250</v>
      </c>
      <c r="Z29" s="33">
        <f>ROUND((Table3[[#This Row],[Stock]]+Table3[[#This Row],[056 Order]]+Table3[[#This Row],[0789 Order]]+Table3[[#This Row],[0788 Order]]+Table3[[#This Row],[In Transit]])/Table3[[#This Row],[Schedule]]*30,0)</f>
        <v>12</v>
      </c>
      <c r="AA29" s="35" t="s">
        <v>110</v>
      </c>
    </row>
    <row r="30" spans="1:27" ht="20.25" customHeight="1" x14ac:dyDescent="0.25">
      <c r="A30" s="35">
        <v>24</v>
      </c>
      <c r="B30" s="35"/>
      <c r="C30" s="20">
        <v>943209</v>
      </c>
      <c r="D30" s="20">
        <v>22.2</v>
      </c>
      <c r="E30" s="20">
        <v>1.2</v>
      </c>
      <c r="F30" s="20">
        <v>5.87</v>
      </c>
      <c r="G30" s="20">
        <v>3.6480000000000001</v>
      </c>
      <c r="H30" s="20" t="s">
        <v>44</v>
      </c>
      <c r="I30" s="20" t="s">
        <v>30</v>
      </c>
      <c r="J30" s="20" t="s">
        <v>31</v>
      </c>
      <c r="K30" s="20"/>
      <c r="L30" s="20">
        <v>5767</v>
      </c>
      <c r="M30" s="32">
        <v>3882110</v>
      </c>
      <c r="N30" s="33"/>
      <c r="O30" s="33"/>
      <c r="P30" s="20">
        <f>'vsm req'!K30</f>
        <v>10000</v>
      </c>
      <c r="Q30" s="20">
        <f t="shared" si="0"/>
        <v>21038.175895842</v>
      </c>
      <c r="R30" s="20">
        <v>0</v>
      </c>
      <c r="S30" s="20"/>
      <c r="T30" s="35">
        <f>ROUND((Q30+Table3[[#This Row],[In Transit]])/P30*30,0)</f>
        <v>63</v>
      </c>
      <c r="U30" s="33">
        <v>21500</v>
      </c>
      <c r="V30" s="33"/>
      <c r="W30" s="33"/>
      <c r="X30" s="33"/>
      <c r="Y30" s="34">
        <f>IF((45-Table3[[#This Row],[Coverage post order]])&gt;0,Table3[[#This Row],[Schedule]]*1.5,0)</f>
        <v>0</v>
      </c>
      <c r="Z30" s="35">
        <f>ROUND((Table3[[#This Row],[Stock]]+Table3[[#This Row],[056 Order]]+Table3[[#This Row],[0789 Order]]+Table3[[#This Row],[0788 Order]]+Table3[[#This Row],[In Transit]])/Table3[[#This Row],[Schedule]]*30,0)</f>
        <v>128</v>
      </c>
      <c r="AA30" s="35"/>
    </row>
    <row r="31" spans="1:27" ht="20.25" customHeight="1" x14ac:dyDescent="0.25">
      <c r="A31" s="35">
        <v>25</v>
      </c>
      <c r="B31" s="35"/>
      <c r="C31" s="20">
        <v>943209</v>
      </c>
      <c r="D31" s="20">
        <v>22.2</v>
      </c>
      <c r="E31" s="20">
        <v>1.4</v>
      </c>
      <c r="F31" s="20">
        <v>6</v>
      </c>
      <c r="G31" s="20">
        <v>4.3090000000000002</v>
      </c>
      <c r="H31" s="20"/>
      <c r="I31" s="20" t="s">
        <v>39</v>
      </c>
      <c r="J31" s="20" t="s">
        <v>31</v>
      </c>
      <c r="K31" s="20"/>
      <c r="L31" s="20">
        <v>0</v>
      </c>
      <c r="M31" s="32">
        <v>3829175</v>
      </c>
      <c r="N31" s="33"/>
      <c r="O31" s="33"/>
      <c r="P31" s="20">
        <f>'vsm req'!K31</f>
        <v>6000</v>
      </c>
      <c r="Q31" s="20">
        <f t="shared" si="0"/>
        <v>0</v>
      </c>
      <c r="R31" s="20"/>
      <c r="S31" s="20"/>
      <c r="T31" s="35">
        <f>ROUND((Q31+Table3[[#This Row],[In Transit]])/P31*30,0)</f>
        <v>0</v>
      </c>
      <c r="U31" s="33">
        <f>7500+9000</f>
        <v>16500</v>
      </c>
      <c r="V31" s="33"/>
      <c r="W31" s="33"/>
      <c r="X31" s="33"/>
      <c r="Y31" s="34">
        <f>IF((45-Table3[[#This Row],[Coverage post order]])&gt;0,Table3[[#This Row],[Schedule]]*1.5,0)</f>
        <v>0</v>
      </c>
      <c r="Z31" s="35">
        <f>ROUND((Table3[[#This Row],[Stock]]+Table3[[#This Row],[056 Order]]+Table3[[#This Row],[0789 Order]]+Table3[[#This Row],[0788 Order]]+Table3[[#This Row],[In Transit]])/Table3[[#This Row],[Schedule]]*30,0)</f>
        <v>83</v>
      </c>
      <c r="AA31" s="41" t="s">
        <v>94</v>
      </c>
    </row>
    <row r="32" spans="1:27" ht="20.25" customHeight="1" x14ac:dyDescent="0.25">
      <c r="A32" s="28">
        <v>26</v>
      </c>
      <c r="B32" s="28"/>
      <c r="C32" s="28">
        <v>943209</v>
      </c>
      <c r="D32" s="28">
        <v>22.2</v>
      </c>
      <c r="E32" s="28">
        <v>1.6</v>
      </c>
      <c r="F32" s="28">
        <v>5.27</v>
      </c>
      <c r="G32" s="28">
        <v>4.609</v>
      </c>
      <c r="H32" s="28" t="s">
        <v>45</v>
      </c>
      <c r="I32" s="28" t="s">
        <v>30</v>
      </c>
      <c r="J32" s="28" t="s">
        <v>31</v>
      </c>
      <c r="K32" s="28"/>
      <c r="L32" s="28">
        <v>8588</v>
      </c>
      <c r="M32" s="29"/>
      <c r="N32" s="39">
        <v>3575894</v>
      </c>
      <c r="O32" s="28"/>
      <c r="P32" s="28">
        <v>10000</v>
      </c>
      <c r="Q32" s="28">
        <f t="shared" si="0"/>
        <v>36788.268065030396</v>
      </c>
      <c r="R32" s="28">
        <v>0</v>
      </c>
      <c r="S32" s="28"/>
      <c r="T32" s="28">
        <f>ROUND((Q32+Table3[[#This Row],[In Transit]])/P32*30,0)</f>
        <v>110</v>
      </c>
      <c r="U32" s="29"/>
      <c r="V32" s="36">
        <v>15000</v>
      </c>
      <c r="W32" s="28"/>
      <c r="X32" s="28"/>
      <c r="Y32" s="30">
        <f>IF((45-Table3[[#This Row],[Coverage post order]])&gt;0,Table3[[#This Row],[Schedule]]*1.5,0)</f>
        <v>0</v>
      </c>
      <c r="Z32" s="28">
        <f>ROUND((Table3[[#This Row],[Stock]]+Table3[[#This Row],[056 Order]]+Table3[[#This Row],[0789 Order]]+Table3[[#This Row],[0788 Order]]+Table3[[#This Row],[In Transit]])/Table3[[#This Row],[Schedule]]*30,0)</f>
        <v>155</v>
      </c>
      <c r="AA32" s="61" t="s">
        <v>95</v>
      </c>
    </row>
    <row r="33" spans="1:28" ht="20.25" customHeight="1" x14ac:dyDescent="0.25">
      <c r="A33" s="35">
        <v>27</v>
      </c>
      <c r="B33" s="35"/>
      <c r="C33" s="20">
        <v>943209</v>
      </c>
      <c r="D33" s="20">
        <v>22.2</v>
      </c>
      <c r="E33" s="20">
        <v>1.6</v>
      </c>
      <c r="F33" s="20">
        <v>5.2640000000000002</v>
      </c>
      <c r="G33" s="20">
        <v>4.2839999999999998</v>
      </c>
      <c r="H33" s="20" t="s">
        <v>45</v>
      </c>
      <c r="I33" s="20" t="s">
        <v>30</v>
      </c>
      <c r="J33" s="20" t="s">
        <v>31</v>
      </c>
      <c r="K33" s="20"/>
      <c r="L33" s="20">
        <v>793</v>
      </c>
      <c r="M33" s="32">
        <v>3501116</v>
      </c>
      <c r="N33" s="33"/>
      <c r="O33" s="33"/>
      <c r="P33" s="20">
        <f>'vsm req'!K33</f>
        <v>55000</v>
      </c>
      <c r="Q33" s="20">
        <f t="shared" si="0"/>
        <v>3393.0929697100801</v>
      </c>
      <c r="R33" s="20">
        <v>11209</v>
      </c>
      <c r="S33" s="20"/>
      <c r="T33" s="28">
        <f>ROUND((Q33+Table3[[#This Row],[In Transit]])/P33*30,0)</f>
        <v>8</v>
      </c>
      <c r="U33" s="33">
        <f>52000+82500</f>
        <v>134500</v>
      </c>
      <c r="V33" s="32"/>
      <c r="W33" s="33"/>
      <c r="X33" s="33"/>
      <c r="Y33" s="37">
        <f>IF((45-Table3[[#This Row],[Coverage post order]])&gt;0,Table3[[#This Row],[Schedule]]*1.5,0)</f>
        <v>0</v>
      </c>
      <c r="Z33" s="35">
        <f>ROUND((Table3[[#This Row],[Stock]]+Table3[[#This Row],[056 Order]]+Table3[[#This Row],[0789 Order]]+Table3[[#This Row],[0788 Order]]+Table3[[#This Row],[In Transit]])/Table3[[#This Row],[Schedule]]*30,0)</f>
        <v>81</v>
      </c>
      <c r="AA33" s="41" t="s">
        <v>94</v>
      </c>
      <c r="AB33" t="s">
        <v>111</v>
      </c>
    </row>
    <row r="34" spans="1:28" ht="20.25" customHeight="1" x14ac:dyDescent="0.25">
      <c r="A34" s="35">
        <v>28</v>
      </c>
      <c r="B34" s="35"/>
      <c r="C34" s="20">
        <v>943209</v>
      </c>
      <c r="D34" s="20">
        <v>22.2</v>
      </c>
      <c r="E34" s="20">
        <v>1.6</v>
      </c>
      <c r="F34" s="20">
        <v>5.6849999999999996</v>
      </c>
      <c r="G34" s="20">
        <v>4.8769999999999998</v>
      </c>
      <c r="H34" s="20" t="s">
        <v>45</v>
      </c>
      <c r="I34" s="20" t="s">
        <v>30</v>
      </c>
      <c r="J34" s="20" t="s">
        <v>31</v>
      </c>
      <c r="K34" s="20"/>
      <c r="L34" s="20">
        <v>6031</v>
      </c>
      <c r="M34" s="32">
        <v>4173571</v>
      </c>
      <c r="N34" s="33">
        <v>3570690</v>
      </c>
      <c r="O34" s="33"/>
      <c r="P34" s="20">
        <f>'vsm req'!K34</f>
        <v>0</v>
      </c>
      <c r="Q34" s="20">
        <f t="shared" si="0"/>
        <v>27869.327487554394</v>
      </c>
      <c r="R34" s="20">
        <v>20590</v>
      </c>
      <c r="S34" s="20"/>
      <c r="T34" s="35" t="e">
        <f>ROUND((Q34+Table3[[#This Row],[In Transit]])/P34*30,0)</f>
        <v>#DIV/0!</v>
      </c>
      <c r="U34" s="33">
        <v>75000</v>
      </c>
      <c r="V34" s="33"/>
      <c r="W34" s="33"/>
      <c r="X34" s="33"/>
      <c r="Y34" s="34" t="e">
        <f>IF((45-Table3[[#This Row],[Coverage post order]])&gt;0,Table3[[#This Row],[Schedule]]*1.5,0)</f>
        <v>#DIV/0!</v>
      </c>
      <c r="Z3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34" s="35"/>
    </row>
    <row r="35" spans="1:28" ht="20.25" customHeight="1" x14ac:dyDescent="0.25">
      <c r="A35" s="35">
        <v>30</v>
      </c>
      <c r="B35" s="35"/>
      <c r="C35" s="20">
        <v>943209</v>
      </c>
      <c r="D35" s="20">
        <v>22.2</v>
      </c>
      <c r="E35" s="20">
        <v>1.6</v>
      </c>
      <c r="F35" s="20">
        <v>5.67</v>
      </c>
      <c r="G35" s="20">
        <v>4.8769999999999998</v>
      </c>
      <c r="H35" s="20" t="s">
        <v>45</v>
      </c>
      <c r="I35" s="20" t="s">
        <v>30</v>
      </c>
      <c r="J35" s="20" t="s">
        <v>31</v>
      </c>
      <c r="K35" s="20"/>
      <c r="L35" s="20">
        <v>4545</v>
      </c>
      <c r="M35" s="32">
        <v>3954021</v>
      </c>
      <c r="N35" s="33">
        <v>4055022</v>
      </c>
      <c r="O35" s="33"/>
      <c r="P35" s="20">
        <f>'vsm req'!K36</f>
        <v>50000</v>
      </c>
      <c r="Q35" s="20">
        <f t="shared" si="0"/>
        <v>20947.087067256001</v>
      </c>
      <c r="R35" s="20">
        <v>18649</v>
      </c>
      <c r="S35" s="20"/>
      <c r="T35" s="28">
        <f>ROUND((Q35+Table3[[#This Row],[In Transit]])/P35*30,0)</f>
        <v>24</v>
      </c>
      <c r="U35" s="33">
        <v>31000</v>
      </c>
      <c r="V35" s="33">
        <v>75000</v>
      </c>
      <c r="W35" s="33"/>
      <c r="X35" s="33"/>
      <c r="Y35" s="34">
        <f>IF((45-Table3[[#This Row],[Coverage post order]])&gt;0,Table3[[#This Row],[Schedule]]*1.5,0)</f>
        <v>0</v>
      </c>
      <c r="Z35" s="35">
        <f>ROUND((Table3[[#This Row],[Stock]]+Table3[[#This Row],[056 Order]]+Table3[[#This Row],[0789 Order]]+Table3[[#This Row],[0788 Order]]+Table3[[#This Row],[In Transit]])/Table3[[#This Row],[Schedule]]*30,0)</f>
        <v>87</v>
      </c>
      <c r="AA35" s="41" t="s">
        <v>95</v>
      </c>
    </row>
    <row r="36" spans="1:28" ht="20.25" customHeight="1" x14ac:dyDescent="0.25">
      <c r="A36" s="35">
        <v>31</v>
      </c>
      <c r="B36" s="35"/>
      <c r="C36" s="20">
        <v>943209</v>
      </c>
      <c r="D36" s="20">
        <v>22.2</v>
      </c>
      <c r="E36" s="20">
        <v>2</v>
      </c>
      <c r="F36" s="20">
        <v>5.0999999999999996</v>
      </c>
      <c r="G36" s="20">
        <v>5.0810000000000004</v>
      </c>
      <c r="H36" s="20" t="s">
        <v>46</v>
      </c>
      <c r="I36" s="20" t="s">
        <v>30</v>
      </c>
      <c r="J36" s="20" t="s">
        <v>31</v>
      </c>
      <c r="K36" s="20"/>
      <c r="L36" s="20">
        <v>0</v>
      </c>
      <c r="M36" s="32">
        <v>3500554</v>
      </c>
      <c r="N36" s="33"/>
      <c r="O36" s="33"/>
      <c r="P36" s="20">
        <f>'vsm req'!K37</f>
        <v>0</v>
      </c>
      <c r="Q36" s="20">
        <f t="shared" si="0"/>
        <v>0</v>
      </c>
      <c r="R36" s="20">
        <v>0</v>
      </c>
      <c r="S36" s="20"/>
      <c r="T36" s="28" t="e">
        <f>ROUND((Q36+Table3[[#This Row],[In Transit]])/P36*30,0)</f>
        <v>#DIV/0!</v>
      </c>
      <c r="U36" s="32"/>
      <c r="V36" s="33"/>
      <c r="W36" s="33"/>
      <c r="X36" s="33"/>
      <c r="Y36" s="34" t="e">
        <f>IF((45-Table3[[#This Row],[Coverage post order]])&gt;0,Table3[[#This Row],[Schedule]]*1.5,0)</f>
        <v>#DIV/0!</v>
      </c>
      <c r="Z3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36" s="35"/>
    </row>
    <row r="37" spans="1:28" ht="20.25" customHeight="1" x14ac:dyDescent="0.25">
      <c r="A37" s="28">
        <v>32</v>
      </c>
      <c r="B37" s="28"/>
      <c r="C37" s="28">
        <v>943209</v>
      </c>
      <c r="D37" s="28">
        <v>22.2</v>
      </c>
      <c r="E37" s="28">
        <v>2</v>
      </c>
      <c r="F37" s="28">
        <v>5.4</v>
      </c>
      <c r="G37" s="28">
        <v>5.38</v>
      </c>
      <c r="H37" s="28" t="s">
        <v>47</v>
      </c>
      <c r="I37" s="28" t="s">
        <v>30</v>
      </c>
      <c r="J37" s="28" t="s">
        <v>48</v>
      </c>
      <c r="K37" s="28" t="s">
        <v>112</v>
      </c>
      <c r="L37" s="28">
        <v>6354</v>
      </c>
      <c r="M37" s="29"/>
      <c r="N37" s="28">
        <v>2431251</v>
      </c>
      <c r="O37" s="28"/>
      <c r="P37" s="28">
        <v>10000</v>
      </c>
      <c r="Q37" s="28">
        <f t="shared" ref="Q37:Q64" si="1">((D37-E37)*E37*0.0246615*F37*L37)</f>
        <v>34185.49114536</v>
      </c>
      <c r="R37" s="28"/>
      <c r="S37" s="28"/>
      <c r="T37" s="28">
        <f>ROUND((Q37+Table3[[#This Row],[In Transit]])/P37*30,0)</f>
        <v>103</v>
      </c>
      <c r="U37" s="29"/>
      <c r="V37" s="36"/>
      <c r="W37" s="28"/>
      <c r="X37" s="28"/>
      <c r="Y37" s="30">
        <f>IF((45-Table3[[#This Row],[Coverage post order]])&gt;0,Table3[[#This Row],[Schedule]]*1.5,0)</f>
        <v>0</v>
      </c>
      <c r="Z37" s="28">
        <f>ROUND((Table3[[#This Row],[Stock]]+Table3[[#This Row],[056 Order]]+Table3[[#This Row],[0789 Order]]+Table3[[#This Row],[0788 Order]]+Table3[[#This Row],[In Transit]])/Table3[[#This Row],[Schedule]]*30,0)</f>
        <v>103</v>
      </c>
      <c r="AA37" s="31">
        <v>789</v>
      </c>
    </row>
    <row r="38" spans="1:28" ht="20.25" customHeight="1" x14ac:dyDescent="0.25">
      <c r="A38" s="35">
        <v>35</v>
      </c>
      <c r="B38" s="35"/>
      <c r="C38" s="20">
        <v>943209</v>
      </c>
      <c r="D38" s="20">
        <v>22.2</v>
      </c>
      <c r="E38" s="20">
        <v>2</v>
      </c>
      <c r="F38" s="20">
        <v>5.9509999999999996</v>
      </c>
      <c r="G38" s="20">
        <v>5.9279999999999999</v>
      </c>
      <c r="H38" s="20" t="s">
        <v>46</v>
      </c>
      <c r="I38" s="20" t="s">
        <v>30</v>
      </c>
      <c r="J38" s="20" t="s">
        <v>31</v>
      </c>
      <c r="K38" s="20"/>
      <c r="L38" s="20">
        <v>9778</v>
      </c>
      <c r="M38" s="32">
        <v>3905466</v>
      </c>
      <c r="N38" s="33"/>
      <c r="O38" s="33"/>
      <c r="P38" s="20">
        <f>'vsm req'!K41</f>
        <v>159000</v>
      </c>
      <c r="Q38" s="20">
        <f t="shared" si="1"/>
        <v>57975.010597798791</v>
      </c>
      <c r="R38" s="20">
        <v>24941</v>
      </c>
      <c r="S38" s="20"/>
      <c r="T38" s="28">
        <f>ROUND((Q38+Table3[[#This Row],[In Transit]])/P38*30,0)</f>
        <v>16</v>
      </c>
      <c r="U38" s="33">
        <f>145000+238500</f>
        <v>383500</v>
      </c>
      <c r="V38" s="33"/>
      <c r="W38" s="33"/>
      <c r="X38" s="33"/>
      <c r="Y38" s="37">
        <f>IF((45-Table3[[#This Row],[Coverage post order]])&gt;0,Table3[[#This Row],[Schedule]]*1.5,0)</f>
        <v>0</v>
      </c>
      <c r="Z38" s="35">
        <f>ROUND((Table3[[#This Row],[Stock]]+Table3[[#This Row],[056 Order]]+Table3[[#This Row],[0789 Order]]+Table3[[#This Row],[0788 Order]]+Table3[[#This Row],[In Transit]])/Table3[[#This Row],[Schedule]]*30,0)</f>
        <v>88</v>
      </c>
      <c r="AA38" s="41" t="s">
        <v>94</v>
      </c>
    </row>
    <row r="39" spans="1:28" ht="20.25" customHeight="1" x14ac:dyDescent="0.25">
      <c r="A39" s="35">
        <v>36</v>
      </c>
      <c r="B39" s="35"/>
      <c r="C39" s="20">
        <v>943209</v>
      </c>
      <c r="D39" s="20">
        <v>22.2</v>
      </c>
      <c r="E39" s="20">
        <v>2</v>
      </c>
      <c r="F39" s="20">
        <v>6</v>
      </c>
      <c r="G39" s="20">
        <v>5.9779999999999998</v>
      </c>
      <c r="H39" s="20" t="s">
        <v>49</v>
      </c>
      <c r="I39" s="20" t="s">
        <v>39</v>
      </c>
      <c r="J39" s="20" t="s">
        <v>48</v>
      </c>
      <c r="K39" s="20"/>
      <c r="L39" s="20">
        <v>3349</v>
      </c>
      <c r="M39" s="32">
        <v>3502494</v>
      </c>
      <c r="N39" s="32">
        <v>3410966</v>
      </c>
      <c r="O39" s="33"/>
      <c r="P39" s="20">
        <f>'vsm req'!K42</f>
        <v>60000</v>
      </c>
      <c r="Q39" s="20">
        <f t="shared" si="1"/>
        <v>20020.146512399999</v>
      </c>
      <c r="R39" s="20">
        <v>15233</v>
      </c>
      <c r="S39" s="20"/>
      <c r="T39" s="28">
        <f>ROUND((Q39+Table3[[#This Row],[In Transit]])/P39*30,0)</f>
        <v>18</v>
      </c>
      <c r="U39" s="33">
        <v>67500</v>
      </c>
      <c r="V39" s="33"/>
      <c r="W39" s="33"/>
      <c r="X39" s="33"/>
      <c r="Y39" s="37">
        <f>IF((45-Table3[[#This Row],[Coverage post order]])&gt;0,Table3[[#This Row],[Schedule]]*1.5,0)</f>
        <v>0</v>
      </c>
      <c r="Z39" s="35">
        <f>ROUND((Table3[[#This Row],[Stock]]+Table3[[#This Row],[056 Order]]+Table3[[#This Row],[0789 Order]]+Table3[[#This Row],[0788 Order]]+Table3[[#This Row],[In Transit]])/Table3[[#This Row],[Schedule]]*30,0)</f>
        <v>51</v>
      </c>
      <c r="AA39" s="35">
        <v>56</v>
      </c>
      <c r="AB39" t="s">
        <v>111</v>
      </c>
    </row>
    <row r="40" spans="1:28" ht="20.25" customHeight="1" x14ac:dyDescent="0.25">
      <c r="A40" s="35">
        <v>39</v>
      </c>
      <c r="B40" s="35"/>
      <c r="C40" s="20">
        <v>943210</v>
      </c>
      <c r="D40" s="20">
        <v>25.4</v>
      </c>
      <c r="E40" s="20">
        <v>1.4</v>
      </c>
      <c r="F40" s="20">
        <v>5.5309999999999997</v>
      </c>
      <c r="G40" s="20">
        <v>4.5830000000000002</v>
      </c>
      <c r="H40" s="20"/>
      <c r="I40" s="20" t="s">
        <v>39</v>
      </c>
      <c r="J40" s="20" t="s">
        <v>48</v>
      </c>
      <c r="K40" s="20"/>
      <c r="L40" s="20">
        <v>3651</v>
      </c>
      <c r="M40" s="32">
        <v>3501900</v>
      </c>
      <c r="N40" s="33"/>
      <c r="O40" s="33"/>
      <c r="P40" s="20">
        <f>'vsm req'!K45</f>
        <v>0</v>
      </c>
      <c r="Q40" s="20">
        <f t="shared" si="1"/>
        <v>16733.017189778395</v>
      </c>
      <c r="R40" s="20">
        <v>0</v>
      </c>
      <c r="S40" s="20"/>
      <c r="T40" s="35" t="e">
        <f>ROUND((Q40+Table3[[#This Row],[In Transit]])/P40*30,0)</f>
        <v>#DIV/0!</v>
      </c>
      <c r="U40" s="33"/>
      <c r="V40" s="33"/>
      <c r="W40" s="33"/>
      <c r="X40" s="33"/>
      <c r="Y40" s="34" t="e">
        <f>IF((45-Table3[[#This Row],[Coverage post order]])&gt;0,Table3[[#This Row],[Schedule]]*1.5,0)</f>
        <v>#DIV/0!</v>
      </c>
      <c r="Z4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40" s="35" t="s">
        <v>113</v>
      </c>
    </row>
    <row r="41" spans="1:28" ht="20.25" customHeight="1" x14ac:dyDescent="0.25">
      <c r="A41" s="28">
        <v>40</v>
      </c>
      <c r="B41" s="28"/>
      <c r="C41" s="28">
        <v>943210</v>
      </c>
      <c r="D41" s="28">
        <v>25.4</v>
      </c>
      <c r="E41" s="28">
        <v>1.4</v>
      </c>
      <c r="F41" s="28">
        <v>6.06</v>
      </c>
      <c r="G41" s="28"/>
      <c r="H41" s="28"/>
      <c r="I41" s="28" t="s">
        <v>30</v>
      </c>
      <c r="J41" s="28" t="s">
        <v>48</v>
      </c>
      <c r="K41" s="28"/>
      <c r="L41" s="28">
        <v>3180</v>
      </c>
      <c r="M41" s="29">
        <v>3570429</v>
      </c>
      <c r="N41" s="28">
        <v>3557792</v>
      </c>
      <c r="O41" s="28"/>
      <c r="P41" s="28">
        <f>'vsm req'!K46</f>
        <v>23000</v>
      </c>
      <c r="Q41" s="28">
        <f t="shared" si="1"/>
        <v>15968.293629119995</v>
      </c>
      <c r="R41" s="28">
        <v>0</v>
      </c>
      <c r="S41" s="28"/>
      <c r="T41" s="28">
        <f>ROUND((Q41+Table3[[#This Row],[In Transit]])/P41*30,0)</f>
        <v>21</v>
      </c>
      <c r="U41" s="29"/>
      <c r="V41" s="36">
        <v>34500</v>
      </c>
      <c r="W41" s="28"/>
      <c r="X41" s="28"/>
      <c r="Y41" s="30">
        <f>IF((45-Table3[[#This Row],[Coverage post order]])&gt;0,Table3[[#This Row],[Schedule]]*1.5,0)</f>
        <v>0</v>
      </c>
      <c r="Z41" s="28">
        <f>ROUND((Table3[[#This Row],[Stock]]+Table3[[#This Row],[056 Order]]+Table3[[#This Row],[0789 Order]]+Table3[[#This Row],[0788 Order]]+Table3[[#This Row],[In Transit]])/Table3[[#This Row],[Schedule]]*30,0)</f>
        <v>66</v>
      </c>
      <c r="AA41" s="61" t="s">
        <v>95</v>
      </c>
    </row>
    <row r="42" spans="1:28" ht="20.25" customHeight="1" x14ac:dyDescent="0.25">
      <c r="A42" s="35">
        <v>41</v>
      </c>
      <c r="B42" s="35"/>
      <c r="C42" s="20">
        <v>943211</v>
      </c>
      <c r="D42" s="20">
        <v>25.4</v>
      </c>
      <c r="E42" s="20">
        <v>1.6</v>
      </c>
      <c r="F42" s="20">
        <v>5.84</v>
      </c>
      <c r="G42" s="20"/>
      <c r="H42" s="20" t="s">
        <v>51</v>
      </c>
      <c r="I42" s="20" t="s">
        <v>30</v>
      </c>
      <c r="J42" s="20" t="s">
        <v>31</v>
      </c>
      <c r="K42" s="20"/>
      <c r="L42" s="20">
        <v>0</v>
      </c>
      <c r="M42" s="32"/>
      <c r="N42" s="33">
        <v>4149395</v>
      </c>
      <c r="O42" s="33"/>
      <c r="P42" s="20">
        <f>'vsm req'!K47</f>
        <v>31000</v>
      </c>
      <c r="Q42" s="20">
        <f t="shared" si="1"/>
        <v>0</v>
      </c>
      <c r="R42" s="20"/>
      <c r="S42" s="20"/>
      <c r="T42" s="35">
        <f>ROUND((Q42+Table3[[#This Row],[In Transit]])/P42*30,0)</f>
        <v>0</v>
      </c>
      <c r="U42" s="32"/>
      <c r="V42" s="40">
        <v>46500</v>
      </c>
      <c r="W42" s="33"/>
      <c r="X42" s="33"/>
      <c r="Y42" s="34">
        <f>IF((45-Table3[[#This Row],[Coverage post order]])&gt;0,Table3[[#This Row],[Schedule]]*1.5,0)</f>
        <v>0</v>
      </c>
      <c r="Z42" s="35">
        <f>ROUND((Table3[[#This Row],[Stock]]+Table3[[#This Row],[056 Order]]+Table3[[#This Row],[0789 Order]]+Table3[[#This Row],[0788 Order]]+Table3[[#This Row],[In Transit]])/Table3[[#This Row],[Schedule]]*30,0)</f>
        <v>45</v>
      </c>
      <c r="AA42" s="41" t="s">
        <v>95</v>
      </c>
    </row>
    <row r="43" spans="1:28" ht="20.25" customHeight="1" x14ac:dyDescent="0.25">
      <c r="A43" s="35">
        <v>42</v>
      </c>
      <c r="B43" s="35"/>
      <c r="C43" s="20"/>
      <c r="D43" s="20">
        <v>25.4</v>
      </c>
      <c r="E43" s="20">
        <v>1.6</v>
      </c>
      <c r="F43" s="20">
        <v>5.27</v>
      </c>
      <c r="G43" s="20"/>
      <c r="H43" s="20"/>
      <c r="I43" s="20"/>
      <c r="J43" s="20"/>
      <c r="K43" s="20"/>
      <c r="L43" s="20">
        <v>506</v>
      </c>
      <c r="M43" s="32"/>
      <c r="N43" s="33"/>
      <c r="O43" s="33"/>
      <c r="P43" s="20">
        <f>'vsm req'!K48</f>
        <v>0</v>
      </c>
      <c r="Q43" s="20">
        <f t="shared" si="1"/>
        <v>2504.2492948703994</v>
      </c>
      <c r="R43" s="20"/>
      <c r="S43" s="20"/>
      <c r="T43" s="35" t="e">
        <f>ROUND((Q43+Table3[[#This Row],[In Transit]])/P43*30,0)</f>
        <v>#DIV/0!</v>
      </c>
      <c r="U43" s="32"/>
      <c r="V43" s="40"/>
      <c r="W43" s="33"/>
      <c r="X43" s="33"/>
      <c r="Y43" s="34" t="e">
        <f>IF((45-Table3[[#This Row],[Coverage post order]])&gt;0,Table3[[#This Row],[Schedule]]*1.5,0)</f>
        <v>#DIV/0!</v>
      </c>
      <c r="Z43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A43" s="35"/>
    </row>
    <row r="44" spans="1:28" ht="20.25" customHeight="1" x14ac:dyDescent="0.25">
      <c r="A44" s="35">
        <v>43</v>
      </c>
      <c r="B44" s="35"/>
      <c r="C44" s="20">
        <v>943209</v>
      </c>
      <c r="D44" s="20">
        <v>25.4</v>
      </c>
      <c r="E44" s="20">
        <v>1.6</v>
      </c>
      <c r="F44" s="20">
        <v>6</v>
      </c>
      <c r="G44" s="20">
        <v>5.6349999999999998</v>
      </c>
      <c r="H44" s="20" t="s">
        <v>51</v>
      </c>
      <c r="I44" s="20" t="s">
        <v>30</v>
      </c>
      <c r="J44" s="20" t="s">
        <v>31</v>
      </c>
      <c r="K44" s="20"/>
      <c r="L44" s="20">
        <v>7289</v>
      </c>
      <c r="M44" s="32">
        <v>3500097</v>
      </c>
      <c r="N44" s="33"/>
      <c r="O44" s="33"/>
      <c r="P44" s="20">
        <f>'vsm req'!K49</f>
        <v>10000</v>
      </c>
      <c r="Q44" s="20">
        <f t="shared" si="1"/>
        <v>41071.033241279998</v>
      </c>
      <c r="R44" s="20">
        <v>0</v>
      </c>
      <c r="S44" s="20"/>
      <c r="T44" s="35">
        <f>ROUND((Q44+Table3[[#This Row],[In Transit]])/P44*30,0)</f>
        <v>123</v>
      </c>
      <c r="U44" s="32"/>
      <c r="V44" s="33"/>
      <c r="W44" s="33"/>
      <c r="X44" s="33"/>
      <c r="Y44" s="34">
        <f>IF((45-Table3[[#This Row],[Coverage post order]])&gt;0,Table3[[#This Row],[Schedule]]*1.5,0)</f>
        <v>0</v>
      </c>
      <c r="Z44" s="35">
        <f>ROUND((Table3[[#This Row],[Stock]]+Table3[[#This Row],[056 Order]]+Table3[[#This Row],[0789 Order]]+Table3[[#This Row],[0788 Order]]+Table3[[#This Row],[In Transit]])/Table3[[#This Row],[Schedule]]*30,0)</f>
        <v>123</v>
      </c>
      <c r="AA44" s="35"/>
    </row>
    <row r="45" spans="1:28" ht="20.25" customHeight="1" x14ac:dyDescent="0.25">
      <c r="A45" s="35">
        <v>44</v>
      </c>
      <c r="B45" s="35"/>
      <c r="C45" s="20">
        <v>943209</v>
      </c>
      <c r="D45" s="20">
        <v>25.4</v>
      </c>
      <c r="E45" s="20">
        <v>2</v>
      </c>
      <c r="F45" s="20">
        <v>5.84</v>
      </c>
      <c r="G45" s="20">
        <v>6.74</v>
      </c>
      <c r="H45" s="20" t="s">
        <v>52</v>
      </c>
      <c r="I45" s="20" t="s">
        <v>30</v>
      </c>
      <c r="J45" s="20" t="s">
        <v>31</v>
      </c>
      <c r="K45" s="20"/>
      <c r="L45" s="20">
        <v>4080</v>
      </c>
      <c r="M45" s="32">
        <v>3673890</v>
      </c>
      <c r="N45" s="33"/>
      <c r="O45" s="33"/>
      <c r="P45" s="20">
        <f>'vsm req'!K50</f>
        <v>32000</v>
      </c>
      <c r="Q45" s="20">
        <f t="shared" si="1"/>
        <v>27500.358263039998</v>
      </c>
      <c r="R45" s="20">
        <v>0</v>
      </c>
      <c r="S45" s="20"/>
      <c r="T45" s="35">
        <f>ROUND((Q45+Table3[[#This Row],[In Transit]])/P45*30,0)</f>
        <v>26</v>
      </c>
      <c r="U45" s="32">
        <v>48000</v>
      </c>
      <c r="V45" s="33"/>
      <c r="W45" s="33"/>
      <c r="X45" s="33"/>
      <c r="Y45" s="34">
        <f>IF((45-Table3[[#This Row],[Coverage post order]])&gt;0,Table3[[#This Row],[Schedule]]*1.5,0)</f>
        <v>0</v>
      </c>
      <c r="Z45" s="35">
        <f>ROUND((Table3[[#This Row],[Stock]]+Table3[[#This Row],[056 Order]]+Table3[[#This Row],[0789 Order]]+Table3[[#This Row],[0788 Order]]+Table3[[#This Row],[In Transit]])/Table3[[#This Row],[Schedule]]*30,0)</f>
        <v>71</v>
      </c>
      <c r="AA45" s="41" t="s">
        <v>94</v>
      </c>
    </row>
    <row r="46" spans="1:28" ht="20.25" customHeight="1" x14ac:dyDescent="0.25">
      <c r="A46" s="35">
        <v>45</v>
      </c>
      <c r="B46" s="35"/>
      <c r="C46" s="20">
        <v>943209</v>
      </c>
      <c r="D46" s="20">
        <v>25.4</v>
      </c>
      <c r="E46" s="20">
        <v>2</v>
      </c>
      <c r="F46" s="20">
        <v>6</v>
      </c>
      <c r="G46" s="20"/>
      <c r="H46" s="20"/>
      <c r="I46" s="20" t="s">
        <v>30</v>
      </c>
      <c r="J46" s="20" t="s">
        <v>31</v>
      </c>
      <c r="K46" s="20"/>
      <c r="L46" s="20">
        <v>3483</v>
      </c>
      <c r="M46" s="32">
        <v>3500096</v>
      </c>
      <c r="N46" s="33"/>
      <c r="O46" s="33"/>
      <c r="P46" s="20">
        <f>'vsm req'!K51</f>
        <v>0</v>
      </c>
      <c r="Q46" s="20">
        <f t="shared" si="1"/>
        <v>24119.598063599999</v>
      </c>
      <c r="R46" s="20">
        <v>0</v>
      </c>
      <c r="S46" s="20"/>
      <c r="T46" s="35" t="e">
        <f>ROUND((Q46+Table3[[#This Row],[In Transit]])/P46*30,0)</f>
        <v>#DIV/0!</v>
      </c>
      <c r="U46" s="32"/>
      <c r="V46" s="33"/>
      <c r="W46" s="33"/>
      <c r="X46" s="33"/>
      <c r="Y46" s="34" t="e">
        <f>IF((45-Table3[[#This Row],[Coverage post order]])&gt;0,Table3[[#This Row],[Schedule]]*1.5,0)</f>
        <v>#DIV/0!</v>
      </c>
      <c r="Z46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A46" s="35"/>
    </row>
    <row r="47" spans="1:28" ht="20.25" customHeight="1" x14ac:dyDescent="0.25">
      <c r="A47" s="35">
        <v>47</v>
      </c>
      <c r="B47" s="35"/>
      <c r="C47" s="20">
        <v>943209</v>
      </c>
      <c r="D47" s="20">
        <v>25.4</v>
      </c>
      <c r="E47" s="20">
        <v>2.5</v>
      </c>
      <c r="F47" s="20">
        <v>5.53</v>
      </c>
      <c r="G47" s="20">
        <v>7.8079999999999998</v>
      </c>
      <c r="H47" s="20" t="s">
        <v>53</v>
      </c>
      <c r="I47" s="20" t="s">
        <v>30</v>
      </c>
      <c r="J47" s="20" t="s">
        <v>48</v>
      </c>
      <c r="K47" s="20"/>
      <c r="L47" s="20">
        <v>5657</v>
      </c>
      <c r="M47" s="32">
        <v>3502256</v>
      </c>
      <c r="N47" s="33">
        <v>3502256</v>
      </c>
      <c r="O47" s="33"/>
      <c r="P47" s="20">
        <f>'vsm req'!K53</f>
        <v>56000</v>
      </c>
      <c r="Q47" s="20">
        <f t="shared" si="1"/>
        <v>44167.853075508749</v>
      </c>
      <c r="R47" s="20">
        <v>0</v>
      </c>
      <c r="S47" s="20"/>
      <c r="T47" s="28">
        <f>ROUND((Q47+Table3[[#This Row],[In Transit]])/P47*30,0)</f>
        <v>24</v>
      </c>
      <c r="U47" s="33">
        <v>51500</v>
      </c>
      <c r="V47" s="33"/>
      <c r="W47" s="33"/>
      <c r="X47" s="33"/>
      <c r="Y47" s="37">
        <f>IF((45-Table3[[#This Row],[Coverage post order]])&gt;0,Table3[[#This Row],[Schedule]]*1.5,0)</f>
        <v>0</v>
      </c>
      <c r="Z47" s="35">
        <f>ROUND((Table3[[#This Row],[Stock]]+Table3[[#This Row],[056 Order]]+Table3[[#This Row],[0789 Order]]+Table3[[#This Row],[0788 Order]]+Table3[[#This Row],[In Transit]])/Table3[[#This Row],[Schedule]]*30,0)</f>
        <v>51</v>
      </c>
      <c r="AA47" s="41">
        <v>56</v>
      </c>
    </row>
    <row r="48" spans="1:28" ht="20.25" customHeight="1" x14ac:dyDescent="0.25">
      <c r="A48" s="35">
        <v>48</v>
      </c>
      <c r="B48" s="35"/>
      <c r="C48" s="20">
        <v>943209</v>
      </c>
      <c r="D48" s="20">
        <v>25.4</v>
      </c>
      <c r="E48" s="20">
        <v>2.5</v>
      </c>
      <c r="F48" s="20">
        <v>5.95</v>
      </c>
      <c r="G48" s="42">
        <v>8.33</v>
      </c>
      <c r="H48" s="20" t="s">
        <v>54</v>
      </c>
      <c r="I48" s="20" t="s">
        <v>30</v>
      </c>
      <c r="J48" s="20" t="s">
        <v>48</v>
      </c>
      <c r="K48" s="20"/>
      <c r="L48" s="20">
        <v>0</v>
      </c>
      <c r="M48" s="32">
        <v>3682066</v>
      </c>
      <c r="N48" s="33"/>
      <c r="O48" s="33"/>
      <c r="P48" s="20">
        <v>10000</v>
      </c>
      <c r="Q48" s="20">
        <f t="shared" si="1"/>
        <v>0</v>
      </c>
      <c r="R48" s="20"/>
      <c r="S48" s="20"/>
      <c r="T48" s="35">
        <f>ROUND((Q48+Table3[[#This Row],[In Transit]])/P48*30,0)</f>
        <v>0</v>
      </c>
      <c r="U48" s="32">
        <v>15000</v>
      </c>
      <c r="V48" s="33"/>
      <c r="W48" s="33"/>
      <c r="X48" s="33"/>
      <c r="Y48" s="34">
        <f>IF((45-Table3[[#This Row],[Coverage post order]])&gt;0,Table3[[#This Row],[Schedule]]*1.5,0)</f>
        <v>0</v>
      </c>
      <c r="Z48" s="35">
        <f>ROUND((Table3[[#This Row],[Stock]]+Table3[[#This Row],[056 Order]]+Table3[[#This Row],[0789 Order]]+Table3[[#This Row],[0788 Order]]+Table3[[#This Row],[In Transit]])/Table3[[#This Row],[Schedule]]*30,0)</f>
        <v>45</v>
      </c>
      <c r="AA48" s="41" t="s">
        <v>94</v>
      </c>
    </row>
    <row r="49" spans="1:27" ht="20.25" customHeight="1" x14ac:dyDescent="0.25">
      <c r="A49" s="35">
        <v>49</v>
      </c>
      <c r="B49" s="35"/>
      <c r="C49" s="20"/>
      <c r="D49" s="20">
        <v>25.4</v>
      </c>
      <c r="E49" s="20">
        <v>2.6</v>
      </c>
      <c r="F49" s="20">
        <v>3.5</v>
      </c>
      <c r="G49" s="20">
        <v>5.117</v>
      </c>
      <c r="H49" s="20" t="s">
        <v>55</v>
      </c>
      <c r="I49" s="20" t="s">
        <v>56</v>
      </c>
      <c r="J49" s="20" t="s">
        <v>48</v>
      </c>
      <c r="K49" s="20"/>
      <c r="L49" s="20">
        <v>680</v>
      </c>
      <c r="M49" s="43" t="s">
        <v>114</v>
      </c>
      <c r="N49" s="43"/>
      <c r="O49" s="33"/>
      <c r="P49" s="20">
        <f>'vsm req'!K55</f>
        <v>0</v>
      </c>
      <c r="Q49" s="20">
        <f t="shared" si="1"/>
        <v>3479.4022535999998</v>
      </c>
      <c r="R49" s="20"/>
      <c r="S49" s="20"/>
      <c r="T49" s="35" t="e">
        <f>ROUND((Q49+Table3[[#This Row],[In Transit]])/P49*30,0)</f>
        <v>#DIV/0!</v>
      </c>
      <c r="U49" s="32"/>
      <c r="V49" s="33"/>
      <c r="W49" s="33"/>
      <c r="X49" s="33"/>
      <c r="Y49" s="34" t="e">
        <f>IF((45-Table3[[#This Row],[Coverage post order]])&gt;0,Table3[[#This Row],[Schedule]]*1.5,0)</f>
        <v>#DIV/0!</v>
      </c>
      <c r="Z4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49" s="35"/>
    </row>
    <row r="50" spans="1:27" ht="20.25" customHeight="1" x14ac:dyDescent="0.25">
      <c r="A50" s="35">
        <v>50</v>
      </c>
      <c r="B50" s="35"/>
      <c r="C50" s="20"/>
      <c r="D50" s="20">
        <v>25.4</v>
      </c>
      <c r="E50" s="20">
        <v>2.6</v>
      </c>
      <c r="F50" s="20">
        <v>6</v>
      </c>
      <c r="G50" s="20">
        <v>8.7720000000000002</v>
      </c>
      <c r="H50" s="20" t="s">
        <v>55</v>
      </c>
      <c r="I50" s="20" t="s">
        <v>56</v>
      </c>
      <c r="J50" s="20" t="s">
        <v>48</v>
      </c>
      <c r="K50" s="20"/>
      <c r="L50" s="20">
        <v>0</v>
      </c>
      <c r="M50" s="32"/>
      <c r="N50" s="33"/>
      <c r="O50" s="33"/>
      <c r="P50" s="20">
        <f>'vsm req'!K56</f>
        <v>0</v>
      </c>
      <c r="Q50" s="20">
        <f t="shared" si="1"/>
        <v>0</v>
      </c>
      <c r="R50" s="20"/>
      <c r="S50" s="20"/>
      <c r="T50" s="35" t="e">
        <f>ROUND((Q50+Table3[[#This Row],[In Transit]])/P50*30,0)</f>
        <v>#DIV/0!</v>
      </c>
      <c r="U50" s="32"/>
      <c r="V50" s="33"/>
      <c r="W50" s="33"/>
      <c r="X50" s="33"/>
      <c r="Y50" s="34" t="e">
        <f>IF((45-Table3[[#This Row],[Coverage post order]])&gt;0,Table3[[#This Row],[Schedule]]*1.5,0)</f>
        <v>#DIV/0!</v>
      </c>
      <c r="Z5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50" s="35"/>
    </row>
    <row r="51" spans="1:27" ht="20.25" customHeight="1" x14ac:dyDescent="0.25">
      <c r="A51" s="35">
        <v>51</v>
      </c>
      <c r="B51" s="35"/>
      <c r="C51" s="20"/>
      <c r="D51" s="20">
        <v>25.4</v>
      </c>
      <c r="E51" s="20">
        <v>4</v>
      </c>
      <c r="F51" s="20">
        <v>4.4000000000000004</v>
      </c>
      <c r="G51" s="20">
        <v>9.2889999999999997</v>
      </c>
      <c r="H51" s="20"/>
      <c r="I51" s="20" t="s">
        <v>56</v>
      </c>
      <c r="J51" s="20" t="s">
        <v>48</v>
      </c>
      <c r="K51" s="20"/>
      <c r="L51" s="20">
        <v>0</v>
      </c>
      <c r="M51" s="43" t="s">
        <v>115</v>
      </c>
      <c r="N51" s="43"/>
      <c r="O51" s="33"/>
      <c r="P51" s="20">
        <f>'vsm req'!K57</f>
        <v>0</v>
      </c>
      <c r="Q51" s="20">
        <f t="shared" si="1"/>
        <v>0</v>
      </c>
      <c r="R51" s="20"/>
      <c r="S51" s="20"/>
      <c r="T51" s="35" t="e">
        <f>ROUND((Q51+Table3[[#This Row],[In Transit]])/P51*30,0)</f>
        <v>#DIV/0!</v>
      </c>
      <c r="U51" s="32"/>
      <c r="V51" s="33"/>
      <c r="W51" s="33"/>
      <c r="X51" s="33"/>
      <c r="Y51" s="34" t="e">
        <f>IF((45-Table3[[#This Row],[Coverage post order]])&gt;0,Table3[[#This Row],[Schedule]]*1.5,0)</f>
        <v>#DIV/0!</v>
      </c>
      <c r="Z5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51" s="35"/>
    </row>
    <row r="52" spans="1:27" ht="20.25" customHeight="1" x14ac:dyDescent="0.25">
      <c r="A52" s="28">
        <v>52</v>
      </c>
      <c r="B52" s="28"/>
      <c r="C52" s="28">
        <v>943209</v>
      </c>
      <c r="D52" s="28">
        <v>28.58</v>
      </c>
      <c r="E52" s="28">
        <v>1.2</v>
      </c>
      <c r="F52" s="28">
        <v>6</v>
      </c>
      <c r="G52" s="28">
        <v>4.8620000000000001</v>
      </c>
      <c r="H52" s="28" t="s">
        <v>57</v>
      </c>
      <c r="I52" s="28" t="s">
        <v>30</v>
      </c>
      <c r="J52" s="28" t="s">
        <v>48</v>
      </c>
      <c r="K52" s="28"/>
      <c r="L52" s="28">
        <v>0</v>
      </c>
      <c r="M52" s="29"/>
      <c r="N52" s="28">
        <v>3702101</v>
      </c>
      <c r="O52" s="28"/>
      <c r="P52" s="28">
        <f>'vsm req'!K58</f>
        <v>0</v>
      </c>
      <c r="Q52" s="28">
        <f t="shared" si="1"/>
        <v>0</v>
      </c>
      <c r="R52" s="28"/>
      <c r="S52" s="28"/>
      <c r="T52" s="28" t="e">
        <f>ROUND((Q52+Table3[[#This Row],[In Transit]])/P52*30,0)</f>
        <v>#DIV/0!</v>
      </c>
      <c r="U52" s="29"/>
      <c r="V52" s="28"/>
      <c r="W52" s="28"/>
      <c r="X52" s="28"/>
      <c r="Y52" s="30" t="e">
        <f>IF((45-Table3[[#This Row],[Coverage post order]])&gt;0,Table3[[#This Row],[Schedule]]*1.5,0)</f>
        <v>#DIV/0!</v>
      </c>
      <c r="Z52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52" s="44" t="s">
        <v>116</v>
      </c>
    </row>
    <row r="53" spans="1:27" ht="20.25" customHeight="1" x14ac:dyDescent="0.25">
      <c r="A53" s="35">
        <v>53</v>
      </c>
      <c r="B53" s="35"/>
      <c r="C53" s="20"/>
      <c r="D53" s="20">
        <v>28.58</v>
      </c>
      <c r="E53" s="20">
        <v>2.6</v>
      </c>
      <c r="F53" s="20">
        <v>4.5</v>
      </c>
      <c r="G53" s="20">
        <v>7.4960000000000004</v>
      </c>
      <c r="H53" s="20" t="s">
        <v>58</v>
      </c>
      <c r="I53" s="20" t="s">
        <v>56</v>
      </c>
      <c r="J53" s="20" t="s">
        <v>48</v>
      </c>
      <c r="K53" s="20"/>
      <c r="L53" s="20">
        <v>0</v>
      </c>
      <c r="M53" s="32"/>
      <c r="N53" s="33"/>
      <c r="O53" s="33"/>
      <c r="P53" s="20">
        <f>'vsm req'!K59</f>
        <v>8000</v>
      </c>
      <c r="Q53" s="20">
        <f t="shared" si="1"/>
        <v>0</v>
      </c>
      <c r="R53" s="20"/>
      <c r="S53" s="20"/>
      <c r="T53" s="35">
        <f>ROUND((Q53+Table3[[#This Row],[In Transit]])/P53*30,0)</f>
        <v>0</v>
      </c>
      <c r="U53" s="32"/>
      <c r="V53" s="33"/>
      <c r="W53" s="33"/>
      <c r="X53" s="33"/>
      <c r="Y53" s="34">
        <f>IF((45-Table3[[#This Row],[Coverage post order]])&gt;0,Table3[[#This Row],[Schedule]]*1.5,0)</f>
        <v>12000</v>
      </c>
      <c r="Z53" s="35">
        <f>ROUND((Table3[[#This Row],[Stock]]+Table3[[#This Row],[056 Order]]+Table3[[#This Row],[0789 Order]]+Table3[[#This Row],[0788 Order]]+Table3[[#This Row],[In Transit]])/Table3[[#This Row],[Schedule]]*30,0)</f>
        <v>0</v>
      </c>
      <c r="AA53" s="41" t="s">
        <v>96</v>
      </c>
    </row>
    <row r="54" spans="1:27" ht="20.25" customHeight="1" x14ac:dyDescent="0.25">
      <c r="A54" s="35">
        <v>54</v>
      </c>
      <c r="B54" s="35"/>
      <c r="C54" s="20"/>
      <c r="D54" s="20">
        <v>28.58</v>
      </c>
      <c r="E54" s="20">
        <v>2.6</v>
      </c>
      <c r="F54" s="20">
        <v>6.07</v>
      </c>
      <c r="G54" s="20">
        <v>10.112</v>
      </c>
      <c r="H54" s="20" t="s">
        <v>58</v>
      </c>
      <c r="I54" s="20" t="s">
        <v>56</v>
      </c>
      <c r="J54" s="20" t="s">
        <v>48</v>
      </c>
      <c r="K54" s="20"/>
      <c r="L54" s="20">
        <v>0</v>
      </c>
      <c r="M54" s="32"/>
      <c r="N54" s="33"/>
      <c r="O54" s="33"/>
      <c r="P54" s="20">
        <f>'vsm req'!K60</f>
        <v>0</v>
      </c>
      <c r="Q54" s="20">
        <f t="shared" si="1"/>
        <v>0</v>
      </c>
      <c r="R54" s="20"/>
      <c r="S54" s="20"/>
      <c r="T54" s="35" t="e">
        <f>ROUND((Q54+Table3[[#This Row],[In Transit]])/P54*30,0)</f>
        <v>#DIV/0!</v>
      </c>
      <c r="U54" s="32"/>
      <c r="V54" s="33"/>
      <c r="W54" s="33"/>
      <c r="X54" s="33"/>
      <c r="Y54" s="34" t="e">
        <f>IF((45-Table3[[#This Row],[Coverage post order]])&gt;0,Table3[[#This Row],[Schedule]]*1.5,0)</f>
        <v>#DIV/0!</v>
      </c>
      <c r="Z5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54" s="38" t="s">
        <v>117</v>
      </c>
    </row>
    <row r="55" spans="1:27" ht="20.25" customHeight="1" x14ac:dyDescent="0.25">
      <c r="A55" s="35">
        <v>55</v>
      </c>
      <c r="B55" s="35"/>
      <c r="C55" s="20">
        <v>943210</v>
      </c>
      <c r="D55" s="20">
        <v>28.58</v>
      </c>
      <c r="E55" s="20">
        <v>3.2</v>
      </c>
      <c r="F55" s="20">
        <v>6.06</v>
      </c>
      <c r="G55" s="20">
        <v>12.016999999999999</v>
      </c>
      <c r="H55" s="20"/>
      <c r="I55" s="20" t="s">
        <v>30</v>
      </c>
      <c r="J55" s="20" t="s">
        <v>48</v>
      </c>
      <c r="K55" s="20"/>
      <c r="L55" s="20">
        <v>1282</v>
      </c>
      <c r="M55" s="32"/>
      <c r="N55" s="33">
        <v>1940627</v>
      </c>
      <c r="O55" s="33">
        <v>1931046</v>
      </c>
      <c r="P55" s="20">
        <v>18000</v>
      </c>
      <c r="Q55" s="20">
        <f t="shared" si="1"/>
        <v>15560.435002625281</v>
      </c>
      <c r="R55" s="20"/>
      <c r="S55" s="20"/>
      <c r="T55" s="35">
        <f>ROUND((Q55+Table3[[#This Row],[In Transit]])/P55*30,0)</f>
        <v>26</v>
      </c>
      <c r="U55" s="32"/>
      <c r="V55" s="40"/>
      <c r="W55" s="33"/>
      <c r="X55" s="33"/>
      <c r="Y55" s="37">
        <f>IF((45-Table3[[#This Row],[Coverage post order]])&gt;0,Table3[[#This Row],[Schedule]]*1.5,0)</f>
        <v>27000</v>
      </c>
      <c r="Z55" s="35">
        <f>ROUND((Table3[[#This Row],[Stock]]+Table3[[#This Row],[056 Order]]+Table3[[#This Row],[0789 Order]]+Table3[[#This Row],[0788 Order]]+Table3[[#This Row],[In Transit]])/Table3[[#This Row],[Schedule]]*30,0)</f>
        <v>26</v>
      </c>
      <c r="AA55" s="35" t="s">
        <v>110</v>
      </c>
    </row>
    <row r="56" spans="1:27" ht="20.25" customHeight="1" x14ac:dyDescent="0.25">
      <c r="A56" s="35"/>
      <c r="B56" s="35"/>
      <c r="C56" s="20"/>
      <c r="D56" s="20">
        <v>29.4</v>
      </c>
      <c r="E56" s="20">
        <v>4.5</v>
      </c>
      <c r="F56" s="20">
        <v>4.4400000000000004</v>
      </c>
      <c r="G56" s="20"/>
      <c r="H56" s="20"/>
      <c r="I56" s="20"/>
      <c r="J56" s="20"/>
      <c r="K56" s="20"/>
      <c r="L56" s="20">
        <v>0</v>
      </c>
      <c r="M56" s="32"/>
      <c r="N56" s="33"/>
      <c r="O56" s="33"/>
      <c r="P56" s="20">
        <f>'vsm req'!K62</f>
        <v>25000</v>
      </c>
      <c r="Q56" s="20">
        <f>((D56-E56)*E56*0.0246615*F56*L56)</f>
        <v>0</v>
      </c>
      <c r="R56" s="20"/>
      <c r="S56" s="20"/>
      <c r="T56" s="35">
        <f>ROUND((Q56+Table3[[#This Row],[In Transit]])/P56*30,0)</f>
        <v>0</v>
      </c>
      <c r="U56" s="32"/>
      <c r="V56" s="40"/>
      <c r="W56" s="33"/>
      <c r="X56" s="33"/>
      <c r="Y56" s="34">
        <f>IF((45-Table3[[#This Row],[Coverage post order]])&gt;0,Table3[[#This Row],[Schedule]]*1.5,0)</f>
        <v>37500</v>
      </c>
      <c r="Z56" s="33">
        <f>ROUND((Table3[[#This Row],[Stock]]+Table3[[#This Row],[056 Order]]+Table3[[#This Row],[0789 Order]]+Table3[[#This Row],[0788 Order]])/Table3[[#This Row],[Schedule]]*30,0)</f>
        <v>0</v>
      </c>
      <c r="AA56" s="35" t="s">
        <v>110</v>
      </c>
    </row>
    <row r="57" spans="1:27" ht="20.25" customHeight="1" x14ac:dyDescent="0.25">
      <c r="A57" s="35">
        <v>56</v>
      </c>
      <c r="B57" s="35"/>
      <c r="C57" s="20"/>
      <c r="D57" s="20">
        <v>30</v>
      </c>
      <c r="E57" s="20">
        <v>3</v>
      </c>
      <c r="F57" s="20">
        <v>3.5</v>
      </c>
      <c r="G57" s="20">
        <v>6.992</v>
      </c>
      <c r="H57" s="20"/>
      <c r="I57" s="20" t="s">
        <v>56</v>
      </c>
      <c r="J57" s="20" t="s">
        <v>48</v>
      </c>
      <c r="K57" s="20"/>
      <c r="L57" s="20">
        <v>370</v>
      </c>
      <c r="M57" s="32"/>
      <c r="N57" s="33"/>
      <c r="O57" s="33"/>
      <c r="P57" s="20">
        <f>'vsm req'!K63</f>
        <v>0</v>
      </c>
      <c r="Q57" s="20">
        <f t="shared" si="1"/>
        <v>2586.8680425000002</v>
      </c>
      <c r="R57" s="20"/>
      <c r="S57" s="20"/>
      <c r="T57" s="35" t="e">
        <f>ROUND((Q57+Table3[[#This Row],[In Transit]])/P57*30,0)</f>
        <v>#DIV/0!</v>
      </c>
      <c r="U57" s="32"/>
      <c r="V57" s="33"/>
      <c r="W57" s="33"/>
      <c r="X57" s="33"/>
      <c r="Y57" s="34" t="e">
        <f>IF((45-Table3[[#This Row],[Coverage post order]])&gt;0,Table3[[#This Row],[Schedule]]*1.5,0)</f>
        <v>#DIV/0!</v>
      </c>
      <c r="Z5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57" s="35"/>
    </row>
    <row r="58" spans="1:27" ht="20.25" customHeight="1" x14ac:dyDescent="0.25">
      <c r="A58" s="35">
        <v>57</v>
      </c>
      <c r="B58" s="35"/>
      <c r="C58" s="20"/>
      <c r="D58" s="20">
        <v>31.75</v>
      </c>
      <c r="E58" s="20">
        <v>1.2</v>
      </c>
      <c r="F58" s="20">
        <v>5.0999999999999996</v>
      </c>
      <c r="G58" s="20"/>
      <c r="H58" s="20" t="s">
        <v>59</v>
      </c>
      <c r="I58" s="20" t="s">
        <v>30</v>
      </c>
      <c r="J58" s="20" t="s">
        <v>48</v>
      </c>
      <c r="K58" s="20"/>
      <c r="L58" s="20">
        <v>0</v>
      </c>
      <c r="M58" s="32"/>
      <c r="N58" s="33"/>
      <c r="O58" s="33"/>
      <c r="P58" s="20">
        <v>10000</v>
      </c>
      <c r="Q58" s="20">
        <f t="shared" si="1"/>
        <v>0</v>
      </c>
      <c r="R58" s="20"/>
      <c r="S58" s="20"/>
      <c r="T58" s="35">
        <f>ROUND((Q58+Table3[[#This Row],[In Transit]])/P58*30,0)</f>
        <v>0</v>
      </c>
      <c r="U58" s="32"/>
      <c r="V58" s="33"/>
      <c r="W58" s="33"/>
      <c r="X58" s="33"/>
      <c r="Y58" s="34">
        <f>IF((45-Table3[[#This Row],[Coverage post order]])&gt;0,Table3[[#This Row],[Schedule]]*1.5,0)</f>
        <v>15000</v>
      </c>
      <c r="Z58" s="33">
        <f>ROUND((Table3[[#This Row],[Stock]]+Table3[[#This Row],[056 Order]]+Table3[[#This Row],[0789 Order]]+Table3[[#This Row],[0788 Order]]+Table3[[#This Row],[In Transit]])/Table3[[#This Row],[Schedule]]*30,0)</f>
        <v>0</v>
      </c>
      <c r="AA58" s="61" t="s">
        <v>109</v>
      </c>
    </row>
    <row r="59" spans="1:27" ht="20.25" customHeight="1" x14ac:dyDescent="0.25">
      <c r="A59" s="35">
        <v>58</v>
      </c>
      <c r="B59" s="35"/>
      <c r="C59" s="20"/>
      <c r="D59" s="20">
        <v>31.75</v>
      </c>
      <c r="E59" s="20">
        <v>1.2</v>
      </c>
      <c r="F59" s="20">
        <v>6</v>
      </c>
      <c r="G59" s="20" t="s">
        <v>60</v>
      </c>
      <c r="H59" s="20" t="s">
        <v>59</v>
      </c>
      <c r="I59" s="20" t="s">
        <v>30</v>
      </c>
      <c r="J59" s="20" t="s">
        <v>48</v>
      </c>
      <c r="K59" s="20"/>
      <c r="L59" s="20">
        <v>4107</v>
      </c>
      <c r="M59" s="32">
        <v>3884381</v>
      </c>
      <c r="N59" s="33"/>
      <c r="O59" s="33"/>
      <c r="P59" s="20">
        <f>'vsm req'!K65</f>
        <v>0</v>
      </c>
      <c r="Q59" s="20">
        <f t="shared" si="1"/>
        <v>22278.600318779998</v>
      </c>
      <c r="R59" s="20"/>
      <c r="S59" s="20"/>
      <c r="T59" s="35" t="e">
        <f>ROUND((Q59+Table3[[#This Row],[In Transit]])/P59*30,0)</f>
        <v>#DIV/0!</v>
      </c>
      <c r="U59" s="32"/>
      <c r="V59" s="33"/>
      <c r="W59" s="33"/>
      <c r="X59" s="33"/>
      <c r="Y59" s="34" t="e">
        <f>IF((45-Table3[[#This Row],[Coverage post order]])&gt;0,Table3[[#This Row],[Schedule]]*1.5,0)</f>
        <v>#DIV/0!</v>
      </c>
      <c r="Z59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59" s="35"/>
    </row>
    <row r="60" spans="1:27" ht="20.25" customHeight="1" x14ac:dyDescent="0.25">
      <c r="A60" s="35">
        <v>59</v>
      </c>
      <c r="B60" s="35"/>
      <c r="C60" s="20">
        <v>943211</v>
      </c>
      <c r="D60" s="20">
        <v>31.75</v>
      </c>
      <c r="E60" s="20">
        <v>2</v>
      </c>
      <c r="F60" s="20">
        <v>6</v>
      </c>
      <c r="G60" s="20">
        <v>8.657</v>
      </c>
      <c r="H60" s="20"/>
      <c r="I60" s="20" t="s">
        <v>30</v>
      </c>
      <c r="J60" s="20" t="s">
        <v>48</v>
      </c>
      <c r="K60" s="20"/>
      <c r="L60" s="20">
        <v>0</v>
      </c>
      <c r="M60" s="32"/>
      <c r="N60" s="33">
        <v>1931387</v>
      </c>
      <c r="O60" s="33"/>
      <c r="P60" s="20">
        <f>'vsm req'!K66</f>
        <v>10000</v>
      </c>
      <c r="Q60" s="20">
        <f t="shared" si="1"/>
        <v>0</v>
      </c>
      <c r="R60" s="20"/>
      <c r="S60" s="20"/>
      <c r="T60" s="35">
        <f>ROUND((Q60+Table3[[#This Row],[In Transit]])/P60*30,0)</f>
        <v>0</v>
      </c>
      <c r="U60" s="32"/>
      <c r="V60" s="33">
        <v>15000</v>
      </c>
      <c r="W60" s="33"/>
      <c r="X60" s="33"/>
      <c r="Y60" s="34">
        <f>IF((45-Table3[[#This Row],[Coverage post order]])&gt;0,Table3[[#This Row],[Schedule]]*1.5,0)</f>
        <v>0</v>
      </c>
      <c r="Z60" s="35">
        <f>ROUND((Table3[[#This Row],[Stock]]+Table3[[#This Row],[056 Order]]+Table3[[#This Row],[0789 Order]]+Table3[[#This Row],[0788 Order]]+Table3[[#This Row],[In Transit]])/Table3[[#This Row],[Schedule]]*30,0)</f>
        <v>45</v>
      </c>
      <c r="AA60" s="61" t="s">
        <v>95</v>
      </c>
    </row>
    <row r="61" spans="1:27" ht="20.25" customHeight="1" x14ac:dyDescent="0.25">
      <c r="A61" s="28">
        <v>60</v>
      </c>
      <c r="B61" s="28"/>
      <c r="C61" s="28">
        <v>943209</v>
      </c>
      <c r="D61" s="28">
        <v>31.75</v>
      </c>
      <c r="E61" s="28">
        <v>2.2999999999999998</v>
      </c>
      <c r="F61" s="28">
        <v>5.92</v>
      </c>
      <c r="G61" s="28">
        <v>10.023</v>
      </c>
      <c r="H61" s="28" t="s">
        <v>61</v>
      </c>
      <c r="I61" s="28" t="s">
        <v>30</v>
      </c>
      <c r="J61" s="28" t="s">
        <v>48</v>
      </c>
      <c r="K61" s="28"/>
      <c r="L61" s="28">
        <v>198</v>
      </c>
      <c r="M61" s="29"/>
      <c r="N61" s="28">
        <v>1940684</v>
      </c>
      <c r="O61" s="28"/>
      <c r="P61" s="28">
        <f>'vsm req'!K67</f>
        <v>15000</v>
      </c>
      <c r="Q61" s="28">
        <f t="shared" si="1"/>
        <v>1958.0308068024001</v>
      </c>
      <c r="R61" s="28"/>
      <c r="S61" s="28"/>
      <c r="T61" s="28">
        <f>ROUND((Q61+Table3[[#This Row],[In Transit]])/P61*30,0)</f>
        <v>4</v>
      </c>
      <c r="U61" s="29"/>
      <c r="V61" s="36">
        <v>22500</v>
      </c>
      <c r="W61" s="28"/>
      <c r="X61" s="28"/>
      <c r="Y61" s="30">
        <f>IF((45-Table3[[#This Row],[Coverage post order]])&gt;0,Table3[[#This Row],[Schedule]]*1.5,0)</f>
        <v>0</v>
      </c>
      <c r="Z61" s="28">
        <f>ROUND((Table3[[#This Row],[Stock]]+Table3[[#This Row],[056 Order]]+Table3[[#This Row],[0789 Order]]+Table3[[#This Row],[0788 Order]]+Table3[[#This Row],[In Transit]])/Table3[[#This Row],[Schedule]]*30,0)</f>
        <v>49</v>
      </c>
      <c r="AA61" s="61" t="s">
        <v>95</v>
      </c>
    </row>
    <row r="62" spans="1:27" ht="20.25" customHeight="1" x14ac:dyDescent="0.25">
      <c r="A62" s="35">
        <v>61</v>
      </c>
      <c r="B62" s="35"/>
      <c r="C62" s="20"/>
      <c r="D62" s="20">
        <v>31.75</v>
      </c>
      <c r="E62" s="20">
        <v>2.2999999999999998</v>
      </c>
      <c r="F62" s="20">
        <v>6</v>
      </c>
      <c r="G62" s="20"/>
      <c r="H62" s="20" t="s">
        <v>61</v>
      </c>
      <c r="I62" s="20"/>
      <c r="J62" s="20"/>
      <c r="K62" s="20"/>
      <c r="L62" s="20">
        <v>2029</v>
      </c>
      <c r="M62" s="32"/>
      <c r="N62" s="33"/>
      <c r="O62" s="33"/>
      <c r="P62" s="20">
        <f>'vsm req'!K68</f>
        <v>0</v>
      </c>
      <c r="Q62" s="20">
        <f t="shared" si="1"/>
        <v>20336.018156235001</v>
      </c>
      <c r="R62" s="20"/>
      <c r="S62" s="20"/>
      <c r="T62" s="28" t="e">
        <f>ROUND((Q62+Table3[[#This Row],[In Transit]])/P62*30,0)</f>
        <v>#DIV/0!</v>
      </c>
      <c r="U62" s="32"/>
      <c r="V62" s="33"/>
      <c r="W62" s="33"/>
      <c r="X62" s="33"/>
      <c r="Y62" s="34" t="e">
        <f>IF((45-Table3[[#This Row],[Coverage post order]])&gt;0,Table3[[#This Row],[Schedule]]*1.5,0)</f>
        <v>#DIV/0!</v>
      </c>
      <c r="Z62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A62" s="35"/>
    </row>
    <row r="63" spans="1:27" ht="20.25" customHeight="1" x14ac:dyDescent="0.25">
      <c r="A63" s="35">
        <v>63</v>
      </c>
      <c r="B63" s="35"/>
      <c r="C63" s="20"/>
      <c r="D63" s="20">
        <v>31.75</v>
      </c>
      <c r="E63" s="20">
        <v>3.65</v>
      </c>
      <c r="F63" s="20">
        <v>6</v>
      </c>
      <c r="G63" s="20">
        <v>15.176</v>
      </c>
      <c r="H63" s="20"/>
      <c r="I63" s="20" t="s">
        <v>56</v>
      </c>
      <c r="J63" s="20" t="s">
        <v>48</v>
      </c>
      <c r="K63" s="20"/>
      <c r="L63" s="20">
        <v>0</v>
      </c>
      <c r="M63" s="32"/>
      <c r="N63" s="33"/>
      <c r="O63" s="33"/>
      <c r="P63" s="20">
        <f>'vsm req'!K69</f>
        <v>0</v>
      </c>
      <c r="Q63" s="20">
        <f t="shared" si="1"/>
        <v>0</v>
      </c>
      <c r="R63" s="20"/>
      <c r="S63" s="20"/>
      <c r="T63" s="35" t="e">
        <f>ROUND((Q63+Table3[[#This Row],[In Transit]])/P63*30,0)</f>
        <v>#DIV/0!</v>
      </c>
      <c r="U63" s="32"/>
      <c r="V63" s="33"/>
      <c r="W63" s="33"/>
      <c r="X63" s="33"/>
      <c r="Y63" s="34" t="e">
        <f>IF((45-Table3[[#This Row],[Coverage post order]])&gt;0,Table3[[#This Row],[Schedule]]*1.5,0)</f>
        <v>#DIV/0!</v>
      </c>
      <c r="Z63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63" s="35"/>
    </row>
    <row r="64" spans="1:27" ht="20.25" customHeight="1" x14ac:dyDescent="0.25">
      <c r="A64" s="35">
        <v>64</v>
      </c>
      <c r="B64" s="35"/>
      <c r="C64" s="20"/>
      <c r="D64" s="20">
        <v>31.9</v>
      </c>
      <c r="E64" s="20">
        <v>4.55</v>
      </c>
      <c r="F64" s="20">
        <v>6</v>
      </c>
      <c r="G64" s="20">
        <v>13.964</v>
      </c>
      <c r="H64" s="20"/>
      <c r="I64" s="20" t="s">
        <v>56</v>
      </c>
      <c r="J64" s="20" t="s">
        <v>48</v>
      </c>
      <c r="K64" s="20"/>
      <c r="L64" s="20">
        <v>715</v>
      </c>
      <c r="M64" s="32"/>
      <c r="N64" s="33"/>
      <c r="O64" s="33"/>
      <c r="P64" s="20">
        <f>'vsm req'!K70</f>
        <v>0</v>
      </c>
      <c r="Q64" s="20">
        <f t="shared" si="1"/>
        <v>13165.747081987498</v>
      </c>
      <c r="R64" s="20"/>
      <c r="S64" s="20"/>
      <c r="T64" s="35" t="e">
        <f>ROUND((Q64+Table3[[#This Row],[In Transit]])/P64*30,0)</f>
        <v>#DIV/0!</v>
      </c>
      <c r="U64" s="32"/>
      <c r="V64" s="33"/>
      <c r="W64" s="33"/>
      <c r="X64" s="33"/>
      <c r="Y64" s="34" t="e">
        <f>IF((45-Table3[[#This Row],[Coverage post order]])&gt;0,Table3[[#This Row],[Schedule]]*1.5,0)</f>
        <v>#DIV/0!</v>
      </c>
      <c r="Z6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64" s="35"/>
    </row>
    <row r="65" spans="1:27" ht="20.25" customHeight="1" x14ac:dyDescent="0.25">
      <c r="A65" s="35">
        <v>65</v>
      </c>
      <c r="B65" s="35"/>
      <c r="C65" s="20">
        <v>943210</v>
      </c>
      <c r="D65" s="20">
        <v>34</v>
      </c>
      <c r="E65" s="20">
        <v>1.4</v>
      </c>
      <c r="F65" s="20">
        <v>6.52</v>
      </c>
      <c r="G65" s="20">
        <v>7.3390000000000004</v>
      </c>
      <c r="H65" s="20"/>
      <c r="I65" s="20" t="s">
        <v>30</v>
      </c>
      <c r="J65" s="20" t="s">
        <v>48</v>
      </c>
      <c r="K65" s="20"/>
      <c r="L65" s="20">
        <v>0</v>
      </c>
      <c r="M65" s="32"/>
      <c r="N65" s="33"/>
      <c r="O65" s="33">
        <v>3702855</v>
      </c>
      <c r="P65" s="20">
        <f>'vsm req'!K71</f>
        <v>0</v>
      </c>
      <c r="Q65" s="20">
        <f t="shared" ref="Q65:Q82" si="2">((D65-E65)*E65*0.0246615*F65*L65)</f>
        <v>0</v>
      </c>
      <c r="R65" s="20"/>
      <c r="S65" s="20"/>
      <c r="T65" s="28" t="e">
        <f>ROUND((Q65+Table3[[#This Row],[In Transit]])/P65*30,0)</f>
        <v>#DIV/0!</v>
      </c>
      <c r="U65" s="32"/>
      <c r="V65" s="33"/>
      <c r="W65" s="33">
        <v>5000</v>
      </c>
      <c r="X65" s="33"/>
      <c r="Y65" s="37" t="e">
        <f>IF((45-Table3[[#This Row],[Coverage post order]])&gt;0,Table3[[#This Row],[Schedule]]*1.5,0)</f>
        <v>#DIV/0!</v>
      </c>
      <c r="Z65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65" s="35">
        <v>788</v>
      </c>
    </row>
    <row r="66" spans="1:27" ht="20.25" customHeight="1" x14ac:dyDescent="0.25">
      <c r="A66" s="35">
        <v>66</v>
      </c>
      <c r="B66" s="35"/>
      <c r="C66" s="20">
        <v>943211</v>
      </c>
      <c r="D66" s="20">
        <v>34.93</v>
      </c>
      <c r="E66" s="20">
        <v>1.2</v>
      </c>
      <c r="F66" s="20">
        <v>5.0999999999999996</v>
      </c>
      <c r="G66" s="20">
        <v>5.0910000000000002</v>
      </c>
      <c r="H66" s="20" t="s">
        <v>62</v>
      </c>
      <c r="I66" s="20" t="s">
        <v>30</v>
      </c>
      <c r="J66" s="20" t="s">
        <v>48</v>
      </c>
      <c r="K66" s="20"/>
      <c r="L66" s="20">
        <v>2150</v>
      </c>
      <c r="M66" s="32">
        <v>4172674</v>
      </c>
      <c r="N66" s="33"/>
      <c r="O66" s="33"/>
      <c r="P66" s="20">
        <f>'vsm req'!K72</f>
        <v>17000</v>
      </c>
      <c r="Q66" s="20">
        <f t="shared" si="2"/>
        <v>10945.250653409996</v>
      </c>
      <c r="R66" s="20">
        <v>0</v>
      </c>
      <c r="S66" s="20"/>
      <c r="T66" s="35">
        <f>ROUND((Q66+Table3[[#This Row],[In Transit]])/P66*30,0)</f>
        <v>19</v>
      </c>
      <c r="U66" s="33">
        <v>30000</v>
      </c>
      <c r="V66" s="33"/>
      <c r="W66" s="33"/>
      <c r="X66" s="33"/>
      <c r="Y66" s="34">
        <f>IF((45-Table3[[#This Row],[Coverage post order]])&gt;0,Table3[[#This Row],[Schedule]]*1.5,0)</f>
        <v>0</v>
      </c>
      <c r="Z66" s="35">
        <f>ROUND((Table3[[#This Row],[Stock]]+Table3[[#This Row],[056 Order]]+Table3[[#This Row],[0789 Order]]+Table3[[#This Row],[0788 Order]]+Table3[[#This Row],[In Transit]])/Table3[[#This Row],[Schedule]]*30,0)</f>
        <v>72</v>
      </c>
      <c r="AA66" s="35">
        <v>56</v>
      </c>
    </row>
    <row r="67" spans="1:27" ht="20.25" customHeight="1" x14ac:dyDescent="0.25">
      <c r="A67" s="35">
        <v>67</v>
      </c>
      <c r="B67" s="35"/>
      <c r="C67" s="20">
        <v>943211</v>
      </c>
      <c r="D67" s="20">
        <v>34.93</v>
      </c>
      <c r="E67" s="20">
        <v>1.2</v>
      </c>
      <c r="F67" s="20">
        <v>5.9</v>
      </c>
      <c r="G67" s="20"/>
      <c r="H67" s="20"/>
      <c r="I67" s="20" t="s">
        <v>30</v>
      </c>
      <c r="J67" s="20" t="s">
        <v>48</v>
      </c>
      <c r="K67" s="20"/>
      <c r="L67" s="20">
        <v>394</v>
      </c>
      <c r="M67" s="32">
        <v>3499396</v>
      </c>
      <c r="N67" s="33"/>
      <c r="O67" s="33"/>
      <c r="P67" s="20">
        <f>'vsm req'!K73</f>
        <v>20000</v>
      </c>
      <c r="Q67" s="20">
        <f t="shared" si="2"/>
        <v>2320.4131025003994</v>
      </c>
      <c r="R67" s="20">
        <v>0</v>
      </c>
      <c r="S67" s="20"/>
      <c r="T67" s="35">
        <f>ROUND((Q67+Table3[[#This Row],[In Transit]])/P67*30,0)</f>
        <v>3</v>
      </c>
      <c r="U67" s="33">
        <f>21500+30000</f>
        <v>51500</v>
      </c>
      <c r="V67" s="33"/>
      <c r="W67" s="33"/>
      <c r="X67" s="33"/>
      <c r="Y67" s="34">
        <f>IF((45-Table3[[#This Row],[Coverage post order]])&gt;0,Table3[[#This Row],[Schedule]]*1.5,0)</f>
        <v>0</v>
      </c>
      <c r="Z67" s="35">
        <f>ROUND((Table3[[#This Row],[Stock]]+Table3[[#This Row],[056 Order]]+Table3[[#This Row],[0789 Order]]+Table3[[#This Row],[0788 Order]]+Table3[[#This Row],[In Transit]])/Table3[[#This Row],[Schedule]]*30,0)</f>
        <v>81</v>
      </c>
      <c r="AA67" s="41" t="s">
        <v>94</v>
      </c>
    </row>
    <row r="68" spans="1:27" ht="20.25" customHeight="1" x14ac:dyDescent="0.25">
      <c r="A68" s="35">
        <v>68</v>
      </c>
      <c r="B68" s="35"/>
      <c r="C68" s="20"/>
      <c r="D68" s="20">
        <v>34.93</v>
      </c>
      <c r="E68" s="20">
        <v>1.2</v>
      </c>
      <c r="F68" s="20">
        <v>6</v>
      </c>
      <c r="G68" s="20">
        <v>5.9889999999999999</v>
      </c>
      <c r="H68" s="20" t="s">
        <v>62</v>
      </c>
      <c r="I68" s="20" t="s">
        <v>30</v>
      </c>
      <c r="J68" s="20" t="s">
        <v>48</v>
      </c>
      <c r="K68" s="20"/>
      <c r="L68" s="20">
        <v>0</v>
      </c>
      <c r="M68" s="32">
        <v>3501257</v>
      </c>
      <c r="N68" s="33">
        <v>1940701</v>
      </c>
      <c r="O68" s="33"/>
      <c r="P68" s="20">
        <f>'vsm req'!K74</f>
        <v>0</v>
      </c>
      <c r="Q68" s="20">
        <f t="shared" si="2"/>
        <v>0</v>
      </c>
      <c r="R68" s="20">
        <v>0</v>
      </c>
      <c r="S68" s="20"/>
      <c r="T68" s="35" t="e">
        <f>ROUND((Q68+Table3[[#This Row],[In Transit]])/P68*30,0)</f>
        <v>#DIV/0!</v>
      </c>
      <c r="U68" s="32"/>
      <c r="V68" s="33"/>
      <c r="W68" s="33"/>
      <c r="X68" s="33"/>
      <c r="Y68" s="34" t="e">
        <f>IF((45-Table3[[#This Row],[Coverage post order]])&gt;0,Table3[[#This Row],[Schedule]]*1.5,0)</f>
        <v>#DIV/0!</v>
      </c>
      <c r="Z6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68" s="35" t="s">
        <v>118</v>
      </c>
    </row>
    <row r="69" spans="1:27" ht="20.25" customHeight="1" x14ac:dyDescent="0.25">
      <c r="A69" s="35">
        <v>69</v>
      </c>
      <c r="B69" s="35"/>
      <c r="C69" s="20"/>
      <c r="D69" s="20">
        <v>34.93</v>
      </c>
      <c r="E69" s="20">
        <v>1.2</v>
      </c>
      <c r="F69" s="20">
        <v>620</v>
      </c>
      <c r="G69" s="20">
        <v>620</v>
      </c>
      <c r="H69" s="20"/>
      <c r="I69" s="20" t="s">
        <v>30</v>
      </c>
      <c r="J69" s="20"/>
      <c r="K69" s="20"/>
      <c r="L69" s="20"/>
      <c r="M69" s="32"/>
      <c r="N69" s="33"/>
      <c r="O69" s="33"/>
      <c r="P69" s="20">
        <f>'vsm req'!K75</f>
        <v>0</v>
      </c>
      <c r="Q69" s="20">
        <f t="shared" si="2"/>
        <v>0</v>
      </c>
      <c r="R69" s="20"/>
      <c r="S69" s="20"/>
      <c r="T69" s="35" t="e">
        <f>ROUND((Q69+Table3[[#This Row],[In Transit]])/P69*30,0)</f>
        <v>#DIV/0!</v>
      </c>
      <c r="U69" s="32"/>
      <c r="V69" s="33"/>
      <c r="W69" s="33"/>
      <c r="X69" s="33"/>
      <c r="Y69" s="34" t="e">
        <f>IF((45-Table3[[#This Row],[Coverage post order]])&gt;0,Table3[[#This Row],[Schedule]]*1.5,0)</f>
        <v>#DIV/0!</v>
      </c>
      <c r="Z69" s="33" t="e">
        <f>ROUND((Table3[[#This Row],[Stock]]+Table3[[#This Row],[056 Order]]+Table3[[#This Row],[0789 Order]]+Table3[[#This Row],[0788 Order]]+Table3[[#This Row],[In Transit]])/Table3[[#This Row],[Schedule]]*30,0)</f>
        <v>#DIV/0!</v>
      </c>
      <c r="AA69" s="35" t="s">
        <v>119</v>
      </c>
    </row>
    <row r="70" spans="1:27" ht="20.25" customHeight="1" x14ac:dyDescent="0.25">
      <c r="A70" s="35">
        <v>70</v>
      </c>
      <c r="B70" s="35"/>
      <c r="C70" s="20"/>
      <c r="D70" s="20">
        <v>34.93</v>
      </c>
      <c r="E70" s="20">
        <v>1.2</v>
      </c>
      <c r="F70" s="20">
        <v>650</v>
      </c>
      <c r="G70" s="20">
        <v>650</v>
      </c>
      <c r="H70" s="20"/>
      <c r="I70" s="20" t="s">
        <v>30</v>
      </c>
      <c r="J70" s="20"/>
      <c r="K70" s="20"/>
      <c r="L70" s="20"/>
      <c r="M70" s="32"/>
      <c r="N70" s="33"/>
      <c r="O70" s="33"/>
      <c r="P70" s="20">
        <f>'vsm req'!K76</f>
        <v>19000</v>
      </c>
      <c r="Q70" s="20">
        <f t="shared" si="2"/>
        <v>0</v>
      </c>
      <c r="R70" s="20"/>
      <c r="S70" s="20"/>
      <c r="T70" s="35">
        <f>ROUND((Q70+Table3[[#This Row],[In Transit]])/P70*30,0)</f>
        <v>0</v>
      </c>
      <c r="U70" s="32"/>
      <c r="V70" s="33"/>
      <c r="W70" s="33"/>
      <c r="X70" s="33"/>
      <c r="Y70" s="34">
        <f>IF((45-Table3[[#This Row],[Coverage post order]])&gt;0,Table3[[#This Row],[Schedule]]*1.5,0)</f>
        <v>28500</v>
      </c>
      <c r="Z70" s="33">
        <f>ROUND((Table3[[#This Row],[Stock]]+Table3[[#This Row],[056 Order]]+Table3[[#This Row],[0789 Order]]+Table3[[#This Row],[0788 Order]]+Table3[[#This Row],[In Transit]])/Table3[[#This Row],[Schedule]]*30,0)</f>
        <v>0</v>
      </c>
      <c r="AA70" s="35" t="s">
        <v>110</v>
      </c>
    </row>
    <row r="71" spans="1:27" ht="20.25" customHeight="1" x14ac:dyDescent="0.25">
      <c r="A71" s="35">
        <v>71</v>
      </c>
      <c r="B71" s="35"/>
      <c r="C71" s="20"/>
      <c r="D71" s="20">
        <v>34.93</v>
      </c>
      <c r="E71" s="20">
        <v>1.2</v>
      </c>
      <c r="F71" s="20">
        <v>780</v>
      </c>
      <c r="G71" s="20">
        <v>780</v>
      </c>
      <c r="H71" s="20"/>
      <c r="I71" s="20" t="s">
        <v>30</v>
      </c>
      <c r="J71" s="20"/>
      <c r="K71" s="20"/>
      <c r="L71" s="20"/>
      <c r="M71" s="32"/>
      <c r="N71" s="33"/>
      <c r="O71" s="33"/>
      <c r="P71" s="20">
        <f>'vsm req'!K77</f>
        <v>10000</v>
      </c>
      <c r="Q71" s="20">
        <f t="shared" si="2"/>
        <v>0</v>
      </c>
      <c r="R71" s="20"/>
      <c r="S71" s="20"/>
      <c r="T71" s="35">
        <f>ROUND((Q71+Table3[[#This Row],[In Transit]])/P71*30,0)</f>
        <v>0</v>
      </c>
      <c r="U71" s="32"/>
      <c r="V71" s="33"/>
      <c r="W71" s="33"/>
      <c r="X71" s="33"/>
      <c r="Y71" s="34">
        <f>IF((45-Table3[[#This Row],[Coverage post order]])&gt;0,Table3[[#This Row],[Schedule]]*1.5,0)</f>
        <v>15000</v>
      </c>
      <c r="Z71" s="33">
        <f>ROUND((Table3[[#This Row],[Stock]]+Table3[[#This Row],[056 Order]]+Table3[[#This Row],[0789 Order]]+Table3[[#This Row],[0788 Order]]+Table3[[#This Row],[In Transit]])/Table3[[#This Row],[Schedule]]*30,0)</f>
        <v>0</v>
      </c>
      <c r="AA71" s="35" t="s">
        <v>110</v>
      </c>
    </row>
    <row r="72" spans="1:27" ht="20.25" customHeight="1" x14ac:dyDescent="0.25">
      <c r="A72" s="35">
        <v>72</v>
      </c>
      <c r="B72" s="35"/>
      <c r="C72" s="20"/>
      <c r="D72" s="20">
        <v>38.1</v>
      </c>
      <c r="E72" s="20">
        <v>1.6</v>
      </c>
      <c r="F72" s="20">
        <v>5.88</v>
      </c>
      <c r="G72" s="20">
        <v>7.2009999999999996</v>
      </c>
      <c r="H72" s="20" t="s">
        <v>63</v>
      </c>
      <c r="I72" s="20" t="s">
        <v>30</v>
      </c>
      <c r="J72" s="20" t="s">
        <v>48</v>
      </c>
      <c r="K72" s="20"/>
      <c r="L72" s="20">
        <v>746</v>
      </c>
      <c r="M72" s="32"/>
      <c r="N72" s="33"/>
      <c r="O72" s="33"/>
      <c r="P72" s="20">
        <f>'vsm req'!K78</f>
        <v>0</v>
      </c>
      <c r="Q72" s="20">
        <f>((D72-E72)*E72*0.0246615*F72*L72)</f>
        <v>6317.5471087680007</v>
      </c>
      <c r="R72" s="20"/>
      <c r="S72" s="20"/>
      <c r="T72" s="35" t="e">
        <f>ROUND((Q72+Table3[[#This Row],[In Transit]])/P72*30,0)</f>
        <v>#DIV/0!</v>
      </c>
      <c r="U72" s="32"/>
      <c r="V72" s="33"/>
      <c r="W72" s="33"/>
      <c r="X72" s="33"/>
      <c r="Y72" s="34" t="e">
        <f>IF((45-Table3[[#This Row],[Coverage post order]])&gt;0,Table3[[#This Row],[Schedule]]*1.5,0)</f>
        <v>#DIV/0!</v>
      </c>
      <c r="Z72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72" s="35"/>
    </row>
    <row r="73" spans="1:27" ht="20.25" customHeight="1" x14ac:dyDescent="0.25">
      <c r="A73" s="35">
        <v>73</v>
      </c>
      <c r="B73" s="35"/>
      <c r="C73" s="20">
        <v>943209</v>
      </c>
      <c r="D73" s="20">
        <v>38.1</v>
      </c>
      <c r="E73" s="20">
        <v>1.6</v>
      </c>
      <c r="F73" s="20">
        <v>6.19</v>
      </c>
      <c r="G73" s="20">
        <v>8.9149999999999991</v>
      </c>
      <c r="H73" s="20" t="s">
        <v>64</v>
      </c>
      <c r="I73" s="20" t="s">
        <v>39</v>
      </c>
      <c r="J73" s="20" t="s">
        <v>48</v>
      </c>
      <c r="K73" s="20"/>
      <c r="L73" s="20">
        <v>1981</v>
      </c>
      <c r="M73" s="32">
        <v>3502254</v>
      </c>
      <c r="N73" s="33"/>
      <c r="O73" s="33"/>
      <c r="P73" s="20">
        <f>'vsm req'!K79</f>
        <v>64000</v>
      </c>
      <c r="Q73" s="20">
        <f t="shared" si="2"/>
        <v>17660.681569524004</v>
      </c>
      <c r="R73" s="20">
        <v>0</v>
      </c>
      <c r="S73" s="20"/>
      <c r="T73" s="28">
        <f>ROUND((Q73+Table3[[#This Row],[In Transit]])/P73*30,0)</f>
        <v>8</v>
      </c>
      <c r="U73" s="33">
        <f>11500+96000</f>
        <v>107500</v>
      </c>
      <c r="V73" s="33"/>
      <c r="W73" s="33"/>
      <c r="X73" s="33"/>
      <c r="Y73" s="34">
        <f>IF((45-Table3[[#This Row],[Coverage post order]])&gt;0,Table3[[#This Row],[Schedule]]*1.5,0)</f>
        <v>0</v>
      </c>
      <c r="Z73" s="35">
        <f>ROUND((Table3[[#This Row],[Stock]]+Table3[[#This Row],[056 Order]]+Table3[[#This Row],[0789 Order]]+Table3[[#This Row],[0788 Order]]+Table3[[#This Row],[In Transit]])/Table3[[#This Row],[Schedule]]*30,0)</f>
        <v>59</v>
      </c>
      <c r="AA73" s="41" t="s">
        <v>94</v>
      </c>
    </row>
    <row r="74" spans="1:27" ht="20.25" customHeight="1" x14ac:dyDescent="0.25">
      <c r="A74" s="35">
        <v>75</v>
      </c>
      <c r="B74" s="35"/>
      <c r="C74" s="20">
        <v>943209</v>
      </c>
      <c r="D74" s="20">
        <v>38.1</v>
      </c>
      <c r="E74" s="20">
        <v>2</v>
      </c>
      <c r="F74" s="20">
        <v>5.65</v>
      </c>
      <c r="G74" s="20">
        <v>10.06</v>
      </c>
      <c r="H74" s="20" t="s">
        <v>66</v>
      </c>
      <c r="I74" s="20" t="s">
        <v>30</v>
      </c>
      <c r="J74" s="20" t="s">
        <v>48</v>
      </c>
      <c r="K74" s="20"/>
      <c r="L74" s="20">
        <v>4219</v>
      </c>
      <c r="M74" s="32">
        <v>3500959</v>
      </c>
      <c r="N74" s="33"/>
      <c r="O74" s="33"/>
      <c r="P74" s="20">
        <f>'vsm req'!K81</f>
        <v>10000</v>
      </c>
      <c r="Q74" s="20">
        <f t="shared" si="2"/>
        <v>42443.839067205008</v>
      </c>
      <c r="R74" s="20">
        <v>0</v>
      </c>
      <c r="S74" s="20"/>
      <c r="T74" s="28">
        <f>ROUND((Q74+Table3[[#This Row],[In Transit]])/P74*30,0)</f>
        <v>127</v>
      </c>
      <c r="U74" s="32"/>
      <c r="V74" s="33"/>
      <c r="W74" s="33"/>
      <c r="X74" s="33"/>
      <c r="Y74" s="34">
        <f>IF((45-Table3[[#This Row],[Coverage post order]])&gt;0,Table3[[#This Row],[Schedule]]*1.5,0)</f>
        <v>0</v>
      </c>
      <c r="Z74" s="35">
        <f>ROUND((Table3[[#This Row],[Stock]]+Table3[[#This Row],[056 Order]]+Table3[[#This Row],[0789 Order]]+Table3[[#This Row],[0788 Order]]+Table3[[#This Row],[In Transit]])/Table3[[#This Row],[Schedule]]*30,0)</f>
        <v>127</v>
      </c>
      <c r="AA74" s="35"/>
    </row>
    <row r="75" spans="1:27" ht="20.25" customHeight="1" x14ac:dyDescent="0.25">
      <c r="A75" s="35">
        <v>80</v>
      </c>
      <c r="B75" s="35"/>
      <c r="C75" s="20">
        <v>943209</v>
      </c>
      <c r="D75" s="20">
        <v>38.1</v>
      </c>
      <c r="E75" s="20">
        <v>2.5</v>
      </c>
      <c r="F75" s="20">
        <v>6.19</v>
      </c>
      <c r="G75" s="20">
        <v>13.586</v>
      </c>
      <c r="H75" s="20" t="s">
        <v>67</v>
      </c>
      <c r="I75" s="20" t="s">
        <v>39</v>
      </c>
      <c r="J75" s="20" t="s">
        <v>48</v>
      </c>
      <c r="K75" s="20"/>
      <c r="L75" s="55">
        <v>7350</v>
      </c>
      <c r="M75" s="32">
        <v>3502007</v>
      </c>
      <c r="N75" s="33"/>
      <c r="O75" s="33"/>
      <c r="P75" s="20">
        <f>'vsm req'!K82</f>
        <v>97000</v>
      </c>
      <c r="Q75" s="20">
        <f t="shared" si="2"/>
        <v>99859.062192750003</v>
      </c>
      <c r="R75" s="20">
        <v>0</v>
      </c>
      <c r="S75" s="20"/>
      <c r="T75" s="35">
        <f>ROUND((Q75+Table3[[#This Row],[In Transit]])/P75*30,0)</f>
        <v>31</v>
      </c>
      <c r="U75" s="33">
        <f>30000+145500</f>
        <v>175500</v>
      </c>
      <c r="V75" s="33"/>
      <c r="W75" s="33"/>
      <c r="X75" s="33"/>
      <c r="Y75" s="34">
        <f>IF((45-Table3[[#This Row],[Coverage post order]])&gt;0,Table3[[#This Row],[Schedule]]*1.5,0)</f>
        <v>0</v>
      </c>
      <c r="Z75" s="35">
        <f>ROUND((Table3[[#This Row],[Stock]]+Table3[[#This Row],[056 Order]]+Table3[[#This Row],[0789 Order]]+Table3[[#This Row],[0788 Order]]+Table3[[#This Row],[In Transit]])/Table3[[#This Row],[Schedule]]*30,0)</f>
        <v>85</v>
      </c>
      <c r="AA75" s="41" t="s">
        <v>94</v>
      </c>
    </row>
    <row r="76" spans="1:27" ht="20.25" customHeight="1" x14ac:dyDescent="0.25">
      <c r="A76" s="35">
        <v>81</v>
      </c>
      <c r="B76" s="35"/>
      <c r="C76" s="20">
        <v>943211</v>
      </c>
      <c r="D76" s="20">
        <v>38.1</v>
      </c>
      <c r="E76" s="20">
        <v>3.2</v>
      </c>
      <c r="F76" s="20">
        <v>6.16</v>
      </c>
      <c r="G76" s="20"/>
      <c r="H76" s="20"/>
      <c r="I76" s="20" t="s">
        <v>39</v>
      </c>
      <c r="J76" s="20" t="s">
        <v>48</v>
      </c>
      <c r="K76" s="20"/>
      <c r="L76" s="20">
        <v>1354</v>
      </c>
      <c r="M76" s="32">
        <v>4156196</v>
      </c>
      <c r="N76" s="33"/>
      <c r="O76" s="33">
        <v>4156196</v>
      </c>
      <c r="P76" s="28">
        <f>'vsm req'!K83</f>
        <v>0</v>
      </c>
      <c r="Q76" s="20">
        <f t="shared" si="2"/>
        <v>22971.759994444801</v>
      </c>
      <c r="R76" s="20">
        <v>0</v>
      </c>
      <c r="S76" s="20"/>
      <c r="T76" s="35" t="e">
        <f>ROUND((Q76+Table3[[#This Row],[In Transit]])/P76*30,0)</f>
        <v>#DIV/0!</v>
      </c>
      <c r="U76" s="32"/>
      <c r="V76" s="33"/>
      <c r="W76" s="33"/>
      <c r="X76" s="33"/>
      <c r="Y76" s="37" t="e">
        <f>IF((45-Table3[[#This Row],[Coverage post order]])&gt;0,Table3[[#This Row],[Schedule]]*1.5,0)</f>
        <v>#DIV/0!</v>
      </c>
      <c r="Z7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76" s="35" t="s">
        <v>120</v>
      </c>
    </row>
    <row r="77" spans="1:27" ht="20.25" customHeight="1" x14ac:dyDescent="0.25">
      <c r="A77" s="35">
        <v>82</v>
      </c>
      <c r="B77" s="35" t="s">
        <v>69</v>
      </c>
      <c r="C77" s="20">
        <v>943209</v>
      </c>
      <c r="D77" s="20">
        <v>41.28</v>
      </c>
      <c r="E77" s="20">
        <v>1.6</v>
      </c>
      <c r="F77" s="20">
        <v>5.74</v>
      </c>
      <c r="G77" s="20">
        <v>9.1999999999999993</v>
      </c>
      <c r="H77" s="20" t="s">
        <v>70</v>
      </c>
      <c r="I77" s="20" t="s">
        <v>30</v>
      </c>
      <c r="J77" s="20" t="s">
        <v>48</v>
      </c>
      <c r="K77" s="20"/>
      <c r="L77" s="20">
        <v>0</v>
      </c>
      <c r="M77" s="32"/>
      <c r="N77" s="33">
        <v>1940826</v>
      </c>
      <c r="O77" s="33"/>
      <c r="P77" s="20">
        <f>'vsm req'!K85</f>
        <v>0</v>
      </c>
      <c r="Q77" s="20">
        <f t="shared" si="2"/>
        <v>0</v>
      </c>
      <c r="R77" s="20"/>
      <c r="S77" s="20"/>
      <c r="T77" s="35" t="e">
        <f>ROUND((Q77+Table3[[#This Row],[In Transit]])/P77*30,0)</f>
        <v>#DIV/0!</v>
      </c>
      <c r="U77" s="32"/>
      <c r="V77" s="33"/>
      <c r="W77" s="33"/>
      <c r="X77" s="33"/>
      <c r="Y77" s="34" t="e">
        <f>IF((45-Table3[[#This Row],[Coverage post order]])&gt;0,Table3[[#This Row],[Schedule]]*1.5,0)</f>
        <v>#DIV/0!</v>
      </c>
      <c r="Z77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77" s="35" t="s">
        <v>121</v>
      </c>
    </row>
    <row r="78" spans="1:27" ht="20.25" customHeight="1" x14ac:dyDescent="0.25">
      <c r="A78" s="28">
        <v>83</v>
      </c>
      <c r="B78" s="28" t="s">
        <v>69</v>
      </c>
      <c r="C78" s="28">
        <v>943209</v>
      </c>
      <c r="D78" s="28">
        <v>41.28</v>
      </c>
      <c r="E78" s="28">
        <v>1.6</v>
      </c>
      <c r="F78" s="28">
        <v>5.99</v>
      </c>
      <c r="G78" s="28">
        <v>9.5</v>
      </c>
      <c r="H78" s="28" t="s">
        <v>70</v>
      </c>
      <c r="I78" s="28" t="s">
        <v>30</v>
      </c>
      <c r="J78" s="28" t="s">
        <v>48</v>
      </c>
      <c r="K78" s="28"/>
      <c r="L78" s="28">
        <v>1480</v>
      </c>
      <c r="M78" s="29"/>
      <c r="N78" s="28">
        <v>3597718</v>
      </c>
      <c r="O78" s="28"/>
      <c r="P78" s="28">
        <f>'vsm req'!K86</f>
        <v>13000</v>
      </c>
      <c r="Q78" s="28">
        <f t="shared" si="2"/>
        <v>13880.326192742399</v>
      </c>
      <c r="R78" s="28"/>
      <c r="S78" s="28"/>
      <c r="T78" s="28">
        <f>ROUND((Q78+Table3[[#This Row],[In Transit]])/P78*30,0)</f>
        <v>32</v>
      </c>
      <c r="U78" s="29"/>
      <c r="V78" s="28">
        <v>19500</v>
      </c>
      <c r="W78" s="28"/>
      <c r="X78" s="28"/>
      <c r="Y78" s="30">
        <f>IF((45-Table3[[#This Row],[Coverage post order]])&gt;0,Table3[[#This Row],[Schedule]]*1.5,0)</f>
        <v>0</v>
      </c>
      <c r="Z78" s="28">
        <f>ROUND((Table3[[#This Row],[Stock]]+Table3[[#This Row],[056 Order]]+Table3[[#This Row],[0789 Order]]+Table3[[#This Row],[0788 Order]]+Table3[[#This Row],[In Transit]])/Table3[[#This Row],[Schedule]]*30,0)</f>
        <v>77</v>
      </c>
      <c r="AA78" s="61" t="s">
        <v>95</v>
      </c>
    </row>
    <row r="79" spans="1:27" ht="20.25" customHeight="1" x14ac:dyDescent="0.25">
      <c r="A79" s="35"/>
      <c r="B79" s="35" t="s">
        <v>69</v>
      </c>
      <c r="C79" s="20"/>
      <c r="D79" s="20">
        <v>41.28</v>
      </c>
      <c r="E79" s="20">
        <v>1.6</v>
      </c>
      <c r="F79" s="20">
        <v>6.02</v>
      </c>
      <c r="G79" s="20"/>
      <c r="H79" s="20"/>
      <c r="I79" s="20"/>
      <c r="J79" s="20"/>
      <c r="K79" s="20"/>
      <c r="L79" s="20">
        <v>0</v>
      </c>
      <c r="M79" s="32"/>
      <c r="N79" s="33"/>
      <c r="O79" s="33"/>
      <c r="P79" s="20">
        <f>'vsm req'!K87</f>
        <v>0</v>
      </c>
      <c r="Q79" s="20">
        <f>((D79-E79)*E79*0.0246615*F79*L79)</f>
        <v>0</v>
      </c>
      <c r="R79" s="20"/>
      <c r="S79" s="20"/>
      <c r="T79" s="35" t="e">
        <f>ROUND((Q79+Table3[[#This Row],[In Transit]])/P79*30,0)</f>
        <v>#DIV/0!</v>
      </c>
      <c r="U79" s="32"/>
      <c r="V79" s="33"/>
      <c r="W79" s="33"/>
      <c r="X79" s="33"/>
      <c r="Y79" s="34" t="e">
        <f>IF((45-Table3[[#This Row],[Coverage post order]])&gt;0,Table3[[#This Row],[Schedule]]*1.5,0)</f>
        <v>#DIV/0!</v>
      </c>
      <c r="Z79" s="33" t="e">
        <f>ROUND((Table3[[#This Row],[Stock]]+Table3[[#This Row],[056 Order]]+Table3[[#This Row],[0789 Order]]+Table3[[#This Row],[0788 Order]])/Table3[[#This Row],[Schedule]]*30,0)</f>
        <v>#DIV/0!</v>
      </c>
      <c r="AA79" s="35"/>
    </row>
    <row r="80" spans="1:27" ht="20.25" customHeight="1" x14ac:dyDescent="0.25">
      <c r="A80" s="35">
        <v>84</v>
      </c>
      <c r="B80" s="35"/>
      <c r="C80" s="45">
        <v>943209</v>
      </c>
      <c r="D80" s="20">
        <v>41.28</v>
      </c>
      <c r="E80" s="20">
        <v>2.6</v>
      </c>
      <c r="F80" s="20">
        <v>6</v>
      </c>
      <c r="G80" s="20">
        <v>14.881</v>
      </c>
      <c r="H80" s="20" t="s">
        <v>71</v>
      </c>
      <c r="I80" s="20" t="s">
        <v>30</v>
      </c>
      <c r="J80" s="20" t="s">
        <v>48</v>
      </c>
      <c r="K80" s="20"/>
      <c r="L80" s="20">
        <v>0</v>
      </c>
      <c r="M80" s="32">
        <v>3501716</v>
      </c>
      <c r="N80" s="33">
        <v>3994149</v>
      </c>
      <c r="O80" s="33"/>
      <c r="P80" s="20">
        <f>'vsm req'!K88</f>
        <v>85000</v>
      </c>
      <c r="Q80" s="20">
        <f t="shared" si="2"/>
        <v>0</v>
      </c>
      <c r="R80" s="20">
        <v>0</v>
      </c>
      <c r="S80" s="20"/>
      <c r="T80" s="28">
        <f>ROUND((Q80+Table3[[#This Row],[In Transit]])/P80*30,0)</f>
        <v>0</v>
      </c>
      <c r="U80" s="32">
        <v>65000</v>
      </c>
      <c r="V80" s="40">
        <v>65000</v>
      </c>
      <c r="W80" s="33"/>
      <c r="X80" s="33"/>
      <c r="Y80" s="34">
        <f>IF((45-Table3[[#This Row],[Coverage post order]])&gt;0,Table3[[#This Row],[Schedule]]*1.5,0)</f>
        <v>0</v>
      </c>
      <c r="Z80" s="35">
        <f>ROUND((Table3[[#This Row],[Stock]]+Table3[[#This Row],[056 Order]]+Table3[[#This Row],[0789 Order]]+Table3[[#This Row],[0788 Order]]+Table3[[#This Row],[In Transit]])/Table3[[#This Row],[Schedule]]*30,0)</f>
        <v>46</v>
      </c>
      <c r="AA80" s="62" t="s">
        <v>122</v>
      </c>
    </row>
    <row r="81" spans="1:28" ht="20.25" customHeight="1" x14ac:dyDescent="0.25">
      <c r="A81" s="35">
        <v>85</v>
      </c>
      <c r="B81" s="35"/>
      <c r="C81" s="20"/>
      <c r="D81" s="20">
        <v>41.28</v>
      </c>
      <c r="E81" s="20">
        <v>2.6</v>
      </c>
      <c r="F81" s="20">
        <v>6.02</v>
      </c>
      <c r="G81" s="20">
        <v>14.881</v>
      </c>
      <c r="H81" s="20" t="s">
        <v>71</v>
      </c>
      <c r="I81" s="20" t="s">
        <v>30</v>
      </c>
      <c r="J81" s="20" t="s">
        <v>48</v>
      </c>
      <c r="K81" s="20"/>
      <c r="L81" s="20">
        <v>442</v>
      </c>
      <c r="M81" s="32"/>
      <c r="N81" s="33"/>
      <c r="O81" s="33"/>
      <c r="P81" s="20">
        <f>'vsm req'!K89</f>
        <v>0</v>
      </c>
      <c r="Q81" s="20">
        <f t="shared" si="2"/>
        <v>6599.3028996148796</v>
      </c>
      <c r="R81" s="20"/>
      <c r="S81" s="20"/>
      <c r="T81" s="35" t="e">
        <f>ROUND((Q81+Table3[[#This Row],[In Transit]])/P81*30,0)</f>
        <v>#DIV/0!</v>
      </c>
      <c r="U81" s="32"/>
      <c r="V81" s="33"/>
      <c r="W81" s="33"/>
      <c r="X81" s="33"/>
      <c r="Y81" s="34" t="e">
        <f>IF((45-Table3[[#This Row],[Coverage post order]])&gt;0,Table3[[#This Row],[Schedule]]*1.5,0)</f>
        <v>#DIV/0!</v>
      </c>
      <c r="Z8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81" s="35"/>
    </row>
    <row r="82" spans="1:28" ht="20.25" customHeight="1" x14ac:dyDescent="0.25">
      <c r="A82" s="35">
        <v>86</v>
      </c>
      <c r="B82" s="35"/>
      <c r="C82" s="20">
        <v>943210</v>
      </c>
      <c r="D82" s="20">
        <v>41.28</v>
      </c>
      <c r="E82" s="20">
        <v>3.15</v>
      </c>
      <c r="F82" s="20">
        <v>5.94</v>
      </c>
      <c r="G82" s="20">
        <v>17.417000000000002</v>
      </c>
      <c r="H82" s="20" t="s">
        <v>72</v>
      </c>
      <c r="I82" s="20" t="s">
        <v>30</v>
      </c>
      <c r="J82" s="20" t="s">
        <v>48</v>
      </c>
      <c r="K82" s="20"/>
      <c r="L82" s="20">
        <v>0</v>
      </c>
      <c r="M82" s="32">
        <v>3673889</v>
      </c>
      <c r="N82" s="33">
        <v>3597050</v>
      </c>
      <c r="O82" s="33"/>
      <c r="P82" s="20">
        <f>'vsm req'!K90</f>
        <v>87000</v>
      </c>
      <c r="Q82" s="20">
        <f t="shared" si="2"/>
        <v>0</v>
      </c>
      <c r="R82" s="20">
        <v>0</v>
      </c>
      <c r="S82" s="20"/>
      <c r="T82" s="35">
        <f>ROUND((Q82+Table3[[#This Row],[In Transit]])/P82*30,0)</f>
        <v>0</v>
      </c>
      <c r="U82" s="33"/>
      <c r="V82" s="33">
        <v>130500</v>
      </c>
      <c r="W82" s="33"/>
      <c r="X82" s="33"/>
      <c r="Y82" s="34">
        <f>IF((45-Table3[[#This Row],[Coverage post order]])&gt;0,Table3[[#This Row],[Schedule]]*1.5,0)</f>
        <v>0</v>
      </c>
      <c r="Z82" s="35">
        <f>ROUND((Table3[[#This Row],[Stock]]+Table3[[#This Row],[056 Order]]+Table3[[#This Row],[0789 Order]]+Table3[[#This Row],[0788 Order]]+Table3[[#This Row],[In Transit]])/Table3[[#This Row],[Schedule]]*30,0)</f>
        <v>45</v>
      </c>
      <c r="AA82" s="41" t="s">
        <v>95</v>
      </c>
    </row>
    <row r="83" spans="1:28" ht="20.25" customHeight="1" x14ac:dyDescent="0.25">
      <c r="A83" s="28">
        <v>87</v>
      </c>
      <c r="B83" s="28"/>
      <c r="C83" s="28">
        <v>943210</v>
      </c>
      <c r="D83" s="28">
        <v>41.28</v>
      </c>
      <c r="E83" s="28">
        <v>3.15</v>
      </c>
      <c r="F83" s="28">
        <v>5.86</v>
      </c>
      <c r="G83" s="28">
        <v>17.417000000000002</v>
      </c>
      <c r="H83" s="28" t="s">
        <v>72</v>
      </c>
      <c r="I83" s="28" t="s">
        <v>30</v>
      </c>
      <c r="J83" s="28" t="s">
        <v>48</v>
      </c>
      <c r="K83" s="28"/>
      <c r="L83" s="28">
        <v>237</v>
      </c>
      <c r="M83" s="32">
        <v>3673889</v>
      </c>
      <c r="N83" s="28">
        <v>3230501</v>
      </c>
      <c r="O83" s="28"/>
      <c r="P83" s="28">
        <f>'vsm req'!K91</f>
        <v>0</v>
      </c>
      <c r="Q83" s="28">
        <f t="shared" ref="Q83:Q121" si="3">((D83-E83)*E83*0.0246615*F83*L83)</f>
        <v>4113.7965486950861</v>
      </c>
      <c r="R83" s="28">
        <v>0</v>
      </c>
      <c r="S83" s="28"/>
      <c r="T83" s="28" t="e">
        <f>ROUND((Q83+Table3[[#This Row],[In Transit]])/P83*30,0)</f>
        <v>#DIV/0!</v>
      </c>
      <c r="U83" s="33">
        <v>54000</v>
      </c>
      <c r="V83" s="36"/>
      <c r="W83" s="28"/>
      <c r="X83" s="28"/>
      <c r="Y83" s="30" t="e">
        <f>IF((45-Table3[[#This Row],[Coverage post order]])&gt;0,Table3[[#This Row],[Schedule]]*1.5,0)</f>
        <v>#DIV/0!</v>
      </c>
      <c r="Z83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83" s="28"/>
    </row>
    <row r="84" spans="1:28" ht="20.25" customHeight="1" x14ac:dyDescent="0.25">
      <c r="A84" s="28"/>
      <c r="B84" s="28"/>
      <c r="C84" s="20"/>
      <c r="D84" s="28">
        <v>41.28</v>
      </c>
      <c r="E84" s="28">
        <v>3.15</v>
      </c>
      <c r="F84" s="20">
        <v>6.2850000000000001</v>
      </c>
      <c r="G84" s="20"/>
      <c r="H84" s="20"/>
      <c r="I84" s="20"/>
      <c r="J84" s="20"/>
      <c r="K84" s="20"/>
      <c r="L84" s="20">
        <v>0</v>
      </c>
      <c r="M84" s="32"/>
      <c r="N84" s="33"/>
      <c r="O84" s="33"/>
      <c r="P84" s="20">
        <f>'vsm req'!K92</f>
        <v>0</v>
      </c>
      <c r="Q84" s="20">
        <f>((D84-E84)*E84*0.0246615*F84*L84)</f>
        <v>0</v>
      </c>
      <c r="R84" s="20"/>
      <c r="S84" s="20"/>
      <c r="T84" s="28" t="e">
        <f>ROUND((Q84+Table3[[#This Row],[In Transit]])/P84*30,0)</f>
        <v>#DIV/0!</v>
      </c>
      <c r="U84" s="32"/>
      <c r="V84" s="40"/>
      <c r="W84" s="33"/>
      <c r="X84" s="33"/>
      <c r="Y84" s="34" t="e">
        <f>IF((45-Table3[[#This Row],[Coverage post order]])&gt;0,Table3[[#This Row],[Schedule]]*1.5,0)</f>
        <v>#DIV/0!</v>
      </c>
      <c r="Z84" s="33" t="e">
        <f>ROUND((Table3[[#This Row],[Stock]]+Table3[[#This Row],[056 Order]]+Table3[[#This Row],[0789 Order]]+Table3[[#This Row],[0788 Order]])/Table3[[#This Row],[Schedule]]*30,0)</f>
        <v>#DIV/0!</v>
      </c>
      <c r="AA84" s="28"/>
    </row>
    <row r="85" spans="1:28" ht="20.25" customHeight="1" x14ac:dyDescent="0.25">
      <c r="A85" s="28"/>
      <c r="B85" s="28"/>
      <c r="C85" s="28">
        <v>943210</v>
      </c>
      <c r="D85" s="28">
        <v>42.7</v>
      </c>
      <c r="E85" s="28">
        <v>1.6</v>
      </c>
      <c r="F85" s="28">
        <v>5.94</v>
      </c>
      <c r="G85" s="28"/>
      <c r="H85" s="28"/>
      <c r="I85" s="28" t="s">
        <v>39</v>
      </c>
      <c r="J85" s="28" t="s">
        <v>48</v>
      </c>
      <c r="K85" s="28"/>
      <c r="L85" s="28">
        <v>266</v>
      </c>
      <c r="M85" s="29"/>
      <c r="N85" s="28">
        <v>4230724</v>
      </c>
      <c r="O85" s="28"/>
      <c r="P85" s="28">
        <f>'vsm req'!K93</f>
        <v>25000</v>
      </c>
      <c r="Q85" s="28">
        <f t="shared" si="3"/>
        <v>2562.4144488096003</v>
      </c>
      <c r="R85" s="28">
        <v>0</v>
      </c>
      <c r="S85" s="28"/>
      <c r="T85" s="28">
        <f>ROUND((Q85+Table3[[#This Row],[In Transit]])/P85*30,0)</f>
        <v>3</v>
      </c>
      <c r="U85" s="29"/>
      <c r="V85" s="36">
        <v>37500</v>
      </c>
      <c r="W85" s="28"/>
      <c r="X85" s="28"/>
      <c r="Y85" s="30">
        <f>IF((45-Table3[[#This Row],[Coverage post order]])&gt;0,Table3[[#This Row],[Schedule]]*1.5,0)</f>
        <v>0</v>
      </c>
      <c r="Z85" s="28">
        <f>ROUND((Table3[[#This Row],[Stock]]+Table3[[#This Row],[056 Order]]+Table3[[#This Row],[0789 Order]]+Table3[[#This Row],[0788 Order]]+Table3[[#This Row],[In Transit]])/Table3[[#This Row],[Schedule]]*30,0)</f>
        <v>48</v>
      </c>
      <c r="AA85" s="61" t="s">
        <v>95</v>
      </c>
    </row>
    <row r="86" spans="1:28" ht="20.25" customHeight="1" x14ac:dyDescent="0.25">
      <c r="A86" s="35">
        <v>88</v>
      </c>
      <c r="B86" s="35"/>
      <c r="C86" s="20"/>
      <c r="D86" s="20">
        <v>42.7</v>
      </c>
      <c r="E86" s="20">
        <v>3.5</v>
      </c>
      <c r="F86" s="20">
        <v>6</v>
      </c>
      <c r="G86" s="20">
        <v>20.300999999999998</v>
      </c>
      <c r="H86" s="20" t="s">
        <v>73</v>
      </c>
      <c r="I86" s="20" t="s">
        <v>30</v>
      </c>
      <c r="J86" s="20" t="s">
        <v>48</v>
      </c>
      <c r="K86" s="20"/>
      <c r="L86" s="20">
        <v>597</v>
      </c>
      <c r="M86" s="32">
        <v>3500650</v>
      </c>
      <c r="N86" s="33"/>
      <c r="O86" s="33"/>
      <c r="P86" s="20">
        <f>'vsm req'!K94</f>
        <v>0</v>
      </c>
      <c r="Q86" s="20">
        <f t="shared" si="3"/>
        <v>12119.9040396</v>
      </c>
      <c r="R86" s="20">
        <v>0</v>
      </c>
      <c r="S86" s="20"/>
      <c r="T86" s="35" t="e">
        <f>ROUND((Q86+Table3[[#This Row],[In Transit]])/P86*30,0)</f>
        <v>#DIV/0!</v>
      </c>
      <c r="U86" s="33">
        <v>3000</v>
      </c>
      <c r="V86" s="33"/>
      <c r="W86" s="33"/>
      <c r="X86" s="33"/>
      <c r="Y86" s="34" t="e">
        <f>IF((45-Table3[[#This Row],[Coverage post order]])&gt;0,Table3[[#This Row],[Schedule]]*1.5,0)</f>
        <v>#DIV/0!</v>
      </c>
      <c r="Z8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86" s="35"/>
    </row>
    <row r="87" spans="1:28" ht="20.25" customHeight="1" x14ac:dyDescent="0.25">
      <c r="A87" s="35">
        <v>89</v>
      </c>
      <c r="B87" s="35"/>
      <c r="C87" s="20">
        <v>943209</v>
      </c>
      <c r="D87" s="20">
        <v>42.7</v>
      </c>
      <c r="E87" s="20">
        <v>3.5</v>
      </c>
      <c r="F87" s="20">
        <v>6.05</v>
      </c>
      <c r="G87" s="20">
        <v>20.471</v>
      </c>
      <c r="H87" s="20" t="s">
        <v>73</v>
      </c>
      <c r="I87" s="20" t="s">
        <v>30</v>
      </c>
      <c r="J87" s="20" t="s">
        <v>48</v>
      </c>
      <c r="K87" s="20"/>
      <c r="L87" s="20">
        <v>1936</v>
      </c>
      <c r="M87" s="32">
        <v>3500650</v>
      </c>
      <c r="N87" s="33"/>
      <c r="O87" s="33">
        <v>3500650</v>
      </c>
      <c r="P87" s="20">
        <f>'vsm req'!K95</f>
        <v>1500</v>
      </c>
      <c r="Q87" s="20">
        <f t="shared" si="3"/>
        <v>39630.935799840001</v>
      </c>
      <c r="R87" s="20"/>
      <c r="S87" s="20"/>
      <c r="T87" s="35">
        <f>ROUND((Q87+Table3[[#This Row],[In Transit]])/P87*30,0)</f>
        <v>793</v>
      </c>
      <c r="U87" s="32"/>
      <c r="V87" s="33"/>
      <c r="W87" s="33">
        <v>2250</v>
      </c>
      <c r="X87" s="33"/>
      <c r="Y87" s="37">
        <f>IF((45-Table3[[#This Row],[Coverage post order]])&gt;0,Table3[[#This Row],[Schedule]]*1.5,0)</f>
        <v>0</v>
      </c>
      <c r="Z87" s="35">
        <f>ROUND((Table3[[#This Row],[Stock]]+Table3[[#This Row],[056 Order]]+Table3[[#This Row],[0789 Order]]+Table3[[#This Row],[0788 Order]]+Table3[[#This Row],[In Transit]])/Table3[[#This Row],[Schedule]]*30,0)</f>
        <v>838</v>
      </c>
      <c r="AA87" s="41" t="s">
        <v>96</v>
      </c>
    </row>
    <row r="88" spans="1:28" ht="20.25" customHeight="1" x14ac:dyDescent="0.25">
      <c r="A88" s="35">
        <v>90</v>
      </c>
      <c r="B88" s="35"/>
      <c r="C88" s="20">
        <v>943209</v>
      </c>
      <c r="D88" s="20">
        <v>42.7</v>
      </c>
      <c r="E88" s="20">
        <v>4</v>
      </c>
      <c r="F88" s="20">
        <v>5.5</v>
      </c>
      <c r="G88" s="20">
        <v>20.997</v>
      </c>
      <c r="H88" s="20" t="s">
        <v>74</v>
      </c>
      <c r="I88" s="20" t="s">
        <v>30</v>
      </c>
      <c r="J88" s="20" t="s">
        <v>48</v>
      </c>
      <c r="K88" s="20"/>
      <c r="L88" s="20">
        <v>1512</v>
      </c>
      <c r="M88" s="32"/>
      <c r="N88" s="33"/>
      <c r="O88" s="33">
        <v>3500714</v>
      </c>
      <c r="P88" s="20">
        <f>'vsm req'!K96</f>
        <v>38000</v>
      </c>
      <c r="Q88" s="20">
        <f t="shared" si="3"/>
        <v>31747.163263200004</v>
      </c>
      <c r="R88" s="20">
        <v>0</v>
      </c>
      <c r="S88" s="20"/>
      <c r="T88" s="35">
        <f>ROUND((Q88+Table3[[#This Row],[In Transit]])/P88*30,0)</f>
        <v>25</v>
      </c>
      <c r="U88" s="32"/>
      <c r="V88" s="33"/>
      <c r="W88" s="33">
        <f>22000+57000</f>
        <v>79000</v>
      </c>
      <c r="X88" s="33"/>
      <c r="Y88" s="34">
        <f>IF((45-Table3[[#This Row],[Coverage post order]])&gt;0,Table3[[#This Row],[Schedule]]*1.5,0)</f>
        <v>0</v>
      </c>
      <c r="Z88" s="35">
        <f>ROUND((Table3[[#This Row],[Stock]]+Table3[[#This Row],[056 Order]]+Table3[[#This Row],[0789 Order]]+Table3[[#This Row],[0788 Order]]+Table3[[#This Row],[In Transit]])/Table3[[#This Row],[Schedule]]*30,0)</f>
        <v>87</v>
      </c>
      <c r="AA88" s="41" t="s">
        <v>96</v>
      </c>
    </row>
    <row r="89" spans="1:28" ht="20.25" customHeight="1" x14ac:dyDescent="0.25">
      <c r="A89" s="28">
        <v>91</v>
      </c>
      <c r="B89" s="28" t="s">
        <v>75</v>
      </c>
      <c r="C89" s="28">
        <v>943209</v>
      </c>
      <c r="D89" s="28">
        <v>44.45</v>
      </c>
      <c r="E89" s="28">
        <v>1.6</v>
      </c>
      <c r="F89" s="28">
        <v>5.9</v>
      </c>
      <c r="G89" s="28">
        <v>10.02</v>
      </c>
      <c r="H89" s="28" t="s">
        <v>76</v>
      </c>
      <c r="I89" s="28" t="s">
        <v>30</v>
      </c>
      <c r="J89" s="28" t="s">
        <v>48</v>
      </c>
      <c r="K89" s="28"/>
      <c r="L89" s="28">
        <v>0</v>
      </c>
      <c r="M89" s="29"/>
      <c r="N89" s="28">
        <v>4164767</v>
      </c>
      <c r="O89" s="28"/>
      <c r="P89" s="28">
        <f>'vsm req'!K97</f>
        <v>15000</v>
      </c>
      <c r="Q89" s="28">
        <f t="shared" si="3"/>
        <v>0</v>
      </c>
      <c r="R89" s="28"/>
      <c r="S89" s="28"/>
      <c r="T89" s="28">
        <f>ROUND((Q89+Table3[[#This Row],[In Transit]])/P89*30,0)</f>
        <v>0</v>
      </c>
      <c r="U89" s="29"/>
      <c r="V89" s="36">
        <v>22500</v>
      </c>
      <c r="W89" s="28"/>
      <c r="X89" s="28"/>
      <c r="Y89" s="30">
        <f>IF((45-Table3[[#This Row],[Coverage post order]])&gt;0,Table3[[#This Row],[Schedule]]*1.5,0)</f>
        <v>0</v>
      </c>
      <c r="Z89" s="28">
        <f>ROUND((Table3[[#This Row],[Stock]]+Table3[[#This Row],[056 Order]]+Table3[[#This Row],[0789 Order]]+Table3[[#This Row],[0788 Order]]+Table3[[#This Row],[In Transit]])/Table3[[#This Row],[Schedule]]*30,0)</f>
        <v>45</v>
      </c>
      <c r="AA89" s="61" t="s">
        <v>95</v>
      </c>
    </row>
    <row r="90" spans="1:28" ht="20.25" customHeight="1" x14ac:dyDescent="0.25">
      <c r="A90" s="28">
        <v>92</v>
      </c>
      <c r="B90" s="28" t="s">
        <v>75</v>
      </c>
      <c r="C90" s="28">
        <v>943209</v>
      </c>
      <c r="D90" s="28">
        <v>44.45</v>
      </c>
      <c r="E90" s="28">
        <v>1.6</v>
      </c>
      <c r="F90" s="28">
        <v>6.23</v>
      </c>
      <c r="G90" s="28">
        <v>10.53</v>
      </c>
      <c r="H90" s="28" t="s">
        <v>76</v>
      </c>
      <c r="I90" s="28" t="s">
        <v>30</v>
      </c>
      <c r="J90" s="28" t="s">
        <v>48</v>
      </c>
      <c r="K90" s="28"/>
      <c r="L90" s="28">
        <v>0</v>
      </c>
      <c r="M90" s="29"/>
      <c r="N90" s="28">
        <v>1940833</v>
      </c>
      <c r="O90" s="28"/>
      <c r="P90" s="28">
        <f>'vsm req'!K98</f>
        <v>0</v>
      </c>
      <c r="Q90" s="28">
        <f t="shared" si="3"/>
        <v>0</v>
      </c>
      <c r="R90" s="28">
        <v>0</v>
      </c>
      <c r="S90" s="28"/>
      <c r="T90" s="28" t="e">
        <f>ROUND((Q90+Table3[[#This Row],[In Transit]])/P90*30,0)</f>
        <v>#DIV/0!</v>
      </c>
      <c r="U90" s="29"/>
      <c r="V90" s="36"/>
      <c r="W90" s="28"/>
      <c r="X90" s="28"/>
      <c r="Y90" s="30" t="e">
        <f>IF((45-Table3[[#This Row],[Coverage post order]])&gt;0,Table3[[#This Row],[Schedule]]*1.5,0)</f>
        <v>#DIV/0!</v>
      </c>
      <c r="Z90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90" s="31">
        <v>789</v>
      </c>
      <c r="AB90" t="s">
        <v>123</v>
      </c>
    </row>
    <row r="91" spans="1:28" ht="20.25" customHeight="1" x14ac:dyDescent="0.25">
      <c r="A91" s="35">
        <v>94</v>
      </c>
      <c r="B91" s="35"/>
      <c r="C91" s="20">
        <v>943210</v>
      </c>
      <c r="D91" s="20">
        <v>45</v>
      </c>
      <c r="E91" s="20">
        <v>1.4</v>
      </c>
      <c r="F91" s="20">
        <v>5.7</v>
      </c>
      <c r="G91" s="20">
        <v>8.58</v>
      </c>
      <c r="H91" s="20"/>
      <c r="I91" s="20" t="s">
        <v>30</v>
      </c>
      <c r="J91" s="20" t="s">
        <v>48</v>
      </c>
      <c r="K91" s="20"/>
      <c r="L91" s="20">
        <v>1019</v>
      </c>
      <c r="M91" s="32"/>
      <c r="N91" s="33"/>
      <c r="O91" s="33"/>
      <c r="P91" s="20">
        <f>'vsm req'!K99</f>
        <v>5000</v>
      </c>
      <c r="Q91" s="20">
        <f t="shared" si="3"/>
        <v>8743.4544730679991</v>
      </c>
      <c r="R91" s="20"/>
      <c r="S91" s="20"/>
      <c r="T91" s="35">
        <f>ROUND((Q91+Table3[[#This Row],[In Transit]])/P91*30,0)</f>
        <v>52</v>
      </c>
      <c r="U91" s="32"/>
      <c r="V91" s="33"/>
      <c r="W91" s="33"/>
      <c r="X91" s="33"/>
      <c r="Y91" s="46">
        <f>IF((45-Table3[[#This Row],[Coverage post order]])&gt;0,Table3[[#This Row],[Schedule]]*1.5,0)</f>
        <v>0</v>
      </c>
      <c r="Z91" s="35">
        <f>ROUND((Table3[[#This Row],[Stock]]+Table3[[#This Row],[056 Order]]+Table3[[#This Row],[0789 Order]]+Table3[[#This Row],[0788 Order]]+Table3[[#This Row],[In Transit]])/Table3[[#This Row],[Schedule]]*30,0)</f>
        <v>52</v>
      </c>
      <c r="AA91" s="35" t="s">
        <v>119</v>
      </c>
    </row>
    <row r="92" spans="1:28" ht="20.25" customHeight="1" x14ac:dyDescent="0.25">
      <c r="A92" s="28">
        <v>95</v>
      </c>
      <c r="B92" s="28"/>
      <c r="C92" s="28">
        <v>943210</v>
      </c>
      <c r="D92" s="28">
        <v>45</v>
      </c>
      <c r="E92" s="28">
        <v>1.4</v>
      </c>
      <c r="F92" s="28">
        <v>6.4</v>
      </c>
      <c r="G92" s="28">
        <v>9.6340000000000003</v>
      </c>
      <c r="H92" s="28"/>
      <c r="I92" s="28" t="s">
        <v>39</v>
      </c>
      <c r="J92" s="28" t="s">
        <v>48</v>
      </c>
      <c r="K92" s="28"/>
      <c r="L92" s="28">
        <v>993</v>
      </c>
      <c r="M92" s="29"/>
      <c r="N92" s="28">
        <v>3514971</v>
      </c>
      <c r="O92" s="28"/>
      <c r="P92" s="28">
        <f>'vsm req'!K100</f>
        <v>24000</v>
      </c>
      <c r="Q92" s="28">
        <f t="shared" si="3"/>
        <v>9566.7238033920003</v>
      </c>
      <c r="R92" s="28"/>
      <c r="S92" s="28"/>
      <c r="T92" s="28">
        <f>ROUND((Q92+Table3[[#This Row],[In Transit]])/P92*30,0)</f>
        <v>12</v>
      </c>
      <c r="U92" s="29"/>
      <c r="V92" s="28">
        <v>36000</v>
      </c>
      <c r="W92" s="28"/>
      <c r="X92" s="28"/>
      <c r="Y92" s="30">
        <f>IF((45-Table3[[#This Row],[Coverage post order]])&gt;0,Table3[[#This Row],[Schedule]]*1.5,0)</f>
        <v>0</v>
      </c>
      <c r="Z92" s="28">
        <f>ROUND((Table3[[#This Row],[Stock]]+Table3[[#This Row],[056 Order]]+Table3[[#This Row],[0789 Order]]+Table3[[#This Row],[0788 Order]]+Table3[[#This Row],[In Transit]])/Table3[[#This Row],[Schedule]]*30,0)</f>
        <v>57</v>
      </c>
      <c r="AA92" s="61" t="s">
        <v>95</v>
      </c>
    </row>
    <row r="93" spans="1:28" ht="20.25" customHeight="1" x14ac:dyDescent="0.25">
      <c r="A93" s="35">
        <v>97</v>
      </c>
      <c r="B93" s="28"/>
      <c r="C93" s="28">
        <v>943210</v>
      </c>
      <c r="D93" s="28">
        <v>45</v>
      </c>
      <c r="E93" s="28">
        <v>1.6</v>
      </c>
      <c r="F93" s="28">
        <v>6.4</v>
      </c>
      <c r="G93" s="28">
        <v>10.96</v>
      </c>
      <c r="H93" s="28"/>
      <c r="I93" s="28" t="s">
        <v>39</v>
      </c>
      <c r="J93" s="28" t="s">
        <v>48</v>
      </c>
      <c r="K93" s="28"/>
      <c r="L93" s="28">
        <v>243</v>
      </c>
      <c r="M93" s="29"/>
      <c r="N93" s="28">
        <v>3702882</v>
      </c>
      <c r="O93" s="28"/>
      <c r="P93" s="28">
        <f>'vsm req'!K102</f>
        <v>28000</v>
      </c>
      <c r="Q93" s="28">
        <f t="shared" si="3"/>
        <v>2663.271539712</v>
      </c>
      <c r="R93" s="28">
        <v>0</v>
      </c>
      <c r="S93" s="28"/>
      <c r="T93" s="28">
        <f>ROUND((Q93+Table3[[#This Row],[In Transit]])/P93*30,0)</f>
        <v>3</v>
      </c>
      <c r="U93" s="29"/>
      <c r="V93" s="28">
        <v>42000</v>
      </c>
      <c r="W93" s="28"/>
      <c r="X93" s="30"/>
      <c r="Y93" s="30">
        <f>IF((45-Table3[[#This Row],[Coverage post order]])&gt;0,Table3[[#This Row],[Schedule]]*1.5,0)</f>
        <v>0</v>
      </c>
      <c r="Z93" s="28">
        <f>ROUND((Table3[[#This Row],[Stock]]+Table3[[#This Row],[056 Order]]+Table3[[#This Row],[0789 Order]]+Table3[[#This Row],[0788 Order]]+Table3[[#This Row],[In Transit]])/Table3[[#This Row],[Schedule]]*30,0)</f>
        <v>48</v>
      </c>
      <c r="AA93" s="61" t="s">
        <v>95</v>
      </c>
    </row>
    <row r="94" spans="1:28" ht="20.25" customHeight="1" x14ac:dyDescent="0.25">
      <c r="A94" s="35">
        <v>98</v>
      </c>
      <c r="B94" s="35"/>
      <c r="C94" s="20"/>
      <c r="D94" s="20">
        <v>45</v>
      </c>
      <c r="E94" s="20">
        <v>3.5</v>
      </c>
      <c r="F94" s="20">
        <v>6.1</v>
      </c>
      <c r="G94" s="20">
        <v>10.96</v>
      </c>
      <c r="H94" s="20"/>
      <c r="I94" s="20" t="s">
        <v>56</v>
      </c>
      <c r="J94" s="20" t="s">
        <v>48</v>
      </c>
      <c r="K94" s="20"/>
      <c r="L94" s="20">
        <v>992</v>
      </c>
      <c r="M94" s="32">
        <v>3500263</v>
      </c>
      <c r="N94" s="33"/>
      <c r="O94" s="33"/>
      <c r="P94" s="20">
        <f>'vsm req'!K103</f>
        <v>0</v>
      </c>
      <c r="Q94" s="20">
        <f t="shared" si="3"/>
        <v>21675.899893199999</v>
      </c>
      <c r="R94" s="20">
        <v>0</v>
      </c>
      <c r="S94" s="20"/>
      <c r="T94" s="35" t="e">
        <f>ROUND((Q94+Table3[[#This Row],[In Transit]])/P94*30,0)</f>
        <v>#DIV/0!</v>
      </c>
      <c r="U94" s="32">
        <v>0</v>
      </c>
      <c r="V94" s="33"/>
      <c r="W94" s="33"/>
      <c r="X94" s="33"/>
      <c r="Y94" s="34" t="e">
        <f>IF((45-Table3[[#This Row],[Coverage post order]])&gt;0,Table3[[#This Row],[Schedule]]*1.5,0)</f>
        <v>#DIV/0!</v>
      </c>
      <c r="Z9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94" s="35"/>
    </row>
    <row r="95" spans="1:28" ht="20.25" customHeight="1" x14ac:dyDescent="0.25">
      <c r="A95" s="35">
        <v>99</v>
      </c>
      <c r="B95" s="35"/>
      <c r="C95" s="20">
        <v>943211</v>
      </c>
      <c r="D95" s="20">
        <v>47.63</v>
      </c>
      <c r="E95" s="20">
        <v>4</v>
      </c>
      <c r="F95" s="20">
        <v>6</v>
      </c>
      <c r="G95" s="20">
        <v>25.824000000000002</v>
      </c>
      <c r="H95" s="20"/>
      <c r="I95" s="20" t="s">
        <v>56</v>
      </c>
      <c r="J95" s="20" t="s">
        <v>48</v>
      </c>
      <c r="K95" s="20"/>
      <c r="L95" s="20">
        <v>239</v>
      </c>
      <c r="M95" s="32"/>
      <c r="N95" s="33"/>
      <c r="O95" s="32">
        <v>3500635</v>
      </c>
      <c r="P95" s="20">
        <f>'vsm req'!K104</f>
        <v>10000</v>
      </c>
      <c r="Q95" s="20">
        <f t="shared" si="3"/>
        <v>6171.8284213200004</v>
      </c>
      <c r="R95" s="20"/>
      <c r="S95" s="20"/>
      <c r="T95" s="35">
        <f>ROUND((Q95+Table3[[#This Row],[In Transit]])/P95*30,0)</f>
        <v>19</v>
      </c>
      <c r="U95" s="32"/>
      <c r="V95" s="33"/>
      <c r="W95" s="33">
        <v>15000</v>
      </c>
      <c r="X95" s="33"/>
      <c r="Y95" s="34">
        <f>IF((45-Table3[[#This Row],[Coverage post order]])&gt;0,Table3[[#This Row],[Schedule]]*1.5,0)</f>
        <v>0</v>
      </c>
      <c r="Z95" s="35">
        <f>ROUND((Table3[[#This Row],[Stock]]+Table3[[#This Row],[056 Order]]+Table3[[#This Row],[0789 Order]]+Table3[[#This Row],[0788 Order]]+Table3[[#This Row],[In Transit]])/Table3[[#This Row],[Schedule]]*30,0)</f>
        <v>64</v>
      </c>
      <c r="AA95" s="41" t="s">
        <v>96</v>
      </c>
    </row>
    <row r="96" spans="1:28" ht="20.25" customHeight="1" x14ac:dyDescent="0.25">
      <c r="A96" s="28">
        <v>100</v>
      </c>
      <c r="B96" s="28"/>
      <c r="C96" s="28">
        <v>943211</v>
      </c>
      <c r="D96" s="28">
        <v>48</v>
      </c>
      <c r="E96" s="28">
        <v>1.2</v>
      </c>
      <c r="F96" s="28">
        <v>5.55</v>
      </c>
      <c r="G96" s="28"/>
      <c r="H96" s="28"/>
      <c r="I96" s="28" t="s">
        <v>30</v>
      </c>
      <c r="J96" s="28" t="s">
        <v>48</v>
      </c>
      <c r="K96" s="28"/>
      <c r="L96" s="28"/>
      <c r="M96" s="29"/>
      <c r="N96" s="28">
        <v>4180803</v>
      </c>
      <c r="O96" s="28"/>
      <c r="P96" s="28">
        <f>'vsm req'!K105</f>
        <v>20000</v>
      </c>
      <c r="Q96" s="28"/>
      <c r="R96" s="28">
        <v>0</v>
      </c>
      <c r="S96" s="28"/>
      <c r="T96" s="28">
        <f>ROUND((Q96+Table3[[#This Row],[In Transit]])/P96*30,0)</f>
        <v>0</v>
      </c>
      <c r="U96" s="29"/>
      <c r="V96" s="36">
        <v>30000</v>
      </c>
      <c r="W96" s="28"/>
      <c r="X96" s="28"/>
      <c r="Y96" s="30">
        <f>IF((45-Table3[[#This Row],[Coverage post order]])&gt;0,Table3[[#This Row],[Schedule]]*1.5,0)</f>
        <v>0</v>
      </c>
      <c r="Z96" s="28">
        <f>ROUND((Table3[[#This Row],[Stock]]+Table3[[#This Row],[056 Order]]+Table3[[#This Row],[0789 Order]]+Table3[[#This Row],[0788 Order]]+Table3[[#This Row],[In Transit]])/Table3[[#This Row],[Schedule]]*30,0)</f>
        <v>45</v>
      </c>
      <c r="AA96" s="61" t="s">
        <v>95</v>
      </c>
    </row>
    <row r="97" spans="1:28" ht="20.25" customHeight="1" x14ac:dyDescent="0.25">
      <c r="A97" s="28">
        <v>101</v>
      </c>
      <c r="B97" s="28"/>
      <c r="C97" s="28">
        <v>943211</v>
      </c>
      <c r="D97" s="28">
        <v>48</v>
      </c>
      <c r="E97" s="28">
        <v>1.2</v>
      </c>
      <c r="F97" s="28">
        <v>5.67</v>
      </c>
      <c r="G97" s="28"/>
      <c r="H97" s="28"/>
      <c r="I97" s="28" t="s">
        <v>30</v>
      </c>
      <c r="J97" s="28" t="s">
        <v>48</v>
      </c>
      <c r="K97" s="28"/>
      <c r="L97" s="28">
        <v>1807</v>
      </c>
      <c r="M97" s="29"/>
      <c r="N97" s="28">
        <v>3460088</v>
      </c>
      <c r="O97" s="28"/>
      <c r="P97" s="28">
        <f>'vsm req'!K106</f>
        <v>18000</v>
      </c>
      <c r="Q97" s="28"/>
      <c r="R97" s="28">
        <v>0</v>
      </c>
      <c r="S97" s="28"/>
      <c r="T97" s="28">
        <f>ROUND((Q97+Table3[[#This Row],[In Transit]])/P97*30,0)</f>
        <v>0</v>
      </c>
      <c r="U97" s="29"/>
      <c r="V97" s="36">
        <v>27000</v>
      </c>
      <c r="W97" s="28"/>
      <c r="X97" s="30"/>
      <c r="Y97" s="30">
        <f>IF((45-Table3[[#This Row],[Coverage post order]])&gt;0,Table3[[#This Row],[Schedule]]*1.5,0)</f>
        <v>0</v>
      </c>
      <c r="Z97" s="28">
        <f>ROUND((Table3[[#This Row],[Stock]]+Table3[[#This Row],[056 Order]]+Table3[[#This Row],[0789 Order]]+Table3[[#This Row],[0788 Order]]+Table3[[#This Row],[In Transit]])/Table3[[#This Row],[Schedule]]*30,0)</f>
        <v>45</v>
      </c>
      <c r="AA97" s="61" t="s">
        <v>95</v>
      </c>
    </row>
    <row r="98" spans="1:28" ht="20.25" customHeight="1" x14ac:dyDescent="0.25">
      <c r="A98" s="28">
        <v>102</v>
      </c>
      <c r="B98" s="28"/>
      <c r="C98" s="28">
        <v>943211</v>
      </c>
      <c r="D98" s="28">
        <v>48</v>
      </c>
      <c r="E98" s="28">
        <v>1.2</v>
      </c>
      <c r="F98" s="28">
        <v>5.2850000000000001</v>
      </c>
      <c r="G98" s="28">
        <v>25.824000000000002</v>
      </c>
      <c r="H98" s="28"/>
      <c r="I98" s="28" t="s">
        <v>30</v>
      </c>
      <c r="J98" s="28" t="s">
        <v>48</v>
      </c>
      <c r="K98" s="28"/>
      <c r="L98" s="28">
        <v>1291</v>
      </c>
      <c r="M98" s="29"/>
      <c r="N98" s="28">
        <v>4038150</v>
      </c>
      <c r="O98" s="29"/>
      <c r="P98" s="28">
        <f>'vsm req'!K107</f>
        <v>48000</v>
      </c>
      <c r="Q98" s="28"/>
      <c r="R98" s="28"/>
      <c r="S98" s="28"/>
      <c r="T98" s="28">
        <f>ROUND((Q98+Table3[[#This Row],[In Transit]])/P98*30,0)</f>
        <v>0</v>
      </c>
      <c r="U98" s="29"/>
      <c r="V98" s="28">
        <v>72000</v>
      </c>
      <c r="W98" s="28"/>
      <c r="X98" s="28"/>
      <c r="Y98" s="30">
        <f>IF((45-Table3[[#This Row],[Coverage post order]])&gt;0,Table3[[#This Row],[Schedule]]*1.5,0)</f>
        <v>0</v>
      </c>
      <c r="Z98" s="28">
        <f>ROUND((Table3[[#This Row],[Stock]]+Table3[[#This Row],[056 Order]]+Table3[[#This Row],[0789 Order]]+Table3[[#This Row],[0788 Order]]+Table3[[#This Row],[In Transit]])/Table3[[#This Row],[Schedule]]*30,0)</f>
        <v>45</v>
      </c>
      <c r="AA98" s="61" t="s">
        <v>95</v>
      </c>
    </row>
    <row r="99" spans="1:28" ht="20.25" customHeight="1" x14ac:dyDescent="0.25">
      <c r="A99" s="28">
        <v>103</v>
      </c>
      <c r="B99" s="28" t="s">
        <v>77</v>
      </c>
      <c r="C99" s="28">
        <v>943211</v>
      </c>
      <c r="D99" s="28">
        <v>48.6</v>
      </c>
      <c r="E99" s="28">
        <v>1.6</v>
      </c>
      <c r="F99" s="28">
        <v>5.81</v>
      </c>
      <c r="G99" s="28">
        <v>10.92</v>
      </c>
      <c r="H99" s="28" t="s">
        <v>78</v>
      </c>
      <c r="I99" s="28" t="s">
        <v>30</v>
      </c>
      <c r="J99" s="28" t="s">
        <v>48</v>
      </c>
      <c r="K99" s="28"/>
      <c r="L99" s="28">
        <v>152</v>
      </c>
      <c r="M99" s="47"/>
      <c r="N99" s="48">
        <v>2420716</v>
      </c>
      <c r="O99" s="39"/>
      <c r="P99" s="28">
        <f>'vsm req'!K108</f>
        <v>0</v>
      </c>
      <c r="Q99" s="28">
        <f t="shared" si="3"/>
        <v>1637.7856037759998</v>
      </c>
      <c r="R99" s="28"/>
      <c r="S99" s="28"/>
      <c r="T99" s="28" t="e">
        <f>ROUND((Q99+Table3[[#This Row],[In Transit]])/P99*30,0)</f>
        <v>#DIV/0!</v>
      </c>
      <c r="U99" s="29"/>
      <c r="V99" s="36"/>
      <c r="W99" s="28"/>
      <c r="X99" s="28"/>
      <c r="Y99" s="30" t="e">
        <f>IF((45-Table3[[#This Row],[Coverage post order]])&gt;0,Table3[[#This Row],[Schedule]]*1.5,0)</f>
        <v>#DIV/0!</v>
      </c>
      <c r="Z99" s="28" t="e">
        <f>ROUND((Table3[[#This Row],[Stock]]+Table3[[#This Row],[056 Order]]+Table3[[#This Row],[0789 Order]]+Table3[[#This Row],[0788 Order]]+Table3[[#This Row],[In Transit]])/Table3[[#This Row],[Schedule]]*30,0)</f>
        <v>#DIV/0!</v>
      </c>
      <c r="AA99" s="28"/>
    </row>
    <row r="100" spans="1:28" ht="20.25" customHeight="1" x14ac:dyDescent="0.25">
      <c r="A100" s="28">
        <v>104</v>
      </c>
      <c r="B100" s="28" t="s">
        <v>77</v>
      </c>
      <c r="C100" s="28">
        <v>943209</v>
      </c>
      <c r="D100" s="28">
        <v>48.6</v>
      </c>
      <c r="E100" s="28">
        <v>1.6</v>
      </c>
      <c r="F100" s="28">
        <v>6</v>
      </c>
      <c r="G100" s="28">
        <v>11.12</v>
      </c>
      <c r="H100" s="28" t="s">
        <v>78</v>
      </c>
      <c r="I100" s="28" t="s">
        <v>30</v>
      </c>
      <c r="J100" s="28" t="s">
        <v>48</v>
      </c>
      <c r="K100" s="28"/>
      <c r="L100" s="28">
        <v>0</v>
      </c>
      <c r="M100" s="29"/>
      <c r="N100" s="49">
        <v>1940925</v>
      </c>
      <c r="O100" s="28"/>
      <c r="P100" s="28">
        <f>'vsm req'!K109</f>
        <v>1000</v>
      </c>
      <c r="Q100" s="28">
        <f t="shared" si="3"/>
        <v>0</v>
      </c>
      <c r="R100" s="28"/>
      <c r="S100" s="28"/>
      <c r="T100" s="28">
        <f>ROUND((Q100+Table3[[#This Row],[In Transit]])/P100*30,0)</f>
        <v>0</v>
      </c>
      <c r="U100" s="29"/>
      <c r="V100" s="36">
        <v>1500</v>
      </c>
      <c r="W100" s="28"/>
      <c r="X100" s="30"/>
      <c r="Y100" s="30">
        <f>IF((45-Table3[[#This Row],[Coverage post order]])&gt;0,Table3[[#This Row],[Schedule]]*1.5,0)</f>
        <v>0</v>
      </c>
      <c r="Z100" s="28">
        <f>ROUND((Table3[[#This Row],[Stock]]+Table3[[#This Row],[056 Order]]+Table3[[#This Row],[0789 Order]]+Table3[[#This Row],[0788 Order]]+Table3[[#This Row],[In Transit]])/Table3[[#This Row],[Schedule]]*30,0)</f>
        <v>45</v>
      </c>
      <c r="AA100" s="61" t="s">
        <v>95</v>
      </c>
    </row>
    <row r="101" spans="1:28" ht="20.25" customHeight="1" x14ac:dyDescent="0.25">
      <c r="A101" s="56"/>
      <c r="B101" s="56" t="s">
        <v>77</v>
      </c>
      <c r="C101" s="56">
        <v>943211</v>
      </c>
      <c r="D101" s="56">
        <v>48.6</v>
      </c>
      <c r="E101" s="56">
        <v>1.6</v>
      </c>
      <c r="F101" s="56">
        <v>572.5</v>
      </c>
      <c r="G101" s="56"/>
      <c r="H101" s="56"/>
      <c r="I101" s="56"/>
      <c r="J101" s="56"/>
      <c r="K101" s="56"/>
      <c r="L101" s="56"/>
      <c r="M101" s="57"/>
      <c r="N101" s="33">
        <v>2420716</v>
      </c>
      <c r="O101" s="56"/>
      <c r="P101" s="56">
        <v>20000</v>
      </c>
      <c r="Q101" s="56">
        <f>((D101-E101)*E101*0.0246615*F101*L101)</f>
        <v>0</v>
      </c>
      <c r="R101" s="56"/>
      <c r="S101" s="56"/>
      <c r="T101" s="56">
        <f>ROUND((Q101+Table3[[#This Row],[In Transit]])/P101*30,0)</f>
        <v>0</v>
      </c>
      <c r="U101" s="57"/>
      <c r="V101" s="58">
        <v>30000</v>
      </c>
      <c r="W101" s="56"/>
      <c r="X101" s="59"/>
      <c r="Y101" s="59">
        <f>IF((45-Table3[[#This Row],[Coverage post order]])&gt;0,Table3[[#This Row],[Schedule]]*1.5,0)</f>
        <v>0</v>
      </c>
      <c r="Z101" s="56">
        <f>ROUND((Table3[[#This Row],[Stock]]+Table3[[#This Row],[056 Order]]+Table3[[#This Row],[0789 Order]]+Table3[[#This Row],[0788 Order]])/Table3[[#This Row],[Schedule]]*30,0)</f>
        <v>45</v>
      </c>
      <c r="AA101" s="61" t="s">
        <v>95</v>
      </c>
      <c r="AB101" t="s">
        <v>124</v>
      </c>
    </row>
    <row r="102" spans="1:28" ht="20.25" customHeight="1" x14ac:dyDescent="0.25">
      <c r="A102" s="35"/>
      <c r="B102" s="35"/>
      <c r="C102" s="20">
        <v>943210</v>
      </c>
      <c r="D102" s="20">
        <v>48.6</v>
      </c>
      <c r="E102" s="20">
        <v>2</v>
      </c>
      <c r="F102" s="20">
        <v>6.27</v>
      </c>
      <c r="G102" s="20"/>
      <c r="H102" s="20"/>
      <c r="I102" s="20"/>
      <c r="J102" s="20"/>
      <c r="K102" s="20"/>
      <c r="L102" s="20">
        <v>0</v>
      </c>
      <c r="M102" s="32">
        <v>3502301</v>
      </c>
      <c r="N102" s="33"/>
      <c r="O102" s="33"/>
      <c r="P102" s="20">
        <f>'vsm req'!K111</f>
        <v>12000</v>
      </c>
      <c r="Q102" s="20">
        <f>((D102-E102)*E102*0.0246615*F102*L102)</f>
        <v>0</v>
      </c>
      <c r="R102" s="20">
        <v>10718</v>
      </c>
      <c r="S102" s="20"/>
      <c r="T102" s="35">
        <f>ROUND((Q102+Table3[[#This Row],[In Transit]])/P102*30,0)</f>
        <v>27</v>
      </c>
      <c r="U102" s="32">
        <v>18000</v>
      </c>
      <c r="V102" s="33"/>
      <c r="W102" s="33"/>
      <c r="X102" s="33"/>
      <c r="Y102" s="34">
        <f>IF((45-Table3[[#This Row],[Coverage post order]])&gt;0,Table3[[#This Row],[Schedule]]*1.5,0)</f>
        <v>0</v>
      </c>
      <c r="Z102" s="33">
        <f>ROUND((Table3[[#This Row],[Stock]]+Table3[[#This Row],[056 Order]]+Table3[[#This Row],[0789 Order]]+Table3[[#This Row],[0788 Order]])/Table3[[#This Row],[Schedule]]*30,0)</f>
        <v>45</v>
      </c>
      <c r="AA102" s="41" t="s">
        <v>94</v>
      </c>
    </row>
    <row r="103" spans="1:28" ht="20.25" customHeight="1" x14ac:dyDescent="0.25">
      <c r="A103" s="35">
        <v>108</v>
      </c>
      <c r="B103" s="35"/>
      <c r="C103" s="20">
        <v>943210</v>
      </c>
      <c r="D103" s="20">
        <v>48.6</v>
      </c>
      <c r="E103" s="20">
        <v>2.2999999999999998</v>
      </c>
      <c r="F103" s="20">
        <v>6.27</v>
      </c>
      <c r="G103" s="20">
        <v>16.466000000000001</v>
      </c>
      <c r="H103" s="20"/>
      <c r="I103" s="20" t="s">
        <v>39</v>
      </c>
      <c r="J103" s="20" t="s">
        <v>48</v>
      </c>
      <c r="K103" s="20"/>
      <c r="L103" s="20">
        <v>822</v>
      </c>
      <c r="M103" s="32">
        <v>3549720</v>
      </c>
      <c r="N103" s="33"/>
      <c r="O103" s="33"/>
      <c r="P103" s="20">
        <f>'vsm req'!K114</f>
        <v>13000</v>
      </c>
      <c r="Q103" s="20">
        <f t="shared" si="3"/>
        <v>13535.293385601899</v>
      </c>
      <c r="R103" s="20">
        <v>27368</v>
      </c>
      <c r="S103" s="20"/>
      <c r="T103" s="35">
        <f>ROUND((Q103+Table3[[#This Row],[In Transit]])/P103*30,0)</f>
        <v>94</v>
      </c>
      <c r="U103" s="33">
        <f>1000+19500</f>
        <v>20500</v>
      </c>
      <c r="V103" s="33"/>
      <c r="W103" s="33"/>
      <c r="X103" s="33"/>
      <c r="Y103" s="34">
        <f>IF((45-Table3[[#This Row],[Coverage post order]])&gt;0,Table3[[#This Row],[Schedule]]*1.5,0)</f>
        <v>0</v>
      </c>
      <c r="Z103" s="35">
        <f>ROUND((Table3[[#This Row],[Stock]]+Table3[[#This Row],[056 Order]]+Table3[[#This Row],[0789 Order]]+Table3[[#This Row],[0788 Order]]+Table3[[#This Row],[In Transit]])/Table3[[#This Row],[Schedule]]*30,0)</f>
        <v>142</v>
      </c>
      <c r="AA103" s="41" t="s">
        <v>94</v>
      </c>
    </row>
    <row r="104" spans="1:28" ht="20.25" customHeight="1" x14ac:dyDescent="0.25">
      <c r="A104" s="35">
        <v>109</v>
      </c>
      <c r="B104" s="35"/>
      <c r="C104" s="20"/>
      <c r="D104" s="20">
        <v>48.6</v>
      </c>
      <c r="E104" s="20">
        <v>3.5</v>
      </c>
      <c r="F104" s="20">
        <v>4.6500000000000004</v>
      </c>
      <c r="G104" s="20">
        <v>18.102</v>
      </c>
      <c r="H104" s="20" t="s">
        <v>79</v>
      </c>
      <c r="I104" s="20" t="s">
        <v>30</v>
      </c>
      <c r="J104" s="20" t="s">
        <v>48</v>
      </c>
      <c r="K104" s="20"/>
      <c r="L104" s="20">
        <v>0</v>
      </c>
      <c r="M104" s="32">
        <v>3502422</v>
      </c>
      <c r="N104" s="33">
        <v>3909479</v>
      </c>
      <c r="O104" s="33"/>
      <c r="P104" s="20">
        <f>'vsm req'!K115</f>
        <v>0</v>
      </c>
      <c r="Q104" s="20">
        <f t="shared" si="3"/>
        <v>0</v>
      </c>
      <c r="R104" s="20"/>
      <c r="S104" s="20"/>
      <c r="T104" s="35" t="e">
        <f>ROUND((Q104+Table3[[#This Row],[In Transit]])/P104*30,0)</f>
        <v>#DIV/0!</v>
      </c>
      <c r="U104" s="32"/>
      <c r="V104" s="40"/>
      <c r="W104" s="33"/>
      <c r="X104" s="33"/>
      <c r="Y104" s="34" t="e">
        <f>IF((45-Table3[[#This Row],[Coverage post order]])&gt;0,Table3[[#This Row],[Schedule]]*1.5,0)</f>
        <v>#DIV/0!</v>
      </c>
      <c r="Z10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04" s="35"/>
    </row>
    <row r="105" spans="1:28" ht="20.25" customHeight="1" x14ac:dyDescent="0.25">
      <c r="A105" s="35">
        <v>110</v>
      </c>
      <c r="B105" s="35"/>
      <c r="C105" s="20">
        <v>943209</v>
      </c>
      <c r="D105" s="20">
        <v>48.6</v>
      </c>
      <c r="E105" s="20">
        <v>3.5</v>
      </c>
      <c r="F105" s="20">
        <v>6.05</v>
      </c>
      <c r="G105" s="20">
        <v>23.356999999999999</v>
      </c>
      <c r="H105" s="20" t="s">
        <v>79</v>
      </c>
      <c r="I105" s="20" t="s">
        <v>30</v>
      </c>
      <c r="J105" s="20" t="s">
        <v>48</v>
      </c>
      <c r="K105" s="20"/>
      <c r="L105" s="20">
        <v>2007</v>
      </c>
      <c r="M105" s="32">
        <v>3502422</v>
      </c>
      <c r="N105" s="33"/>
      <c r="O105" s="33"/>
      <c r="P105" s="20">
        <f>'vsm req'!K116</f>
        <v>20000</v>
      </c>
      <c r="Q105" s="20">
        <f t="shared" si="3"/>
        <v>47267.955910271245</v>
      </c>
      <c r="R105" s="20">
        <v>0</v>
      </c>
      <c r="S105" s="20"/>
      <c r="T105" s="28">
        <f>ROUND((Q105+Table3[[#This Row],[In Transit]])/P105*30,0)</f>
        <v>71</v>
      </c>
      <c r="U105" s="32"/>
      <c r="V105" s="33"/>
      <c r="W105" s="33"/>
      <c r="X105" s="33"/>
      <c r="Y105" s="34">
        <f>IF((45-Table3[[#This Row],[Coverage post order]])&gt;0,Table3[[#This Row],[Schedule]]*1.5,0)</f>
        <v>0</v>
      </c>
      <c r="Z105" s="35">
        <f>ROUND((Table3[[#This Row],[Stock]]+Table3[[#This Row],[056 Order]]+Table3[[#This Row],[0789 Order]]+Table3[[#This Row],[0788 Order]]+Table3[[#This Row],[In Transit]])/Table3[[#This Row],[Schedule]]*30,0)</f>
        <v>71</v>
      </c>
      <c r="AA105" s="35"/>
    </row>
    <row r="106" spans="1:28" ht="20.25" customHeight="1" x14ac:dyDescent="0.25">
      <c r="A106" s="35">
        <v>111</v>
      </c>
      <c r="B106" s="35"/>
      <c r="C106" s="20"/>
      <c r="D106" s="20">
        <v>50.8</v>
      </c>
      <c r="E106" s="20">
        <v>2.6</v>
      </c>
      <c r="F106" s="20">
        <v>5.94</v>
      </c>
      <c r="G106" s="20">
        <v>18.542999999999999</v>
      </c>
      <c r="H106" s="20"/>
      <c r="I106" s="20" t="s">
        <v>30</v>
      </c>
      <c r="J106" s="20" t="s">
        <v>48</v>
      </c>
      <c r="K106" s="20"/>
      <c r="L106" s="20">
        <v>947</v>
      </c>
      <c r="M106" s="32"/>
      <c r="N106" s="33"/>
      <c r="O106" s="33"/>
      <c r="P106" s="20">
        <f>'vsm req'!K117</f>
        <v>0</v>
      </c>
      <c r="Q106" s="20">
        <f t="shared" si="3"/>
        <v>17385.064191752401</v>
      </c>
      <c r="R106" s="20"/>
      <c r="S106" s="20"/>
      <c r="T106" s="35" t="e">
        <f>ROUND((Q106+Table3[[#This Row],[In Transit]])/P106*30,0)</f>
        <v>#DIV/0!</v>
      </c>
      <c r="U106" s="32"/>
      <c r="V106" s="33"/>
      <c r="W106" s="33"/>
      <c r="X106" s="33"/>
      <c r="Y106" s="34" t="e">
        <f>IF((45-Table3[[#This Row],[Coverage post order]])&gt;0,Table3[[#This Row],[Schedule]]*1.5,0)</f>
        <v>#DIV/0!</v>
      </c>
      <c r="Z106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06" s="35"/>
    </row>
    <row r="107" spans="1:28" ht="20.25" customHeight="1" x14ac:dyDescent="0.25">
      <c r="A107" s="35">
        <v>112</v>
      </c>
      <c r="B107" s="35"/>
      <c r="C107" s="20">
        <v>943211</v>
      </c>
      <c r="D107" s="20">
        <v>50.8</v>
      </c>
      <c r="E107" s="20">
        <v>2.6</v>
      </c>
      <c r="F107" s="20">
        <v>6</v>
      </c>
      <c r="G107" s="20">
        <v>18.542999999999999</v>
      </c>
      <c r="H107" s="20"/>
      <c r="I107" s="20" t="s">
        <v>30</v>
      </c>
      <c r="J107" s="20" t="s">
        <v>48</v>
      </c>
      <c r="K107" s="20"/>
      <c r="L107" s="20">
        <v>778</v>
      </c>
      <c r="M107" s="32">
        <v>4155237</v>
      </c>
      <c r="N107" s="33"/>
      <c r="O107" s="33"/>
      <c r="P107" s="20">
        <f>'vsm req'!K118</f>
        <v>5000</v>
      </c>
      <c r="Q107" s="20">
        <f t="shared" si="3"/>
        <v>14426.823612239999</v>
      </c>
      <c r="R107" s="20"/>
      <c r="S107" s="20"/>
      <c r="T107" s="35">
        <f>ROUND((Q107+Table3[[#This Row],[In Transit]])/P107*30,0)</f>
        <v>87</v>
      </c>
      <c r="U107" s="33"/>
      <c r="V107" s="33"/>
      <c r="W107" s="33"/>
      <c r="X107" s="33"/>
      <c r="Y107" s="34">
        <f>IF((45-Table3[[#This Row],[Coverage post order]])&gt;0,Table3[[#This Row],[Schedule]]*1.5,0)</f>
        <v>0</v>
      </c>
      <c r="Z107" s="35">
        <f>ROUND((Table3[[#This Row],[Stock]]+Table3[[#This Row],[056 Order]]+Table3[[#This Row],[0789 Order]]+Table3[[#This Row],[0788 Order]]+Table3[[#This Row],[In Transit]])/Table3[[#This Row],[Schedule]]*30,0)</f>
        <v>87</v>
      </c>
      <c r="AA107" s="35"/>
    </row>
    <row r="108" spans="1:28" ht="20.25" customHeight="1" x14ac:dyDescent="0.25">
      <c r="A108" s="35">
        <v>113</v>
      </c>
      <c r="B108" s="35"/>
      <c r="C108" s="20">
        <v>943209</v>
      </c>
      <c r="D108" s="20">
        <v>54</v>
      </c>
      <c r="E108" s="20">
        <v>3</v>
      </c>
      <c r="F108" s="20">
        <v>5.91</v>
      </c>
      <c r="G108" s="20">
        <v>21.847000000000001</v>
      </c>
      <c r="H108" s="20" t="s">
        <v>80</v>
      </c>
      <c r="I108" s="20" t="s">
        <v>65</v>
      </c>
      <c r="J108" s="20" t="s">
        <v>48</v>
      </c>
      <c r="K108" s="20"/>
      <c r="L108" s="20">
        <v>2190</v>
      </c>
      <c r="M108" s="32"/>
      <c r="N108" s="33"/>
      <c r="O108" s="33">
        <v>3500391</v>
      </c>
      <c r="P108" s="20">
        <f>'vsm req'!K119</f>
        <v>20000</v>
      </c>
      <c r="Q108" s="20">
        <f t="shared" si="3"/>
        <v>48836.273237550005</v>
      </c>
      <c r="R108" s="20">
        <v>0</v>
      </c>
      <c r="S108" s="20"/>
      <c r="T108" s="35">
        <f>ROUND((Q108+Table3[[#This Row],[In Transit]])/P108*30,0)</f>
        <v>73</v>
      </c>
      <c r="U108" s="32"/>
      <c r="V108" s="33"/>
      <c r="W108" s="33"/>
      <c r="X108" s="33"/>
      <c r="Y108" s="34">
        <f>IF((45-Table3[[#This Row],[Coverage post order]])&gt;0,Table3[[#This Row],[Schedule]]*1.5,0)</f>
        <v>0</v>
      </c>
      <c r="Z108" s="35">
        <f>ROUND((Table3[[#This Row],[Stock]]+Table3[[#This Row],[056 Order]]+Table3[[#This Row],[0789 Order]]+Table3[[#This Row],[0788 Order]]+Table3[[#This Row],[In Transit]])/Table3[[#This Row],[Schedule]]*30,0)</f>
        <v>73</v>
      </c>
      <c r="AA108" s="35"/>
    </row>
    <row r="109" spans="1:28" ht="20.25" customHeight="1" x14ac:dyDescent="0.25">
      <c r="A109" s="28">
        <v>114</v>
      </c>
      <c r="B109" s="28"/>
      <c r="C109" s="28">
        <v>943209</v>
      </c>
      <c r="D109" s="28">
        <v>57.15</v>
      </c>
      <c r="E109" s="28">
        <v>2.5</v>
      </c>
      <c r="F109" s="28">
        <v>5.71</v>
      </c>
      <c r="G109" s="28">
        <v>19.239000000000001</v>
      </c>
      <c r="H109" s="28" t="s">
        <v>81</v>
      </c>
      <c r="I109" s="28" t="s">
        <v>30</v>
      </c>
      <c r="J109" s="28" t="s">
        <v>48</v>
      </c>
      <c r="K109" s="28"/>
      <c r="L109" s="28">
        <v>3115</v>
      </c>
      <c r="M109" s="29">
        <v>3907863</v>
      </c>
      <c r="N109" s="28">
        <v>3907863</v>
      </c>
      <c r="O109" s="28"/>
      <c r="P109" s="28">
        <v>1</v>
      </c>
      <c r="Q109" s="28">
        <f t="shared" si="3"/>
        <v>59929.937198709369</v>
      </c>
      <c r="R109" s="28">
        <v>64973</v>
      </c>
      <c r="S109" s="28"/>
      <c r="T109" s="28">
        <f>ROUND((Q109+Table3[[#This Row],[In Transit]])/P109*30,0)</f>
        <v>3747088</v>
      </c>
      <c r="U109" s="28">
        <v>67000</v>
      </c>
      <c r="V109" s="36"/>
      <c r="W109" s="28"/>
      <c r="X109" s="28"/>
      <c r="Y109" s="30">
        <f>IF((45-Table3[[#This Row],[Coverage post order]])&gt;0,Table3[[#This Row],[Schedule]]*1.5,0)</f>
        <v>0</v>
      </c>
      <c r="Z109" s="28">
        <f>ROUND((Table3[[#This Row],[Stock]]+Table3[[#This Row],[056 Order]]+Table3[[#This Row],[0789 Order]]+Table3[[#This Row],[0788 Order]]+Table3[[#This Row],[In Transit]])/Table3[[#This Row],[Schedule]]*30,0)</f>
        <v>5757088</v>
      </c>
      <c r="AA109" s="31" t="s">
        <v>125</v>
      </c>
    </row>
    <row r="110" spans="1:28" ht="20.25" customHeight="1" x14ac:dyDescent="0.25">
      <c r="A110" s="35">
        <v>115</v>
      </c>
      <c r="B110" s="35"/>
      <c r="C110" s="20"/>
      <c r="D110" s="20">
        <v>57.15</v>
      </c>
      <c r="E110" s="20">
        <v>2.5</v>
      </c>
      <c r="F110" s="20">
        <v>5.75</v>
      </c>
      <c r="G110" s="20">
        <v>19.373999999999999</v>
      </c>
      <c r="H110" s="20" t="s">
        <v>81</v>
      </c>
      <c r="I110" s="20" t="s">
        <v>30</v>
      </c>
      <c r="J110" s="20" t="s">
        <v>48</v>
      </c>
      <c r="K110" s="20"/>
      <c r="L110" s="20">
        <v>1357</v>
      </c>
      <c r="M110" s="32"/>
      <c r="N110" s="33"/>
      <c r="O110" s="33"/>
      <c r="P110" s="20">
        <f>'vsm req'!K121</f>
        <v>0</v>
      </c>
      <c r="Q110" s="20">
        <f t="shared" si="3"/>
        <v>26290.409800453122</v>
      </c>
      <c r="R110" s="20"/>
      <c r="S110" s="20"/>
      <c r="T110" s="35" t="e">
        <f>ROUND((Q110+Table3[[#This Row],[In Transit]])/P110*30,0)</f>
        <v>#DIV/0!</v>
      </c>
      <c r="U110" s="32"/>
      <c r="V110" s="33"/>
      <c r="W110" s="33"/>
      <c r="X110" s="33"/>
      <c r="Y110" s="34" t="e">
        <f>IF((45-Table3[[#This Row],[Coverage post order]])&gt;0,Table3[[#This Row],[Schedule]]*1.5,0)</f>
        <v>#DIV/0!</v>
      </c>
      <c r="Z11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10" s="35" t="s">
        <v>126</v>
      </c>
    </row>
    <row r="111" spans="1:28" ht="20.25" customHeight="1" x14ac:dyDescent="0.25">
      <c r="A111" s="35">
        <v>116</v>
      </c>
      <c r="B111" s="35"/>
      <c r="C111" s="20">
        <v>943209</v>
      </c>
      <c r="D111" s="20">
        <v>57.15</v>
      </c>
      <c r="E111" s="20">
        <v>2.5</v>
      </c>
      <c r="F111" s="20">
        <v>5.95</v>
      </c>
      <c r="G111" s="20">
        <v>20.047999999999998</v>
      </c>
      <c r="H111" s="20" t="s">
        <v>81</v>
      </c>
      <c r="I111" s="20" t="s">
        <v>30</v>
      </c>
      <c r="J111" s="20" t="s">
        <v>48</v>
      </c>
      <c r="K111" s="20"/>
      <c r="L111" s="20">
        <v>666</v>
      </c>
      <c r="M111" s="32">
        <v>4045220</v>
      </c>
      <c r="N111" s="33">
        <v>4045220</v>
      </c>
      <c r="O111" s="33"/>
      <c r="P111" s="20">
        <f>'vsm req'!K122</f>
        <v>0</v>
      </c>
      <c r="Q111" s="20">
        <f t="shared" si="3"/>
        <v>13351.83197158125</v>
      </c>
      <c r="R111" s="20">
        <v>0</v>
      </c>
      <c r="S111" s="20"/>
      <c r="T111" s="35" t="e">
        <f>ROUND((Q111+Table3[[#This Row],[In Transit]])/P111*30,0)</f>
        <v>#DIV/0!</v>
      </c>
      <c r="U111" s="33">
        <v>17000</v>
      </c>
      <c r="V111" s="40"/>
      <c r="W111" s="33"/>
      <c r="X111" s="33"/>
      <c r="Y111" s="34" t="e">
        <f>IF((45-Table3[[#This Row],[Coverage post order]])&gt;0,Table3[[#This Row],[Schedule]]*1.5,0)</f>
        <v>#DIV/0!</v>
      </c>
      <c r="Z11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11" s="35"/>
    </row>
    <row r="112" spans="1:28" ht="20.25" customHeight="1" x14ac:dyDescent="0.25">
      <c r="A112" s="28">
        <v>117</v>
      </c>
      <c r="B112" s="28"/>
      <c r="C112" s="28">
        <v>943209</v>
      </c>
      <c r="D112" s="28">
        <v>57.15</v>
      </c>
      <c r="E112" s="28">
        <v>2.5</v>
      </c>
      <c r="F112" s="28">
        <v>6.1</v>
      </c>
      <c r="G112" s="28">
        <v>20.553000000000001</v>
      </c>
      <c r="H112" s="28" t="s">
        <v>81</v>
      </c>
      <c r="I112" s="28" t="s">
        <v>30</v>
      </c>
      <c r="J112" s="28" t="s">
        <v>48</v>
      </c>
      <c r="K112" s="28"/>
      <c r="L112" s="28">
        <v>889</v>
      </c>
      <c r="M112" s="29">
        <v>3910001</v>
      </c>
      <c r="N112" s="28">
        <v>3910001</v>
      </c>
      <c r="O112" s="28"/>
      <c r="P112" s="28">
        <f>'vsm req'!K123</f>
        <v>118000</v>
      </c>
      <c r="Q112" s="28">
        <f t="shared" si="3"/>
        <v>18271.796905818748</v>
      </c>
      <c r="R112" s="28">
        <v>64934</v>
      </c>
      <c r="S112" s="28"/>
      <c r="T112" s="28">
        <f>ROUND((Q112+Table3[[#This Row],[In Transit]])/P112*30,0)</f>
        <v>21</v>
      </c>
      <c r="U112" s="28">
        <v>43000</v>
      </c>
      <c r="V112" s="36">
        <v>150000</v>
      </c>
      <c r="W112" s="28"/>
      <c r="X112" s="28"/>
      <c r="Y112" s="30">
        <f>IF((45-Table3[[#This Row],[Coverage post order]])&gt;0,Table3[[#This Row],[Schedule]]*1.5,0)</f>
        <v>0</v>
      </c>
      <c r="Z112" s="28">
        <f>ROUND((Table3[[#This Row],[Stock]]+Table3[[#This Row],[056 Order]]+Table3[[#This Row],[0789 Order]]+Table3[[#This Row],[0788 Order]]+Table3[[#This Row],[In Transit]])/Table3[[#This Row],[Schedule]]*30,0)</f>
        <v>70</v>
      </c>
      <c r="AA112" s="31" t="s">
        <v>125</v>
      </c>
    </row>
    <row r="113" spans="1:28" s="60" customFormat="1" ht="20.25" customHeight="1" x14ac:dyDescent="0.25">
      <c r="A113" s="56"/>
      <c r="B113" s="56"/>
      <c r="C113" s="56">
        <v>943209</v>
      </c>
      <c r="D113" s="56">
        <v>57.15</v>
      </c>
      <c r="E113" s="56">
        <v>2.5</v>
      </c>
      <c r="F113" s="56">
        <v>6.02</v>
      </c>
      <c r="G113" s="56"/>
      <c r="H113" s="56"/>
      <c r="I113" s="56"/>
      <c r="J113" s="56"/>
      <c r="K113" s="56"/>
      <c r="L113" s="56"/>
      <c r="M113" s="57"/>
      <c r="N113" s="56">
        <v>3520439</v>
      </c>
      <c r="O113" s="56"/>
      <c r="P113" s="56">
        <v>60000</v>
      </c>
      <c r="Q113" s="56">
        <f>((D113-E113)*E113*0.0246615*F113*L113)</f>
        <v>0</v>
      </c>
      <c r="R113" s="56"/>
      <c r="S113" s="56"/>
      <c r="T113" s="56">
        <f>ROUND((Q113+Table3[[#This Row],[In Transit]])/P113*30,0)</f>
        <v>0</v>
      </c>
      <c r="U113" s="57"/>
      <c r="V113" s="58">
        <v>90000</v>
      </c>
      <c r="W113" s="56"/>
      <c r="X113" s="56"/>
      <c r="Y113" s="59">
        <f>IF((45-Table3[[#This Row],[Coverage post order]])&gt;0,Table3[[#This Row],[Schedule]]*1.5,0)</f>
        <v>0</v>
      </c>
      <c r="Z113" s="56">
        <f>ROUND((Table3[[#This Row],[Stock]]+Table3[[#This Row],[056 Order]]+Table3[[#This Row],[0789 Order]]+Table3[[#This Row],[0788 Order]])/Table3[[#This Row],[Schedule]]*30,0)</f>
        <v>45</v>
      </c>
      <c r="AA113" s="61" t="s">
        <v>95</v>
      </c>
      <c r="AB113" s="60" t="s">
        <v>127</v>
      </c>
    </row>
    <row r="114" spans="1:28" ht="20.25" customHeight="1" x14ac:dyDescent="0.25">
      <c r="A114" s="35">
        <v>118</v>
      </c>
      <c r="B114" s="35"/>
      <c r="C114" s="20">
        <v>943210</v>
      </c>
      <c r="D114" s="20">
        <v>57.15</v>
      </c>
      <c r="E114" s="20">
        <v>3</v>
      </c>
      <c r="F114" s="20">
        <v>5.15</v>
      </c>
      <c r="G114" s="20">
        <v>22.635000000000002</v>
      </c>
      <c r="H114" s="20"/>
      <c r="I114" s="20" t="s">
        <v>30</v>
      </c>
      <c r="J114" s="20" t="s">
        <v>48</v>
      </c>
      <c r="K114" s="20"/>
      <c r="L114" s="20">
        <v>0</v>
      </c>
      <c r="M114" s="32">
        <v>3501105</v>
      </c>
      <c r="N114" s="33"/>
      <c r="O114" s="33"/>
      <c r="P114" s="20">
        <f>'vsm req'!K124</f>
        <v>0</v>
      </c>
      <c r="Q114" s="20">
        <f t="shared" si="3"/>
        <v>0</v>
      </c>
      <c r="R114" s="20"/>
      <c r="S114" s="20"/>
      <c r="T114" s="35" t="e">
        <f>ROUND((Q114+Table3[[#This Row],[In Transit]])/P114*30,0)</f>
        <v>#DIV/0!</v>
      </c>
      <c r="U114" s="32"/>
      <c r="V114" s="33"/>
      <c r="W114" s="33"/>
      <c r="X114" s="33"/>
      <c r="Y114" s="34" t="e">
        <f>IF((45-Table3[[#This Row],[Coverage post order]])&gt;0,Table3[[#This Row],[Schedule]]*1.5,0)</f>
        <v>#DIV/0!</v>
      </c>
      <c r="Z114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14" s="35">
        <v>56</v>
      </c>
    </row>
    <row r="115" spans="1:28" ht="20.25" customHeight="1" x14ac:dyDescent="0.25">
      <c r="A115" s="35"/>
      <c r="B115" s="35"/>
      <c r="C115" s="20">
        <v>943210</v>
      </c>
      <c r="D115" s="20">
        <v>57.15</v>
      </c>
      <c r="E115" s="20">
        <v>3</v>
      </c>
      <c r="F115" s="20">
        <v>5.65</v>
      </c>
      <c r="G115" s="20"/>
      <c r="H115" s="20"/>
      <c r="I115" s="20" t="s">
        <v>30</v>
      </c>
      <c r="J115" s="20"/>
      <c r="K115" s="20"/>
      <c r="L115" s="20">
        <v>448</v>
      </c>
      <c r="M115" s="32">
        <v>3501105</v>
      </c>
      <c r="N115" s="33"/>
      <c r="O115" s="33"/>
      <c r="P115" s="20">
        <f>'vsm req'!K125</f>
        <v>22000</v>
      </c>
      <c r="Q115" s="20">
        <f>((D115-E115)*E115*0.0246615*F115*L115)</f>
        <v>10140.647020560002</v>
      </c>
      <c r="R115" s="20">
        <v>18892</v>
      </c>
      <c r="S115" s="20"/>
      <c r="T115" s="35">
        <f>ROUND((Q115+Table3[[#This Row],[In Transit]])/P115*30,0)</f>
        <v>40</v>
      </c>
      <c r="U115" s="33">
        <f>5000+33000</f>
        <v>38000</v>
      </c>
      <c r="V115" s="33"/>
      <c r="W115" s="33"/>
      <c r="X115" s="33"/>
      <c r="Y115" s="34">
        <f>IF((45-Table3[[#This Row],[Coverage post order]])&gt;0,Table3[[#This Row],[Schedule]]*1.5,0)</f>
        <v>0</v>
      </c>
      <c r="Z115" s="33">
        <f>ROUND((Table3[[#This Row],[Stock]]+Table3[[#This Row],[056 Order]]+Table3[[#This Row],[0789 Order]]+Table3[[#This Row],[0788 Order]])/Table3[[#This Row],[Schedule]]*30,0)</f>
        <v>66</v>
      </c>
      <c r="AA115" s="41" t="s">
        <v>94</v>
      </c>
    </row>
    <row r="116" spans="1:28" ht="20.25" customHeight="1" x14ac:dyDescent="0.25">
      <c r="A116" s="35">
        <v>119</v>
      </c>
      <c r="B116" s="35"/>
      <c r="C116" s="20">
        <v>943209</v>
      </c>
      <c r="D116" s="20">
        <v>60.3</v>
      </c>
      <c r="E116" s="20">
        <v>2</v>
      </c>
      <c r="F116" s="20">
        <v>5.9</v>
      </c>
      <c r="G116" s="20">
        <v>14.654999999999999</v>
      </c>
      <c r="H116" s="20" t="s">
        <v>82</v>
      </c>
      <c r="I116" s="20" t="s">
        <v>30</v>
      </c>
      <c r="J116" s="20" t="s">
        <v>48</v>
      </c>
      <c r="K116" s="20"/>
      <c r="L116" s="20">
        <v>0</v>
      </c>
      <c r="M116" s="32"/>
      <c r="N116" s="33"/>
      <c r="O116" s="33">
        <v>3905049</v>
      </c>
      <c r="P116" s="20">
        <f>'vsm req'!K126</f>
        <v>15000</v>
      </c>
      <c r="Q116" s="20">
        <f t="shared" si="3"/>
        <v>0</v>
      </c>
      <c r="R116" s="20">
        <v>0</v>
      </c>
      <c r="S116" s="20"/>
      <c r="T116" s="28">
        <f>ROUND((Q116+Table3[[#This Row],[In Transit]])/P116*30,0)</f>
        <v>0</v>
      </c>
      <c r="U116" s="32"/>
      <c r="V116" s="33"/>
      <c r="W116" s="33">
        <v>120000</v>
      </c>
      <c r="X116" s="33"/>
      <c r="Y116" s="34">
        <f>IF((45-Table3[[#This Row],[Coverage post order]])&gt;0,Table3[[#This Row],[Schedule]]*1.5,0)</f>
        <v>0</v>
      </c>
      <c r="Z116" s="35">
        <f>ROUND((Table3[[#This Row],[Stock]]+Table3[[#This Row],[056 Order]]+Table3[[#This Row],[0789 Order]]+Table3[[#This Row],[0788 Order]]+Table3[[#This Row],[In Transit]])/Table3[[#This Row],[Schedule]]*30,0)</f>
        <v>240</v>
      </c>
      <c r="AA116" s="38">
        <v>788</v>
      </c>
    </row>
    <row r="117" spans="1:28" ht="20.25" customHeight="1" x14ac:dyDescent="0.25">
      <c r="A117" s="35">
        <v>120</v>
      </c>
      <c r="B117" s="35"/>
      <c r="C117" s="20">
        <v>943209</v>
      </c>
      <c r="D117" s="20">
        <v>60.3</v>
      </c>
      <c r="E117" s="20">
        <v>2</v>
      </c>
      <c r="F117" s="20">
        <v>6</v>
      </c>
      <c r="G117" s="20">
        <v>14.654999999999999</v>
      </c>
      <c r="H117" s="20" t="s">
        <v>82</v>
      </c>
      <c r="I117" s="20" t="s">
        <v>30</v>
      </c>
      <c r="J117" s="20" t="s">
        <v>48</v>
      </c>
      <c r="K117" s="20"/>
      <c r="L117" s="20">
        <v>563</v>
      </c>
      <c r="M117" s="32">
        <v>3702875</v>
      </c>
      <c r="N117" s="33"/>
      <c r="O117" s="32">
        <v>3702875</v>
      </c>
      <c r="P117" s="20">
        <f>'vsm req'!K127</f>
        <v>39000</v>
      </c>
      <c r="Q117" s="20">
        <f t="shared" si="3"/>
        <v>9713.5433801999989</v>
      </c>
      <c r="R117" s="20">
        <v>0</v>
      </c>
      <c r="S117" s="20"/>
      <c r="T117" s="35">
        <f>ROUND((Q117+Table3[[#This Row],[In Transit]])/P117*30,0)</f>
        <v>7</v>
      </c>
      <c r="U117" s="33"/>
      <c r="V117" s="33"/>
      <c r="W117" s="32">
        <v>58500</v>
      </c>
      <c r="X117" s="33"/>
      <c r="Y117" s="34">
        <f>IF((45-Table3[[#This Row],[Coverage post order]])&gt;0,Table3[[#This Row],[Schedule]]*1.5,0)</f>
        <v>0</v>
      </c>
      <c r="Z117" s="35">
        <f>ROUND((Table3[[#This Row],[Stock]]+Table3[[#This Row],[056 Order]]+Table3[[#This Row],[0789 Order]]+Table3[[#This Row],[0788 Order]]+Table3[[#This Row],[In Transit]])/Table3[[#This Row],[Schedule]]*30,0)</f>
        <v>52</v>
      </c>
      <c r="AA117" s="41" t="s">
        <v>96</v>
      </c>
    </row>
    <row r="118" spans="1:28" ht="20.25" customHeight="1" x14ac:dyDescent="0.25">
      <c r="A118" s="35">
        <v>121</v>
      </c>
      <c r="B118" s="35" t="s">
        <v>83</v>
      </c>
      <c r="C118" s="20">
        <v>943211</v>
      </c>
      <c r="D118" s="20">
        <v>63.5</v>
      </c>
      <c r="E118" s="20">
        <v>1.6</v>
      </c>
      <c r="F118" s="20">
        <v>6.05</v>
      </c>
      <c r="G118" s="20">
        <v>14.17</v>
      </c>
      <c r="H118" s="20" t="s">
        <v>84</v>
      </c>
      <c r="I118" s="20" t="s">
        <v>30</v>
      </c>
      <c r="J118" s="20" t="s">
        <v>48</v>
      </c>
      <c r="K118" s="20"/>
      <c r="L118" s="20">
        <v>0</v>
      </c>
      <c r="M118" s="32"/>
      <c r="N118" s="33"/>
      <c r="O118" s="33">
        <v>3500641</v>
      </c>
      <c r="P118" s="20">
        <f>'vsm req'!K128</f>
        <v>0</v>
      </c>
      <c r="Q118" s="20">
        <f t="shared" si="3"/>
        <v>0</v>
      </c>
      <c r="R118" s="20"/>
      <c r="S118" s="20"/>
      <c r="T118" s="28" t="e">
        <f>ROUND((Q118+Table3[[#This Row],[In Transit]])/P118*30,0)</f>
        <v>#DIV/0!</v>
      </c>
      <c r="U118" s="32"/>
      <c r="V118" s="33"/>
      <c r="W118" s="33">
        <v>4000</v>
      </c>
      <c r="X118" s="33"/>
      <c r="Y118" s="34" t="e">
        <f>IF((45-Table3[[#This Row],[Coverage post order]])&gt;0,Table3[[#This Row],[Schedule]]*1.5,0)</f>
        <v>#DIV/0!</v>
      </c>
      <c r="Z118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18" s="35">
        <v>788</v>
      </c>
    </row>
    <row r="119" spans="1:28" ht="20.25" customHeight="1" x14ac:dyDescent="0.25">
      <c r="A119" s="35">
        <v>122</v>
      </c>
      <c r="B119" s="35" t="s">
        <v>83</v>
      </c>
      <c r="C119" s="20">
        <v>943211</v>
      </c>
      <c r="D119" s="20">
        <v>63.5</v>
      </c>
      <c r="E119" s="20">
        <v>1.6</v>
      </c>
      <c r="F119" s="20">
        <v>6.06</v>
      </c>
      <c r="G119" s="20"/>
      <c r="H119" s="20" t="s">
        <v>84</v>
      </c>
      <c r="I119" s="20" t="s">
        <v>30</v>
      </c>
      <c r="J119" s="20" t="s">
        <v>48</v>
      </c>
      <c r="K119" s="20"/>
      <c r="L119" s="20">
        <v>53</v>
      </c>
      <c r="M119" s="32"/>
      <c r="N119" s="33"/>
      <c r="O119" s="33">
        <v>3751498</v>
      </c>
      <c r="P119" s="20">
        <f>'vsm req'!K129</f>
        <v>13000</v>
      </c>
      <c r="Q119" s="20">
        <f t="shared" si="3"/>
        <v>784.47410765280006</v>
      </c>
      <c r="R119" s="20"/>
      <c r="S119" s="20"/>
      <c r="T119" s="35">
        <f>ROUND((Q119+Table3[[#This Row],[In Transit]])/P119*30,0)</f>
        <v>2</v>
      </c>
      <c r="U119" s="32"/>
      <c r="V119" s="33"/>
      <c r="W119" s="33">
        <v>19500</v>
      </c>
      <c r="X119" s="33"/>
      <c r="Y119" s="34">
        <f>IF((45-Table3[[#This Row],[Coverage post order]])&gt;0,Table3[[#This Row],[Schedule]]*1.5,0)</f>
        <v>0</v>
      </c>
      <c r="Z119" s="35">
        <f>ROUND((Table3[[#This Row],[Stock]]+Table3[[#This Row],[056 Order]]+Table3[[#This Row],[0789 Order]]+Table3[[#This Row],[0788 Order]]+Table3[[#This Row],[In Transit]])/Table3[[#This Row],[Schedule]]*30,0)</f>
        <v>47</v>
      </c>
      <c r="AA119" s="41" t="s">
        <v>96</v>
      </c>
    </row>
    <row r="120" spans="1:28" ht="20.25" customHeight="1" x14ac:dyDescent="0.25">
      <c r="A120" s="35">
        <v>123</v>
      </c>
      <c r="B120" s="35" t="s">
        <v>83</v>
      </c>
      <c r="C120" s="20"/>
      <c r="D120" s="20">
        <v>63.5</v>
      </c>
      <c r="E120" s="20">
        <v>1.6</v>
      </c>
      <c r="F120" s="20">
        <v>6.1210000000000004</v>
      </c>
      <c r="G120" s="20"/>
      <c r="H120" s="20"/>
      <c r="I120" s="20" t="s">
        <v>30</v>
      </c>
      <c r="J120" s="20" t="s">
        <v>48</v>
      </c>
      <c r="K120" s="20"/>
      <c r="L120" s="20">
        <v>1300</v>
      </c>
      <c r="M120" s="32"/>
      <c r="N120" s="33"/>
      <c r="O120" s="33"/>
      <c r="P120" s="20">
        <f>'vsm req'!K130</f>
        <v>0</v>
      </c>
      <c r="Q120" s="20">
        <f t="shared" si="3"/>
        <v>19435.505999208002</v>
      </c>
      <c r="R120" s="20">
        <v>0</v>
      </c>
      <c r="S120" s="20"/>
      <c r="T120" s="28" t="e">
        <f>ROUND((Q120+Table3[[#This Row],[In Transit]])/P120*30,0)</f>
        <v>#DIV/0!</v>
      </c>
      <c r="U120" s="32"/>
      <c r="V120" s="33"/>
      <c r="W120" s="33"/>
      <c r="X120" s="33"/>
      <c r="Y120" s="34" t="e">
        <f>IF((45-Table3[[#This Row],[Coverage post order]])&gt;0,Table3[[#This Row],[Schedule]]*1.5,0)</f>
        <v>#DIV/0!</v>
      </c>
      <c r="Z120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20" s="35"/>
    </row>
    <row r="121" spans="1:28" ht="20.25" customHeight="1" x14ac:dyDescent="0.25">
      <c r="A121" s="50"/>
      <c r="B121" s="50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2"/>
      <c r="N121" s="53"/>
      <c r="O121" s="53"/>
      <c r="P121" s="51">
        <f>'vsm req'!K131</f>
        <v>0</v>
      </c>
      <c r="Q121" s="51">
        <f t="shared" si="3"/>
        <v>0</v>
      </c>
      <c r="R121" s="51"/>
      <c r="S121" s="51"/>
      <c r="T121" s="50" t="e">
        <f>ROUND((Q121+Table3[[#This Row],[In Transit]])/P121*30,0)</f>
        <v>#DIV/0!</v>
      </c>
      <c r="U121" s="52"/>
      <c r="V121" s="53"/>
      <c r="W121" s="53"/>
      <c r="X121" s="53"/>
      <c r="Y121" s="53" t="e">
        <f>IF((45-Table3[[#This Row],[Coverage post order]])&gt;0,Table3[[#This Row],[Schedule]]*1.5,0)</f>
        <v>#DIV/0!</v>
      </c>
      <c r="Z121" s="35" t="e">
        <f>ROUND((Table3[[#This Row],[Stock]]+Table3[[#This Row],[056 Order]]+Table3[[#This Row],[0789 Order]]+Table3[[#This Row],[0788 Order]]+Table3[[#This Row],[In Transit]])/Table3[[#This Row],[Schedule]]*30,0)</f>
        <v>#DIV/0!</v>
      </c>
      <c r="AA121" s="50"/>
    </row>
    <row r="122" spans="1:28" ht="20.25" customHeight="1" x14ac:dyDescent="0.25">
      <c r="M122" s="54"/>
    </row>
    <row r="123" spans="1:28" ht="20.25" customHeight="1" x14ac:dyDescent="0.25">
      <c r="M123" s="54"/>
    </row>
  </sheetData>
  <phoneticPr fontId="1" type="noConversion"/>
  <conditionalFormatting sqref="H4">
    <cfRule type="duplicateValues" dxfId="58" priority="74"/>
  </conditionalFormatting>
  <conditionalFormatting sqref="H8">
    <cfRule type="duplicateValues" dxfId="57" priority="73"/>
  </conditionalFormatting>
  <conditionalFormatting sqref="H11">
    <cfRule type="duplicateValues" dxfId="56" priority="72"/>
  </conditionalFormatting>
  <conditionalFormatting sqref="H12">
    <cfRule type="duplicateValues" dxfId="55" priority="75"/>
  </conditionalFormatting>
  <conditionalFormatting sqref="H14">
    <cfRule type="duplicateValues" dxfId="54" priority="71"/>
  </conditionalFormatting>
  <conditionalFormatting sqref="H15">
    <cfRule type="duplicateValues" dxfId="53" priority="70"/>
  </conditionalFormatting>
  <conditionalFormatting sqref="H16">
    <cfRule type="duplicateValues" dxfId="52" priority="69"/>
  </conditionalFormatting>
  <conditionalFormatting sqref="H17">
    <cfRule type="duplicateValues" dxfId="51" priority="5"/>
  </conditionalFormatting>
  <conditionalFormatting sqref="H19">
    <cfRule type="duplicateValues" dxfId="50" priority="67"/>
  </conditionalFormatting>
  <conditionalFormatting sqref="H20">
    <cfRule type="duplicateValues" dxfId="49" priority="66"/>
  </conditionalFormatting>
  <conditionalFormatting sqref="H21">
    <cfRule type="duplicateValues" dxfId="48" priority="65"/>
  </conditionalFormatting>
  <conditionalFormatting sqref="H22">
    <cfRule type="duplicateValues" dxfId="47" priority="64"/>
  </conditionalFormatting>
  <conditionalFormatting sqref="H23">
    <cfRule type="duplicateValues" dxfId="46" priority="63"/>
  </conditionalFormatting>
  <conditionalFormatting sqref="H24:H26">
    <cfRule type="duplicateValues" dxfId="45" priority="4"/>
  </conditionalFormatting>
  <conditionalFormatting sqref="H27:H28">
    <cfRule type="duplicateValues" dxfId="44" priority="62"/>
  </conditionalFormatting>
  <conditionalFormatting sqref="H29:H30">
    <cfRule type="duplicateValues" dxfId="43" priority="61"/>
  </conditionalFormatting>
  <conditionalFormatting sqref="H32">
    <cfRule type="duplicateValues" dxfId="42" priority="58"/>
  </conditionalFormatting>
  <conditionalFormatting sqref="H33:H34">
    <cfRule type="duplicateValues" dxfId="41" priority="59"/>
  </conditionalFormatting>
  <conditionalFormatting sqref="H35">
    <cfRule type="duplicateValues" dxfId="40" priority="89"/>
  </conditionalFormatting>
  <conditionalFormatting sqref="H36">
    <cfRule type="duplicateValues" dxfId="39" priority="57"/>
  </conditionalFormatting>
  <conditionalFormatting sqref="H37">
    <cfRule type="duplicateValues" dxfId="38" priority="54"/>
  </conditionalFormatting>
  <conditionalFormatting sqref="H38:H39">
    <cfRule type="duplicateValues" dxfId="37" priority="188"/>
  </conditionalFormatting>
  <conditionalFormatting sqref="H42:H44">
    <cfRule type="duplicateValues" dxfId="36" priority="78"/>
  </conditionalFormatting>
  <conditionalFormatting sqref="H45">
    <cfRule type="duplicateValues" dxfId="35" priority="47"/>
  </conditionalFormatting>
  <conditionalFormatting sqref="H46">
    <cfRule type="duplicateValues" dxfId="34" priority="198"/>
  </conditionalFormatting>
  <conditionalFormatting sqref="H49">
    <cfRule type="duplicateValues" dxfId="33" priority="45"/>
  </conditionalFormatting>
  <conditionalFormatting sqref="H50">
    <cfRule type="duplicateValues" dxfId="32" priority="44"/>
  </conditionalFormatting>
  <conditionalFormatting sqref="H52">
    <cfRule type="duplicateValues" dxfId="31" priority="43"/>
  </conditionalFormatting>
  <conditionalFormatting sqref="H54">
    <cfRule type="duplicateValues" dxfId="30" priority="42"/>
  </conditionalFormatting>
  <conditionalFormatting sqref="H55:H56">
    <cfRule type="duplicateValues" dxfId="29" priority="40"/>
  </conditionalFormatting>
  <conditionalFormatting sqref="H58:H59">
    <cfRule type="duplicateValues" dxfId="28" priority="39"/>
  </conditionalFormatting>
  <conditionalFormatting sqref="H61:H62">
    <cfRule type="duplicateValues" dxfId="27" priority="98"/>
  </conditionalFormatting>
  <conditionalFormatting sqref="H65">
    <cfRule type="duplicateValues" dxfId="26" priority="7"/>
  </conditionalFormatting>
  <conditionalFormatting sqref="H66:H70">
    <cfRule type="duplicateValues" dxfId="25" priority="37"/>
  </conditionalFormatting>
  <conditionalFormatting sqref="H72">
    <cfRule type="duplicateValues" dxfId="24" priority="34"/>
  </conditionalFormatting>
  <conditionalFormatting sqref="H73">
    <cfRule type="duplicateValues" dxfId="23" priority="36"/>
  </conditionalFormatting>
  <conditionalFormatting sqref="H74">
    <cfRule type="duplicateValues" dxfId="22" priority="33"/>
  </conditionalFormatting>
  <conditionalFormatting sqref="H75:H76">
    <cfRule type="duplicateValues" dxfId="21" priority="166"/>
  </conditionalFormatting>
  <conditionalFormatting sqref="H77">
    <cfRule type="duplicateValues" dxfId="20" priority="27"/>
  </conditionalFormatting>
  <conditionalFormatting sqref="H78:H79">
    <cfRule type="duplicateValues" dxfId="19" priority="6"/>
  </conditionalFormatting>
  <conditionalFormatting sqref="H80:H81">
    <cfRule type="duplicateValues" dxfId="18" priority="26"/>
  </conditionalFormatting>
  <conditionalFormatting sqref="H82">
    <cfRule type="duplicateValues" dxfId="17" priority="25"/>
  </conditionalFormatting>
  <conditionalFormatting sqref="H83:H85">
    <cfRule type="duplicateValues" dxfId="16" priority="102"/>
  </conditionalFormatting>
  <conditionalFormatting sqref="H86">
    <cfRule type="duplicateValues" dxfId="15" priority="23"/>
  </conditionalFormatting>
  <conditionalFormatting sqref="H99">
    <cfRule type="duplicateValues" dxfId="14" priority="20"/>
  </conditionalFormatting>
  <conditionalFormatting sqref="H100:H101">
    <cfRule type="duplicateValues" dxfId="13" priority="8"/>
  </conditionalFormatting>
  <conditionalFormatting sqref="H104">
    <cfRule type="duplicateValues" dxfId="12" priority="15"/>
  </conditionalFormatting>
  <conditionalFormatting sqref="H105">
    <cfRule type="duplicateValues" dxfId="11" priority="14"/>
  </conditionalFormatting>
  <conditionalFormatting sqref="H106">
    <cfRule type="duplicateValues" dxfId="10" priority="13"/>
  </conditionalFormatting>
  <conditionalFormatting sqref="H107">
    <cfRule type="duplicateValues" dxfId="9" priority="12"/>
  </conditionalFormatting>
  <conditionalFormatting sqref="H108">
    <cfRule type="duplicateValues" dxfId="8" priority="113"/>
  </conditionalFormatting>
  <conditionalFormatting sqref="H109">
    <cfRule type="duplicateValues" dxfId="7" priority="28"/>
  </conditionalFormatting>
  <conditionalFormatting sqref="H110">
    <cfRule type="duplicateValues" dxfId="6" priority="22"/>
  </conditionalFormatting>
  <conditionalFormatting sqref="H111">
    <cfRule type="duplicateValues" dxfId="5" priority="21"/>
  </conditionalFormatting>
  <conditionalFormatting sqref="H112:H115">
    <cfRule type="duplicateValues" dxfId="4" priority="76"/>
  </conditionalFormatting>
  <conditionalFormatting sqref="H116">
    <cfRule type="duplicateValues" dxfId="3" priority="18"/>
  </conditionalFormatting>
  <conditionalFormatting sqref="H117">
    <cfRule type="duplicateValues" dxfId="2" priority="17"/>
  </conditionalFormatting>
  <conditionalFormatting sqref="H118:H119">
    <cfRule type="duplicateValues" dxfId="1" priority="11"/>
  </conditionalFormatting>
  <conditionalFormatting sqref="H120">
    <cfRule type="duplicateValues" dxfId="0" priority="10"/>
  </conditionalFormatting>
  <conditionalFormatting sqref="T4:T121">
    <cfRule type="iconSet" priority="199">
      <iconSet>
        <cfvo type="percent" val="0"/>
        <cfvo type="num" val="30"/>
        <cfvo type="num" val="45"/>
      </iconSet>
    </cfRule>
  </conditionalFormatting>
  <conditionalFormatting sqref="Z4:Z121">
    <cfRule type="iconSet" priority="201">
      <iconSet>
        <cfvo type="percent" val="0"/>
        <cfvo type="num" val="30"/>
        <cfvo type="num" val="45"/>
      </iconSet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GJL342ONITT45GEDKZEITO2ZT7P2TRDZ:ms-officescript%3A%2F%2Fonedrive_business_sharinglink%2Fu!aHR0cHM6Ly90c2xpbi1teS5zaGFyZXBvaW50LmNvbS86dTovZy9wZXJzb25hbC8xNjM1NTlfdGF0YXN0ZWVsX2NvbS9FYzFFNTg2WWcxWklpYnRabjktcHhIa0JOQ1g4WnRPS0pSLXZmbkRacFBUbTJn"/>
</scriptIds>
</file>

<file path=customXml/itemProps1.xml><?xml version="1.0" encoding="utf-8"?>
<ds:datastoreItem xmlns:ds="http://schemas.openxmlformats.org/officeDocument/2006/customXml" ds:itemID="{E8DFA35A-2985-4DF7-AC2C-CB38046DDB7B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SOP</vt:lpstr>
      <vt:lpstr>vsm req</vt:lpstr>
      <vt:lpstr>TVSM</vt:lpstr>
      <vt:lpstr>vsm stock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Apoorv Gupta</dc:creator>
  <cp:keywords/>
  <dc:description/>
  <cp:lastModifiedBy>Apoorv Gupta</cp:lastModifiedBy>
  <cp:revision/>
  <dcterms:created xsi:type="dcterms:W3CDTF">2025-07-09T05:15:07Z</dcterms:created>
  <dcterms:modified xsi:type="dcterms:W3CDTF">2026-07-31T06:36:36Z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50afb6-ab6e-4e8b-96b5-6e00ab52e29e_Enabled">
    <vt:lpwstr>true</vt:lpwstr>
  </property>
  <property fmtid="{D5CDD505-2E9C-101B-9397-08002B2CF9AE}" pid="3" name="MSIP_Label_2f50afb6-ab6e-4e8b-96b5-6e00ab52e29e_SetDate">
    <vt:lpwstr>2025-07-09T05:21:37Z</vt:lpwstr>
  </property>
  <property fmtid="{D5CDD505-2E9C-101B-9397-08002B2CF9AE}" pid="4" name="MSIP_Label_2f50afb6-ab6e-4e8b-96b5-6e00ab52e29e_Method">
    <vt:lpwstr>Standard</vt:lpwstr>
  </property>
  <property fmtid="{D5CDD505-2E9C-101B-9397-08002B2CF9AE}" pid="5" name="MSIP_Label_2f50afb6-ab6e-4e8b-96b5-6e00ab52e29e_Name">
    <vt:lpwstr>2f50afb6-ab6e-4e8b-96b5-6e00ab52e29e</vt:lpwstr>
  </property>
  <property fmtid="{D5CDD505-2E9C-101B-9397-08002B2CF9AE}" pid="6" name="MSIP_Label_2f50afb6-ab6e-4e8b-96b5-6e00ab52e29e_SiteId">
    <vt:lpwstr>f35425af-4755-4e0c-b1bb-b3cb9f1c6afd</vt:lpwstr>
  </property>
  <property fmtid="{D5CDD505-2E9C-101B-9397-08002B2CF9AE}" pid="7" name="MSIP_Label_2f50afb6-ab6e-4e8b-96b5-6e00ab52e29e_ActionId">
    <vt:lpwstr>ec49d1e3-3368-45c1-bc7e-3e93dcde63f5</vt:lpwstr>
  </property>
  <property fmtid="{D5CDD505-2E9C-101B-9397-08002B2CF9AE}" pid="8" name="MSIP_Label_2f50afb6-ab6e-4e8b-96b5-6e00ab52e29e_ContentBits">
    <vt:lpwstr>0</vt:lpwstr>
  </property>
</Properties>
</file>
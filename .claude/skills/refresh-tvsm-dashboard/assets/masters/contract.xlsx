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slin-my.sharepoint.com/personal/163559_tatasteel_com/Documents/Tubes/Price Settlement/Q4 FY26 and Q1 FY27/"/>
    </mc:Choice>
  </mc:AlternateContent>
  <xr:revisionPtr revIDLastSave="199" documentId="13_ncr:1_{67AFEE84-CB11-4F8B-8E90-F00A42B2A804}" xr6:coauthVersionLast="47" xr6:coauthVersionMax="47" xr10:uidLastSave="{7DE3A502-15A1-4278-B59E-806B486E64CC}"/>
  <bookViews>
    <workbookView xWindow="-120" yWindow="-120" windowWidth="20730" windowHeight="11040" tabRatio="804" xr2:uid="{C443589C-DA5D-486B-9613-BB37DA4730F6}"/>
  </bookViews>
  <sheets>
    <sheet name="Tata _ERW-Q4 FY26" sheetId="31" r:id="rId1"/>
    <sheet name="Tata_CEW - Q1 FY27" sheetId="32" r:id="rId2"/>
  </sheets>
  <definedNames>
    <definedName name="_xlnm._FilterDatabase" localSheetId="0" hidden="1">'Tata _ERW-Q4 FY26'!$A$3:$BV$119</definedName>
    <definedName name="_xlnm._FilterDatabase" localSheetId="1" hidden="1">'Tata_CEW - Q1 FY27'!$A$3:$BR$38</definedName>
    <definedName name="_xlnm.Print_Area" localSheetId="0">'Tata _ERW-Q4 FY26'!$A$1:$AN$98</definedName>
    <definedName name="_xlnm.Print_Area" localSheetId="1">'Tata_CEW - Q1 FY27'!$B$2:$V$30</definedName>
    <definedName name="_xlnm.Print_Titles" localSheetId="0">'Tata _ERW-Q4 FY26'!$1:$3</definedName>
    <definedName name="_xlnm.Print_Titles" localSheetId="1">'Tata_CEW - Q1 FY27'!$2:$3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37" i="32" l="1"/>
  <c r="BS30" i="32"/>
  <c r="G57" i="31"/>
  <c r="AO119" i="31"/>
  <c r="N119" i="31"/>
  <c r="Q119" i="31" s="1"/>
  <c r="G119" i="31"/>
  <c r="H118" i="31"/>
  <c r="H117" i="31"/>
  <c r="H116" i="31"/>
  <c r="H107" i="31"/>
  <c r="AW107" i="31" s="1"/>
  <c r="G107" i="31"/>
  <c r="H115" i="31"/>
  <c r="H114" i="31"/>
  <c r="H113" i="31"/>
  <c r="H112" i="31"/>
  <c r="G112" i="31"/>
  <c r="G111" i="31"/>
  <c r="G4" i="31"/>
  <c r="G5" i="31"/>
  <c r="G6" i="31"/>
  <c r="G7" i="31"/>
  <c r="G8" i="31"/>
  <c r="G92" i="31"/>
  <c r="G91" i="31"/>
  <c r="G90" i="31"/>
  <c r="G89" i="31"/>
  <c r="G88" i="31"/>
  <c r="G87" i="31"/>
  <c r="G110" i="31"/>
  <c r="G109" i="31"/>
  <c r="BG110" i="31"/>
  <c r="BG111" i="31" s="1"/>
  <c r="BG112" i="31" s="1"/>
  <c r="BG113" i="31" s="1"/>
  <c r="BG114" i="31" s="1"/>
  <c r="BG115" i="31" s="1"/>
  <c r="BG116" i="31" s="1"/>
  <c r="BG117" i="31" s="1"/>
  <c r="H110" i="31"/>
  <c r="G98" i="31"/>
  <c r="G97" i="31"/>
  <c r="G96" i="31"/>
  <c r="G95" i="31"/>
  <c r="G94" i="31"/>
  <c r="G93" i="31"/>
  <c r="T119" i="31" l="1"/>
  <c r="R119" i="31"/>
  <c r="O119" i="31"/>
  <c r="BG118" i="31"/>
  <c r="BE108" i="31"/>
  <c r="BH108" i="31" s="1"/>
  <c r="H106" i="31"/>
  <c r="AW106" i="31" s="1"/>
  <c r="G106" i="31"/>
  <c r="AA119" i="31" l="1"/>
  <c r="U119" i="31"/>
  <c r="BL108" i="31"/>
  <c r="BO108" i="31" s="1"/>
  <c r="BR108" i="31" s="1"/>
  <c r="H108" i="31"/>
  <c r="H105" i="31"/>
  <c r="AW105" i="31" s="1"/>
  <c r="H104" i="31"/>
  <c r="AW104" i="31" s="1"/>
  <c r="H103" i="31"/>
  <c r="AW103" i="31" s="1"/>
  <c r="BS108" i="31" l="1"/>
  <c r="BU108" i="31"/>
  <c r="BV108" i="31" s="1"/>
  <c r="AD119" i="31"/>
  <c r="AB119" i="31"/>
  <c r="BP108" i="31"/>
  <c r="BM108" i="31"/>
  <c r="AW108" i="31"/>
  <c r="BC108" i="31"/>
  <c r="BF108" i="31"/>
  <c r="BI108" i="31"/>
  <c r="AZ108" i="31"/>
  <c r="H109" i="31"/>
  <c r="G108" i="31"/>
  <c r="G105" i="31"/>
  <c r="G104" i="31"/>
  <c r="G103" i="31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4" i="32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99" i="31"/>
  <c r="G100" i="31"/>
  <c r="AG119" i="31" l="1"/>
  <c r="AE119" i="31"/>
  <c r="AL38" i="32"/>
  <c r="AL37" i="32"/>
  <c r="AL36" i="32"/>
  <c r="AL34" i="32"/>
  <c r="AL33" i="32"/>
  <c r="AL32" i="32"/>
  <c r="AL31" i="32"/>
  <c r="AL30" i="32"/>
  <c r="AL29" i="32"/>
  <c r="AL28" i="32"/>
  <c r="AL27" i="32"/>
  <c r="AL26" i="32"/>
  <c r="AL25" i="32"/>
  <c r="AL24" i="32"/>
  <c r="AL23" i="32"/>
  <c r="AL22" i="32"/>
  <c r="AL21" i="32"/>
  <c r="AL19" i="32"/>
  <c r="AL18" i="32"/>
  <c r="AL17" i="32"/>
  <c r="AL16" i="32"/>
  <c r="AL15" i="32"/>
  <c r="AL14" i="32"/>
  <c r="AL13" i="32"/>
  <c r="AL11" i="32"/>
  <c r="AL10" i="32"/>
  <c r="AL35" i="32"/>
  <c r="AL20" i="32"/>
  <c r="AL12" i="32"/>
  <c r="AL9" i="32"/>
  <c r="AL8" i="32"/>
  <c r="AL7" i="32"/>
  <c r="AL6" i="32"/>
  <c r="AL5" i="32"/>
  <c r="AL4" i="32"/>
  <c r="AO98" i="31"/>
  <c r="AO97" i="31"/>
  <c r="AO96" i="31"/>
  <c r="AO94" i="31"/>
  <c r="AO86" i="31"/>
  <c r="AO85" i="31"/>
  <c r="AO84" i="31"/>
  <c r="AO83" i="31"/>
  <c r="AO82" i="31"/>
  <c r="AO80" i="31"/>
  <c r="AO77" i="31"/>
  <c r="AO76" i="31"/>
  <c r="AO75" i="31"/>
  <c r="AO74" i="31"/>
  <c r="AO73" i="31"/>
  <c r="AO68" i="31"/>
  <c r="AO67" i="31"/>
  <c r="AO66" i="31"/>
  <c r="AO64" i="31"/>
  <c r="AO60" i="31"/>
  <c r="AO59" i="31"/>
  <c r="AO57" i="31"/>
  <c r="AO56" i="31"/>
  <c r="AO54" i="31"/>
  <c r="AO53" i="31"/>
  <c r="AO50" i="31"/>
  <c r="AO49" i="31"/>
  <c r="AO46" i="31"/>
  <c r="AO43" i="31"/>
  <c r="AO42" i="31"/>
  <c r="AO41" i="31"/>
  <c r="AO38" i="31"/>
  <c r="AO37" i="31"/>
  <c r="AO34" i="31"/>
  <c r="AO33" i="31"/>
  <c r="AO32" i="31"/>
  <c r="AO26" i="31"/>
  <c r="AO17" i="31"/>
  <c r="AO15" i="31"/>
  <c r="AO13" i="31"/>
  <c r="AO11" i="31"/>
  <c r="AO6" i="31"/>
  <c r="AO100" i="31"/>
  <c r="AO99" i="31"/>
  <c r="AO95" i="31"/>
  <c r="AO93" i="31"/>
  <c r="AO92" i="31"/>
  <c r="AO91" i="31"/>
  <c r="AO90" i="31"/>
  <c r="AO89" i="31"/>
  <c r="AO88" i="31"/>
  <c r="AO87" i="31"/>
  <c r="AO81" i="31"/>
  <c r="AO79" i="31"/>
  <c r="AO78" i="31"/>
  <c r="AO72" i="31"/>
  <c r="AO71" i="31"/>
  <c r="AO70" i="31"/>
  <c r="AO69" i="31"/>
  <c r="AO65" i="31"/>
  <c r="AO63" i="31"/>
  <c r="AO62" i="31"/>
  <c r="AO61" i="31"/>
  <c r="AO58" i="31"/>
  <c r="AO55" i="31"/>
  <c r="AO52" i="31"/>
  <c r="AO51" i="31"/>
  <c r="AO48" i="31"/>
  <c r="AO47" i="31"/>
  <c r="AO45" i="31"/>
  <c r="AO44" i="31"/>
  <c r="AO40" i="31"/>
  <c r="AO39" i="31"/>
  <c r="AO36" i="31"/>
  <c r="AO35" i="31"/>
  <c r="AO31" i="31"/>
  <c r="AO30" i="31"/>
  <c r="AO29" i="31"/>
  <c r="AO28" i="31"/>
  <c r="AO27" i="31"/>
  <c r="AO25" i="31"/>
  <c r="AO24" i="31"/>
  <c r="AO23" i="31"/>
  <c r="AO22" i="31"/>
  <c r="AO21" i="31"/>
  <c r="AO20" i="31"/>
  <c r="AO19" i="31"/>
  <c r="AO18" i="31"/>
  <c r="AO16" i="31"/>
  <c r="AO14" i="31"/>
  <c r="AO12" i="31"/>
  <c r="AO10" i="31"/>
  <c r="AO9" i="31"/>
  <c r="AO8" i="31"/>
  <c r="AO7" i="31"/>
  <c r="AO5" i="31"/>
  <c r="AO4" i="31"/>
  <c r="AJ119" i="31" l="1"/>
  <c r="AH119" i="31"/>
  <c r="AJ105" i="31"/>
  <c r="AJ104" i="31"/>
  <c r="AG104" i="31"/>
  <c r="O38" i="32"/>
  <c r="R38" i="32" s="1"/>
  <c r="J38" i="32"/>
  <c r="O37" i="32"/>
  <c r="R37" i="32" s="1"/>
  <c r="U37" i="32" s="1"/>
  <c r="O36" i="32"/>
  <c r="R36" i="32" s="1"/>
  <c r="O35" i="32"/>
  <c r="R35" i="32" s="1"/>
  <c r="U35" i="32" s="1"/>
  <c r="O34" i="32"/>
  <c r="R34" i="32" s="1"/>
  <c r="O33" i="32"/>
  <c r="R33" i="32" s="1"/>
  <c r="U33" i="32" s="1"/>
  <c r="O32" i="32"/>
  <c r="R32" i="32" s="1"/>
  <c r="O31" i="32"/>
  <c r="R31" i="32" s="1"/>
  <c r="U31" i="32" s="1"/>
  <c r="O30" i="32"/>
  <c r="R30" i="32" s="1"/>
  <c r="O29" i="32"/>
  <c r="R29" i="32" s="1"/>
  <c r="U29" i="32" s="1"/>
  <c r="O28" i="32"/>
  <c r="R28" i="32" s="1"/>
  <c r="O27" i="32"/>
  <c r="R27" i="32" s="1"/>
  <c r="U27" i="32" s="1"/>
  <c r="O26" i="32"/>
  <c r="R26" i="32" s="1"/>
  <c r="O25" i="32"/>
  <c r="R25" i="32" s="1"/>
  <c r="U25" i="32" s="1"/>
  <c r="O24" i="32"/>
  <c r="R24" i="32" s="1"/>
  <c r="O23" i="32"/>
  <c r="R23" i="32" s="1"/>
  <c r="U23" i="32" s="1"/>
  <c r="O22" i="32"/>
  <c r="R22" i="32" s="1"/>
  <c r="O21" i="32"/>
  <c r="R21" i="32" s="1"/>
  <c r="U21" i="32" s="1"/>
  <c r="O20" i="32"/>
  <c r="R20" i="32" s="1"/>
  <c r="O19" i="32"/>
  <c r="R19" i="32" s="1"/>
  <c r="U19" i="32" s="1"/>
  <c r="O18" i="32"/>
  <c r="R18" i="32" s="1"/>
  <c r="O17" i="32"/>
  <c r="R17" i="32" s="1"/>
  <c r="U17" i="32" s="1"/>
  <c r="O16" i="32"/>
  <c r="R16" i="32" s="1"/>
  <c r="O15" i="32"/>
  <c r="R15" i="32" s="1"/>
  <c r="U15" i="32" s="1"/>
  <c r="O14" i="32"/>
  <c r="R14" i="32" s="1"/>
  <c r="O13" i="32"/>
  <c r="R13" i="32" s="1"/>
  <c r="U13" i="32" s="1"/>
  <c r="O12" i="32"/>
  <c r="R12" i="32" s="1"/>
  <c r="O11" i="32"/>
  <c r="R11" i="32" s="1"/>
  <c r="U11" i="32" s="1"/>
  <c r="O10" i="32"/>
  <c r="R10" i="32" s="1"/>
  <c r="O9" i="32"/>
  <c r="R9" i="32" s="1"/>
  <c r="U9" i="32" s="1"/>
  <c r="O8" i="32"/>
  <c r="R8" i="32" s="1"/>
  <c r="O7" i="32"/>
  <c r="R7" i="32" s="1"/>
  <c r="U7" i="32" s="1"/>
  <c r="O6" i="32"/>
  <c r="R6" i="32" s="1"/>
  <c r="O5" i="32"/>
  <c r="R5" i="32" s="1"/>
  <c r="U5" i="32" s="1"/>
  <c r="O4" i="32"/>
  <c r="R4" i="32" s="1"/>
  <c r="N100" i="31"/>
  <c r="O100" i="31" s="1"/>
  <c r="N99" i="31"/>
  <c r="Q99" i="31" s="1"/>
  <c r="R99" i="31" s="1"/>
  <c r="N98" i="31"/>
  <c r="N97" i="31"/>
  <c r="Q97" i="31" s="1"/>
  <c r="R97" i="31" s="1"/>
  <c r="N96" i="31"/>
  <c r="O96" i="31" s="1"/>
  <c r="N95" i="31"/>
  <c r="Q95" i="31" s="1"/>
  <c r="R95" i="31" s="1"/>
  <c r="N94" i="31"/>
  <c r="O94" i="31" s="1"/>
  <c r="N93" i="31"/>
  <c r="Q93" i="31" s="1"/>
  <c r="R93" i="31" s="1"/>
  <c r="N92" i="31"/>
  <c r="O92" i="31" s="1"/>
  <c r="N91" i="31"/>
  <c r="Q91" i="31" s="1"/>
  <c r="N90" i="31"/>
  <c r="O90" i="31" s="1"/>
  <c r="N89" i="31"/>
  <c r="Q89" i="31" s="1"/>
  <c r="R89" i="31" s="1"/>
  <c r="N88" i="31"/>
  <c r="O88" i="31" s="1"/>
  <c r="N87" i="31"/>
  <c r="Q87" i="31" s="1"/>
  <c r="R87" i="31" s="1"/>
  <c r="N86" i="31"/>
  <c r="O86" i="31" s="1"/>
  <c r="N85" i="31"/>
  <c r="Q85" i="31" s="1"/>
  <c r="R85" i="31" s="1"/>
  <c r="N84" i="31"/>
  <c r="O84" i="31" s="1"/>
  <c r="N83" i="31"/>
  <c r="Q83" i="31" s="1"/>
  <c r="R83" i="31" s="1"/>
  <c r="N82" i="31"/>
  <c r="N81" i="31"/>
  <c r="Q81" i="31" s="1"/>
  <c r="R81" i="31" s="1"/>
  <c r="N80" i="31"/>
  <c r="O80" i="31" s="1"/>
  <c r="N79" i="31"/>
  <c r="Q79" i="31" s="1"/>
  <c r="R79" i="31" s="1"/>
  <c r="N78" i="31"/>
  <c r="O78" i="31" s="1"/>
  <c r="N77" i="31"/>
  <c r="Q77" i="31" s="1"/>
  <c r="R77" i="31" s="1"/>
  <c r="N76" i="31"/>
  <c r="O76" i="31" s="1"/>
  <c r="N75" i="31"/>
  <c r="O75" i="31" s="1"/>
  <c r="N74" i="31"/>
  <c r="O74" i="31" s="1"/>
  <c r="N73" i="31"/>
  <c r="O73" i="31" s="1"/>
  <c r="N72" i="31"/>
  <c r="O72" i="31" s="1"/>
  <c r="N71" i="31"/>
  <c r="Q71" i="31" s="1"/>
  <c r="N70" i="31"/>
  <c r="O70" i="31" s="1"/>
  <c r="N69" i="31"/>
  <c r="Q69" i="31" s="1"/>
  <c r="N68" i="31"/>
  <c r="O68" i="31" s="1"/>
  <c r="N67" i="31"/>
  <c r="Q67" i="31" s="1"/>
  <c r="N66" i="31"/>
  <c r="O66" i="31" s="1"/>
  <c r="N65" i="31"/>
  <c r="Q65" i="31" s="1"/>
  <c r="N64" i="31"/>
  <c r="O64" i="31" s="1"/>
  <c r="N63" i="31"/>
  <c r="Q63" i="31" s="1"/>
  <c r="R63" i="31" s="1"/>
  <c r="N62" i="31"/>
  <c r="O62" i="31" s="1"/>
  <c r="N61" i="31"/>
  <c r="Q61" i="31" s="1"/>
  <c r="R61" i="31" s="1"/>
  <c r="N60" i="31"/>
  <c r="O60" i="31" s="1"/>
  <c r="N59" i="31"/>
  <c r="Q59" i="31" s="1"/>
  <c r="R59" i="31" s="1"/>
  <c r="N58" i="31"/>
  <c r="O58" i="31" s="1"/>
  <c r="N57" i="31"/>
  <c r="Q57" i="31" s="1"/>
  <c r="R57" i="31" s="1"/>
  <c r="N56" i="31"/>
  <c r="N55" i="31"/>
  <c r="Q55" i="31" s="1"/>
  <c r="R55" i="31" s="1"/>
  <c r="N54" i="31"/>
  <c r="O54" i="31" s="1"/>
  <c r="N53" i="31"/>
  <c r="Q53" i="31" s="1"/>
  <c r="R53" i="31" s="1"/>
  <c r="N52" i="31"/>
  <c r="O52" i="31" s="1"/>
  <c r="N51" i="31"/>
  <c r="Q51" i="31" s="1"/>
  <c r="R51" i="31" s="1"/>
  <c r="N50" i="31"/>
  <c r="O50" i="31" s="1"/>
  <c r="N49" i="31"/>
  <c r="Q49" i="31" s="1"/>
  <c r="N48" i="31"/>
  <c r="O48" i="31" s="1"/>
  <c r="N47" i="31"/>
  <c r="Q47" i="31" s="1"/>
  <c r="R47" i="31" s="1"/>
  <c r="N46" i="31"/>
  <c r="O46" i="31" s="1"/>
  <c r="N45" i="31"/>
  <c r="Q45" i="31" s="1"/>
  <c r="R45" i="31" s="1"/>
  <c r="N44" i="31"/>
  <c r="O44" i="31" s="1"/>
  <c r="N43" i="31"/>
  <c r="Q43" i="31" s="1"/>
  <c r="T43" i="31" s="1"/>
  <c r="N42" i="31"/>
  <c r="O42" i="31" s="1"/>
  <c r="N41" i="31"/>
  <c r="Q41" i="31" s="1"/>
  <c r="N40" i="31"/>
  <c r="O40" i="31" s="1"/>
  <c r="N39" i="31"/>
  <c r="Q39" i="31" s="1"/>
  <c r="N38" i="31"/>
  <c r="O38" i="31" s="1"/>
  <c r="N37" i="31"/>
  <c r="O37" i="31" s="1"/>
  <c r="N36" i="31"/>
  <c r="O36" i="31" s="1"/>
  <c r="N35" i="31"/>
  <c r="Q35" i="31" s="1"/>
  <c r="N34" i="31"/>
  <c r="O34" i="31" s="1"/>
  <c r="N33" i="31"/>
  <c r="Q33" i="31" s="1"/>
  <c r="N32" i="31"/>
  <c r="O32" i="31" s="1"/>
  <c r="N31" i="31"/>
  <c r="Q31" i="31" s="1"/>
  <c r="N30" i="31"/>
  <c r="O30" i="31" s="1"/>
  <c r="N29" i="31"/>
  <c r="Q29" i="31" s="1"/>
  <c r="N28" i="31"/>
  <c r="O28" i="31" s="1"/>
  <c r="N27" i="31"/>
  <c r="Q27" i="31" s="1"/>
  <c r="N26" i="31"/>
  <c r="O26" i="31" s="1"/>
  <c r="N25" i="31"/>
  <c r="Q25" i="31" s="1"/>
  <c r="N24" i="31"/>
  <c r="O24" i="31" s="1"/>
  <c r="N23" i="31"/>
  <c r="O23" i="31" s="1"/>
  <c r="N22" i="31"/>
  <c r="O22" i="31" s="1"/>
  <c r="N21" i="31"/>
  <c r="Q21" i="31" s="1"/>
  <c r="N20" i="31"/>
  <c r="O20" i="31" s="1"/>
  <c r="N19" i="31"/>
  <c r="Q19" i="31" s="1"/>
  <c r="N18" i="31"/>
  <c r="O18" i="31" s="1"/>
  <c r="N17" i="31"/>
  <c r="Q17" i="31" s="1"/>
  <c r="N16" i="31"/>
  <c r="O16" i="31" s="1"/>
  <c r="N15" i="31"/>
  <c r="O15" i="31" s="1"/>
  <c r="N14" i="31"/>
  <c r="O14" i="31" s="1"/>
  <c r="N13" i="31"/>
  <c r="Q13" i="31" s="1"/>
  <c r="N12" i="31"/>
  <c r="O12" i="31" s="1"/>
  <c r="N11" i="31"/>
  <c r="Q11" i="31" s="1"/>
  <c r="N10" i="31"/>
  <c r="O10" i="31" s="1"/>
  <c r="N9" i="31"/>
  <c r="Q9" i="31" s="1"/>
  <c r="N8" i="31"/>
  <c r="O8" i="31" s="1"/>
  <c r="N7" i="31"/>
  <c r="Q7" i="31" s="1"/>
  <c r="N6" i="31"/>
  <c r="O6" i="31" s="1"/>
  <c r="N5" i="31"/>
  <c r="Q5" i="31" s="1"/>
  <c r="N4" i="31"/>
  <c r="O4" i="31" s="1"/>
  <c r="AK119" i="31" l="1"/>
  <c r="AM119" i="31"/>
  <c r="P31" i="32"/>
  <c r="T95" i="31"/>
  <c r="U95" i="31" s="1"/>
  <c r="O33" i="31"/>
  <c r="Q8" i="31"/>
  <c r="T8" i="31" s="1"/>
  <c r="AA8" i="31" s="1"/>
  <c r="AD8" i="31" s="1"/>
  <c r="O65" i="31"/>
  <c r="Q4" i="31"/>
  <c r="T4" i="31" s="1"/>
  <c r="AA4" i="31" s="1"/>
  <c r="AD4" i="31" s="1"/>
  <c r="Q23" i="31"/>
  <c r="T23" i="31" s="1"/>
  <c r="T45" i="31"/>
  <c r="U45" i="31" s="1"/>
  <c r="T61" i="31"/>
  <c r="U61" i="31" s="1"/>
  <c r="Q90" i="31"/>
  <c r="T90" i="31" s="1"/>
  <c r="Q10" i="31"/>
  <c r="T10" i="31" s="1"/>
  <c r="AA10" i="31" s="1"/>
  <c r="AD10" i="31" s="1"/>
  <c r="O7" i="31"/>
  <c r="Q70" i="31"/>
  <c r="T70" i="31" s="1"/>
  <c r="O41" i="31"/>
  <c r="Q66" i="31"/>
  <c r="R66" i="31" s="1"/>
  <c r="T77" i="31"/>
  <c r="U77" i="31" s="1"/>
  <c r="T83" i="31"/>
  <c r="U83" i="31" s="1"/>
  <c r="Q18" i="31"/>
  <c r="T18" i="31" s="1"/>
  <c r="AA18" i="31" s="1"/>
  <c r="AD18" i="31" s="1"/>
  <c r="Q30" i="31"/>
  <c r="T30" i="31" s="1"/>
  <c r="U30" i="31" s="1"/>
  <c r="O67" i="31"/>
  <c r="Q78" i="31"/>
  <c r="R78" i="31" s="1"/>
  <c r="Q84" i="31"/>
  <c r="T84" i="31" s="1"/>
  <c r="O13" i="31"/>
  <c r="Q37" i="31"/>
  <c r="R37" i="31" s="1"/>
  <c r="Q44" i="31"/>
  <c r="T44" i="31" s="1"/>
  <c r="AA44" i="31" s="1"/>
  <c r="T57" i="31"/>
  <c r="U57" i="31" s="1"/>
  <c r="Q20" i="31"/>
  <c r="T20" i="31" s="1"/>
  <c r="AA20" i="31" s="1"/>
  <c r="AB20" i="31" s="1"/>
  <c r="T51" i="31"/>
  <c r="U51" i="31" s="1"/>
  <c r="O69" i="31"/>
  <c r="Q75" i="31"/>
  <c r="R75" i="31" s="1"/>
  <c r="O5" i="31"/>
  <c r="Q15" i="31"/>
  <c r="R15" i="31" s="1"/>
  <c r="O27" i="31"/>
  <c r="Q100" i="31"/>
  <c r="T100" i="31" s="1"/>
  <c r="O11" i="31"/>
  <c r="Q16" i="31"/>
  <c r="T16" i="31" s="1"/>
  <c r="O21" i="31"/>
  <c r="Q24" i="31"/>
  <c r="T24" i="31" s="1"/>
  <c r="AA24" i="31" s="1"/>
  <c r="AD24" i="31" s="1"/>
  <c r="O35" i="31"/>
  <c r="Q38" i="31"/>
  <c r="T38" i="31" s="1"/>
  <c r="U38" i="31" s="1"/>
  <c r="Q86" i="31"/>
  <c r="T86" i="31" s="1"/>
  <c r="Q14" i="31"/>
  <c r="T14" i="31" s="1"/>
  <c r="O25" i="31"/>
  <c r="Q28" i="31"/>
  <c r="T28" i="31" s="1"/>
  <c r="AA28" i="31" s="1"/>
  <c r="AD28" i="31" s="1"/>
  <c r="O31" i="31"/>
  <c r="O39" i="31"/>
  <c r="Q42" i="31"/>
  <c r="T42" i="31" s="1"/>
  <c r="AA42" i="31" s="1"/>
  <c r="AD42" i="31" s="1"/>
  <c r="T87" i="31"/>
  <c r="U87" i="31" s="1"/>
  <c r="T93" i="31"/>
  <c r="U93" i="31" s="1"/>
  <c r="O9" i="31"/>
  <c r="Q12" i="31"/>
  <c r="T12" i="31" s="1"/>
  <c r="O19" i="31"/>
  <c r="Q22" i="31"/>
  <c r="T22" i="31" s="1"/>
  <c r="U22" i="31" s="1"/>
  <c r="Q36" i="31"/>
  <c r="T36" i="31" s="1"/>
  <c r="U36" i="31" s="1"/>
  <c r="Q52" i="31"/>
  <c r="T52" i="31" s="1"/>
  <c r="Q58" i="31"/>
  <c r="T58" i="31" s="1"/>
  <c r="Q64" i="31"/>
  <c r="T64" i="31" s="1"/>
  <c r="Q68" i="31"/>
  <c r="T68" i="31" s="1"/>
  <c r="Q73" i="31"/>
  <c r="Q6" i="31"/>
  <c r="T6" i="31" s="1"/>
  <c r="U6" i="31" s="1"/>
  <c r="O17" i="31"/>
  <c r="O29" i="31"/>
  <c r="Q34" i="31"/>
  <c r="T34" i="31" s="1"/>
  <c r="O43" i="31"/>
  <c r="Q94" i="31"/>
  <c r="R94" i="31" s="1"/>
  <c r="T99" i="31"/>
  <c r="U99" i="31" s="1"/>
  <c r="Q26" i="31"/>
  <c r="T26" i="31" s="1"/>
  <c r="AA26" i="31" s="1"/>
  <c r="AD26" i="31" s="1"/>
  <c r="Q32" i="31"/>
  <c r="T32" i="31" s="1"/>
  <c r="Q40" i="31"/>
  <c r="T40" i="31" s="1"/>
  <c r="AA40" i="31" s="1"/>
  <c r="AD40" i="31" s="1"/>
  <c r="Q48" i="31"/>
  <c r="T48" i="31" s="1"/>
  <c r="P11" i="32"/>
  <c r="P27" i="32"/>
  <c r="P15" i="32"/>
  <c r="P7" i="32"/>
  <c r="P23" i="32"/>
  <c r="P19" i="32"/>
  <c r="P35" i="32"/>
  <c r="P5" i="32"/>
  <c r="P9" i="32"/>
  <c r="P13" i="32"/>
  <c r="P17" i="32"/>
  <c r="P21" i="32"/>
  <c r="P25" i="32"/>
  <c r="P29" i="32"/>
  <c r="P33" i="32"/>
  <c r="P37" i="32"/>
  <c r="X7" i="32"/>
  <c r="V7" i="32"/>
  <c r="X11" i="32"/>
  <c r="V11" i="32"/>
  <c r="X15" i="32"/>
  <c r="V15" i="32"/>
  <c r="X19" i="32"/>
  <c r="V19" i="32"/>
  <c r="X23" i="32"/>
  <c r="V23" i="32"/>
  <c r="X27" i="32"/>
  <c r="V27" i="32"/>
  <c r="X31" i="32"/>
  <c r="V31" i="32"/>
  <c r="X35" i="32"/>
  <c r="V35" i="32"/>
  <c r="U4" i="32"/>
  <c r="S4" i="32"/>
  <c r="U8" i="32"/>
  <c r="S8" i="32"/>
  <c r="U12" i="32"/>
  <c r="S12" i="32"/>
  <c r="U16" i="32"/>
  <c r="S16" i="32"/>
  <c r="U20" i="32"/>
  <c r="S20" i="32"/>
  <c r="U24" i="32"/>
  <c r="S24" i="32"/>
  <c r="U28" i="32"/>
  <c r="S28" i="32"/>
  <c r="U32" i="32"/>
  <c r="S32" i="32"/>
  <c r="U36" i="32"/>
  <c r="S36" i="32"/>
  <c r="X5" i="32"/>
  <c r="V5" i="32"/>
  <c r="X9" i="32"/>
  <c r="V9" i="32"/>
  <c r="X13" i="32"/>
  <c r="V13" i="32"/>
  <c r="X17" i="32"/>
  <c r="V17" i="32"/>
  <c r="X21" i="32"/>
  <c r="V21" i="32"/>
  <c r="X25" i="32"/>
  <c r="V25" i="32"/>
  <c r="X29" i="32"/>
  <c r="V29" i="32"/>
  <c r="X33" i="32"/>
  <c r="V33" i="32"/>
  <c r="X37" i="32"/>
  <c r="V37" i="32"/>
  <c r="U6" i="32"/>
  <c r="S6" i="32"/>
  <c r="U10" i="32"/>
  <c r="S10" i="32"/>
  <c r="U14" i="32"/>
  <c r="S14" i="32"/>
  <c r="U18" i="32"/>
  <c r="S18" i="32"/>
  <c r="U22" i="32"/>
  <c r="S22" i="32"/>
  <c r="U26" i="32"/>
  <c r="S26" i="32"/>
  <c r="U30" i="32"/>
  <c r="S30" i="32"/>
  <c r="U34" i="32"/>
  <c r="S34" i="32"/>
  <c r="S38" i="32"/>
  <c r="U38" i="32"/>
  <c r="S5" i="32"/>
  <c r="S7" i="32"/>
  <c r="S9" i="32"/>
  <c r="S11" i="32"/>
  <c r="S13" i="32"/>
  <c r="S15" i="32"/>
  <c r="S17" i="32"/>
  <c r="S19" i="32"/>
  <c r="S21" i="32"/>
  <c r="S23" i="32"/>
  <c r="S25" i="32"/>
  <c r="S27" i="32"/>
  <c r="S29" i="32"/>
  <c r="S31" i="32"/>
  <c r="S33" i="32"/>
  <c r="S35" i="32"/>
  <c r="S37" i="32"/>
  <c r="P4" i="32"/>
  <c r="P6" i="32"/>
  <c r="P8" i="32"/>
  <c r="P10" i="32"/>
  <c r="P12" i="32"/>
  <c r="P14" i="32"/>
  <c r="P16" i="32"/>
  <c r="P18" i="32"/>
  <c r="P20" i="32"/>
  <c r="P22" i="32"/>
  <c r="P24" i="32"/>
  <c r="P26" i="32"/>
  <c r="P28" i="32"/>
  <c r="P30" i="32"/>
  <c r="P32" i="32"/>
  <c r="P34" i="32"/>
  <c r="P36" i="32"/>
  <c r="P38" i="32"/>
  <c r="T11" i="31"/>
  <c r="R11" i="31"/>
  <c r="O56" i="31"/>
  <c r="Q56" i="31"/>
  <c r="T29" i="31"/>
  <c r="R29" i="31"/>
  <c r="T17" i="31"/>
  <c r="R17" i="31"/>
  <c r="T33" i="31"/>
  <c r="R33" i="31"/>
  <c r="R67" i="31"/>
  <c r="T67" i="31"/>
  <c r="R71" i="31"/>
  <c r="T71" i="31"/>
  <c r="O98" i="31"/>
  <c r="Q98" i="31"/>
  <c r="T13" i="31"/>
  <c r="R13" i="31"/>
  <c r="T31" i="31"/>
  <c r="R31" i="31"/>
  <c r="T19" i="31"/>
  <c r="R19" i="31"/>
  <c r="T35" i="31"/>
  <c r="R35" i="31"/>
  <c r="T5" i="31"/>
  <c r="R5" i="31"/>
  <c r="T21" i="31"/>
  <c r="R21" i="31"/>
  <c r="O82" i="31"/>
  <c r="Q82" i="31"/>
  <c r="R91" i="31"/>
  <c r="T91" i="31"/>
  <c r="T27" i="31"/>
  <c r="R27" i="31"/>
  <c r="AA43" i="31"/>
  <c r="U43" i="31"/>
  <c r="T7" i="31"/>
  <c r="R7" i="31"/>
  <c r="T39" i="31"/>
  <c r="R39" i="31"/>
  <c r="R49" i="31"/>
  <c r="T49" i="31"/>
  <c r="T9" i="31"/>
  <c r="R9" i="31"/>
  <c r="T25" i="31"/>
  <c r="R25" i="31"/>
  <c r="T41" i="31"/>
  <c r="R41" i="31"/>
  <c r="R65" i="31"/>
  <c r="T65" i="31"/>
  <c r="R69" i="31"/>
  <c r="T69" i="31"/>
  <c r="Q46" i="31"/>
  <c r="T55" i="31"/>
  <c r="Q62" i="31"/>
  <c r="T81" i="31"/>
  <c r="Q88" i="31"/>
  <c r="T97" i="31"/>
  <c r="T53" i="31"/>
  <c r="Q60" i="31"/>
  <c r="T79" i="31"/>
  <c r="R43" i="31"/>
  <c r="T47" i="31"/>
  <c r="Q54" i="31"/>
  <c r="T63" i="31"/>
  <c r="Q80" i="31"/>
  <c r="T89" i="31"/>
  <c r="Q96" i="31"/>
  <c r="Q50" i="31"/>
  <c r="T59" i="31"/>
  <c r="Q72" i="31"/>
  <c r="Q74" i="31"/>
  <c r="Q76" i="31"/>
  <c r="T85" i="31"/>
  <c r="Q92" i="31"/>
  <c r="O45" i="31"/>
  <c r="O47" i="31"/>
  <c r="O49" i="31"/>
  <c r="O51" i="31"/>
  <c r="O53" i="31"/>
  <c r="O55" i="31"/>
  <c r="O57" i="31"/>
  <c r="O59" i="31"/>
  <c r="O61" i="31"/>
  <c r="O63" i="31"/>
  <c r="O71" i="31"/>
  <c r="O77" i="31"/>
  <c r="O79" i="31"/>
  <c r="O81" i="31"/>
  <c r="O83" i="31"/>
  <c r="O85" i="31"/>
  <c r="O87" i="31"/>
  <c r="O89" i="31"/>
  <c r="O91" i="31"/>
  <c r="O93" i="31"/>
  <c r="O95" i="31"/>
  <c r="O97" i="31"/>
  <c r="O99" i="31"/>
  <c r="AP119" i="31" l="1"/>
  <c r="AN119" i="31"/>
  <c r="AA95" i="31"/>
  <c r="AD95" i="31" s="1"/>
  <c r="AE95" i="31" s="1"/>
  <c r="R14" i="31"/>
  <c r="R44" i="31"/>
  <c r="U44" i="31"/>
  <c r="R90" i="31"/>
  <c r="R16" i="31"/>
  <c r="AA87" i="31"/>
  <c r="AB87" i="31" s="1"/>
  <c r="T78" i="31"/>
  <c r="U78" i="31" s="1"/>
  <c r="AA30" i="31"/>
  <c r="AB30" i="31" s="1"/>
  <c r="AA99" i="31"/>
  <c r="AD99" i="31" s="1"/>
  <c r="R68" i="31"/>
  <c r="R8" i="31"/>
  <c r="AB8" i="31"/>
  <c r="U8" i="31"/>
  <c r="R58" i="31"/>
  <c r="T94" i="31"/>
  <c r="AA94" i="31" s="1"/>
  <c r="T37" i="31"/>
  <c r="AA37" i="31" s="1"/>
  <c r="T66" i="31"/>
  <c r="U66" i="31" s="1"/>
  <c r="R23" i="31"/>
  <c r="R4" i="31"/>
  <c r="AB4" i="31"/>
  <c r="U4" i="31"/>
  <c r="R64" i="31"/>
  <c r="R86" i="31"/>
  <c r="AA61" i="31"/>
  <c r="AD61" i="31" s="1"/>
  <c r="AA77" i="31"/>
  <c r="AD77" i="31" s="1"/>
  <c r="AA93" i="31"/>
  <c r="AD93" i="31" s="1"/>
  <c r="AA45" i="31"/>
  <c r="AB45" i="31" s="1"/>
  <c r="U10" i="31"/>
  <c r="R100" i="31"/>
  <c r="AB42" i="31"/>
  <c r="AA83" i="31"/>
  <c r="AD83" i="31" s="1"/>
  <c r="R10" i="31"/>
  <c r="T15" i="31"/>
  <c r="U15" i="31" s="1"/>
  <c r="R70" i="31"/>
  <c r="R84" i="31"/>
  <c r="AB10" i="31"/>
  <c r="U26" i="31"/>
  <c r="T75" i="31"/>
  <c r="R30" i="31"/>
  <c r="AB18" i="31"/>
  <c r="R24" i="31"/>
  <c r="AA36" i="31"/>
  <c r="AD36" i="31" s="1"/>
  <c r="AA51" i="31"/>
  <c r="AD51" i="31" s="1"/>
  <c r="AD20" i="31"/>
  <c r="AG20" i="31" s="1"/>
  <c r="U18" i="31"/>
  <c r="R36" i="31"/>
  <c r="R20" i="31"/>
  <c r="AA57" i="31"/>
  <c r="AB57" i="31" s="1"/>
  <c r="R18" i="31"/>
  <c r="R48" i="31"/>
  <c r="U20" i="31"/>
  <c r="AB24" i="31"/>
  <c r="R40" i="31"/>
  <c r="AA22" i="31"/>
  <c r="AD22" i="31" s="1"/>
  <c r="AA34" i="31"/>
  <c r="U34" i="31"/>
  <c r="R38" i="31"/>
  <c r="R22" i="31"/>
  <c r="R6" i="31"/>
  <c r="U28" i="31"/>
  <c r="U42" i="31"/>
  <c r="R32" i="31"/>
  <c r="AA38" i="31"/>
  <c r="AD38" i="31" s="1"/>
  <c r="AA6" i="31"/>
  <c r="AB6" i="31" s="1"/>
  <c r="AB40" i="31"/>
  <c r="R73" i="31"/>
  <c r="T73" i="31"/>
  <c r="AA12" i="31"/>
  <c r="U12" i="31"/>
  <c r="U32" i="31"/>
  <c r="AA32" i="31"/>
  <c r="R52" i="31"/>
  <c r="U14" i="31"/>
  <c r="AA14" i="31"/>
  <c r="R28" i="31"/>
  <c r="R12" i="31"/>
  <c r="AB28" i="31"/>
  <c r="AB26" i="31"/>
  <c r="AA16" i="31"/>
  <c r="U16" i="31"/>
  <c r="R34" i="31"/>
  <c r="U40" i="31"/>
  <c r="R42" i="31"/>
  <c r="R26" i="31"/>
  <c r="U24" i="31"/>
  <c r="V26" i="32"/>
  <c r="X26" i="32"/>
  <c r="AA13" i="32"/>
  <c r="Y13" i="32"/>
  <c r="AA35" i="32"/>
  <c r="Y35" i="32"/>
  <c r="X38" i="32"/>
  <c r="V38" i="32"/>
  <c r="V10" i="32"/>
  <c r="X10" i="32"/>
  <c r="AA29" i="32"/>
  <c r="Y29" i="32"/>
  <c r="V32" i="32"/>
  <c r="X32" i="32"/>
  <c r="V16" i="32"/>
  <c r="X16" i="32"/>
  <c r="AA19" i="32"/>
  <c r="Y19" i="32"/>
  <c r="X22" i="32"/>
  <c r="V22" i="32"/>
  <c r="X6" i="32"/>
  <c r="V6" i="32"/>
  <c r="AA25" i="32"/>
  <c r="Y25" i="32"/>
  <c r="AA9" i="32"/>
  <c r="Y9" i="32"/>
  <c r="V28" i="32"/>
  <c r="X28" i="32"/>
  <c r="X12" i="32"/>
  <c r="V12" i="32"/>
  <c r="AA31" i="32"/>
  <c r="Y31" i="32"/>
  <c r="AA15" i="32"/>
  <c r="Y15" i="32"/>
  <c r="X34" i="32"/>
  <c r="V34" i="32"/>
  <c r="V18" i="32"/>
  <c r="X18" i="32"/>
  <c r="AA37" i="32"/>
  <c r="Y37" i="32"/>
  <c r="AA21" i="32"/>
  <c r="Y21" i="32"/>
  <c r="AA5" i="32"/>
  <c r="Y5" i="32"/>
  <c r="V24" i="32"/>
  <c r="X24" i="32"/>
  <c r="V8" i="32"/>
  <c r="X8" i="32"/>
  <c r="AA27" i="32"/>
  <c r="Y27" i="32"/>
  <c r="AA11" i="32"/>
  <c r="Y11" i="32"/>
  <c r="V30" i="32"/>
  <c r="X30" i="32"/>
  <c r="V14" i="32"/>
  <c r="X14" i="32"/>
  <c r="AA33" i="32"/>
  <c r="Y33" i="32"/>
  <c r="AA17" i="32"/>
  <c r="Y17" i="32"/>
  <c r="X36" i="32"/>
  <c r="V36" i="32"/>
  <c r="X20" i="32"/>
  <c r="V20" i="32"/>
  <c r="X4" i="32"/>
  <c r="V4" i="32"/>
  <c r="AA23" i="32"/>
  <c r="Y23" i="32"/>
  <c r="AA7" i="32"/>
  <c r="Y7" i="32"/>
  <c r="U89" i="31"/>
  <c r="AA89" i="31"/>
  <c r="AA41" i="31"/>
  <c r="U41" i="31"/>
  <c r="AA27" i="31"/>
  <c r="U27" i="31"/>
  <c r="U85" i="31"/>
  <c r="AA85" i="31"/>
  <c r="AA90" i="31"/>
  <c r="U90" i="31"/>
  <c r="AA64" i="31"/>
  <c r="U64" i="31"/>
  <c r="T76" i="31"/>
  <c r="R76" i="31"/>
  <c r="U79" i="31"/>
  <c r="AA79" i="31"/>
  <c r="T62" i="31"/>
  <c r="R62" i="31"/>
  <c r="AA39" i="31"/>
  <c r="U39" i="31"/>
  <c r="AA31" i="31"/>
  <c r="U31" i="31"/>
  <c r="AA17" i="31"/>
  <c r="U17" i="31"/>
  <c r="T56" i="31"/>
  <c r="R56" i="31"/>
  <c r="AG24" i="31"/>
  <c r="AE24" i="31"/>
  <c r="T74" i="31"/>
  <c r="R74" i="31"/>
  <c r="T60" i="31"/>
  <c r="R60" i="31"/>
  <c r="U69" i="31"/>
  <c r="AA69" i="31"/>
  <c r="U91" i="31"/>
  <c r="AA91" i="31"/>
  <c r="AA21" i="31"/>
  <c r="U21" i="31"/>
  <c r="AA35" i="31"/>
  <c r="U35" i="31"/>
  <c r="AG42" i="31"/>
  <c r="AE42" i="31"/>
  <c r="AG10" i="31"/>
  <c r="AE10" i="31"/>
  <c r="AA48" i="31"/>
  <c r="U48" i="31"/>
  <c r="T72" i="31"/>
  <c r="R72" i="31"/>
  <c r="U63" i="31"/>
  <c r="AA63" i="31"/>
  <c r="U53" i="31"/>
  <c r="AA53" i="31"/>
  <c r="U55" i="31"/>
  <c r="AA55" i="31"/>
  <c r="AA25" i="31"/>
  <c r="U25" i="31"/>
  <c r="AA23" i="31"/>
  <c r="U23" i="31"/>
  <c r="AG18" i="31"/>
  <c r="AE18" i="31"/>
  <c r="AA13" i="31"/>
  <c r="U13" i="31"/>
  <c r="AA9" i="31"/>
  <c r="U9" i="31"/>
  <c r="AA29" i="31"/>
  <c r="U29" i="31"/>
  <c r="T54" i="31"/>
  <c r="R54" i="31"/>
  <c r="T46" i="31"/>
  <c r="R46" i="31"/>
  <c r="U65" i="31"/>
  <c r="AA65" i="31"/>
  <c r="T82" i="31"/>
  <c r="R82" i="31"/>
  <c r="AA5" i="31"/>
  <c r="U5" i="31"/>
  <c r="T98" i="31"/>
  <c r="R98" i="31"/>
  <c r="AA11" i="31"/>
  <c r="U11" i="31"/>
  <c r="AG4" i="31"/>
  <c r="AE4" i="31"/>
  <c r="AG40" i="31"/>
  <c r="AE40" i="31"/>
  <c r="AA58" i="31"/>
  <c r="U58" i="31"/>
  <c r="U81" i="31"/>
  <c r="AA81" i="31"/>
  <c r="AA70" i="31"/>
  <c r="U70" i="31"/>
  <c r="AA68" i="31"/>
  <c r="U68" i="31"/>
  <c r="AB44" i="31"/>
  <c r="AD44" i="31"/>
  <c r="U59" i="31"/>
  <c r="AA59" i="31"/>
  <c r="AA52" i="31"/>
  <c r="U52" i="31"/>
  <c r="U47" i="31"/>
  <c r="AA47" i="31"/>
  <c r="U97" i="31"/>
  <c r="AA97" i="31"/>
  <c r="AD43" i="31"/>
  <c r="AB43" i="31"/>
  <c r="AA100" i="31"/>
  <c r="U100" i="31"/>
  <c r="AA19" i="31"/>
  <c r="U19" i="31"/>
  <c r="AA33" i="31"/>
  <c r="U33" i="31"/>
  <c r="AA7" i="31"/>
  <c r="U7" i="31"/>
  <c r="T80" i="31"/>
  <c r="R80" i="31"/>
  <c r="AA86" i="31"/>
  <c r="U86" i="31"/>
  <c r="U67" i="31"/>
  <c r="AA67" i="31"/>
  <c r="T92" i="31"/>
  <c r="R92" i="31"/>
  <c r="T50" i="31"/>
  <c r="R50" i="31"/>
  <c r="T96" i="31"/>
  <c r="R96" i="31"/>
  <c r="T88" i="31"/>
  <c r="R88" i="31"/>
  <c r="U49" i="31"/>
  <c r="AA49" i="31"/>
  <c r="AA84" i="31"/>
  <c r="U84" i="31"/>
  <c r="U71" i="31"/>
  <c r="AA71" i="31"/>
  <c r="AG8" i="31"/>
  <c r="AE8" i="31"/>
  <c r="AG28" i="31"/>
  <c r="AE28" i="31"/>
  <c r="AG26" i="31"/>
  <c r="AE26" i="31"/>
  <c r="AQ119" i="31" l="1"/>
  <c r="AS119" i="31"/>
  <c r="AG95" i="31"/>
  <c r="AJ95" i="31" s="1"/>
  <c r="AB95" i="31"/>
  <c r="AB93" i="31"/>
  <c r="AD87" i="31"/>
  <c r="AG87" i="31" s="1"/>
  <c r="AA15" i="31"/>
  <c r="AD15" i="31" s="1"/>
  <c r="AB99" i="31"/>
  <c r="AA66" i="31"/>
  <c r="AB66" i="31" s="1"/>
  <c r="AB83" i="31"/>
  <c r="U94" i="31"/>
  <c r="AA78" i="31"/>
  <c r="AB78" i="31" s="1"/>
  <c r="AD57" i="31"/>
  <c r="AG57" i="31" s="1"/>
  <c r="AB77" i="31"/>
  <c r="AD30" i="31"/>
  <c r="AG30" i="31" s="1"/>
  <c r="AJ30" i="31" s="1"/>
  <c r="AD6" i="31"/>
  <c r="AG6" i="31" s="1"/>
  <c r="AB61" i="31"/>
  <c r="AB36" i="31"/>
  <c r="U37" i="31"/>
  <c r="AB51" i="31"/>
  <c r="AB22" i="31"/>
  <c r="AB38" i="31"/>
  <c r="AD45" i="31"/>
  <c r="AG45" i="31" s="1"/>
  <c r="AH26" i="31"/>
  <c r="AJ26" i="31"/>
  <c r="U75" i="31"/>
  <c r="AA75" i="31"/>
  <c r="AH42" i="31"/>
  <c r="AJ42" i="31"/>
  <c r="AH20" i="31"/>
  <c r="AJ20" i="31"/>
  <c r="AH28" i="31"/>
  <c r="AJ28" i="31"/>
  <c r="AH8" i="31"/>
  <c r="AJ8" i="31"/>
  <c r="AH40" i="31"/>
  <c r="AJ40" i="31"/>
  <c r="AH10" i="31"/>
  <c r="AJ10" i="31"/>
  <c r="AH4" i="31"/>
  <c r="AJ4" i="31"/>
  <c r="AE20" i="31"/>
  <c r="AH95" i="31"/>
  <c r="AH18" i="31"/>
  <c r="AJ18" i="31"/>
  <c r="AH24" i="31"/>
  <c r="AJ24" i="31"/>
  <c r="AD12" i="31"/>
  <c r="AB12" i="31"/>
  <c r="AD14" i="31"/>
  <c r="AB14" i="31"/>
  <c r="AD16" i="31"/>
  <c r="AB16" i="31"/>
  <c r="AD32" i="31"/>
  <c r="AB32" i="31"/>
  <c r="AD34" i="31"/>
  <c r="AB34" i="31"/>
  <c r="U73" i="31"/>
  <c r="AA73" i="31"/>
  <c r="AA22" i="32"/>
  <c r="Y22" i="32"/>
  <c r="AA14" i="32"/>
  <c r="Y14" i="32"/>
  <c r="AA8" i="32"/>
  <c r="Y8" i="32"/>
  <c r="AA16" i="32"/>
  <c r="Y16" i="32"/>
  <c r="AA28" i="32"/>
  <c r="Y28" i="32"/>
  <c r="AA20" i="32"/>
  <c r="Y20" i="32"/>
  <c r="AB37" i="32"/>
  <c r="AD37" i="32"/>
  <c r="AD31" i="32"/>
  <c r="AB31" i="32"/>
  <c r="AB25" i="32"/>
  <c r="AD25" i="32"/>
  <c r="AA38" i="32"/>
  <c r="Y38" i="32"/>
  <c r="AA30" i="32"/>
  <c r="Y30" i="32"/>
  <c r="AA24" i="32"/>
  <c r="Y24" i="32"/>
  <c r="AA18" i="32"/>
  <c r="Y18" i="32"/>
  <c r="AA32" i="32"/>
  <c r="Y32" i="32"/>
  <c r="AD7" i="32"/>
  <c r="AB7" i="32"/>
  <c r="AA36" i="32"/>
  <c r="Y36" i="32"/>
  <c r="AA12" i="32"/>
  <c r="Y12" i="32"/>
  <c r="AA6" i="32"/>
  <c r="Y6" i="32"/>
  <c r="AD35" i="32"/>
  <c r="AB35" i="32"/>
  <c r="AB17" i="32"/>
  <c r="AD17" i="32"/>
  <c r="AB11" i="32"/>
  <c r="AD11" i="32"/>
  <c r="AA34" i="32"/>
  <c r="Y34" i="32"/>
  <c r="AB29" i="32"/>
  <c r="AD29" i="32"/>
  <c r="AA10" i="32"/>
  <c r="Y10" i="32"/>
  <c r="AA26" i="32"/>
  <c r="Y26" i="32"/>
  <c r="AB23" i="32"/>
  <c r="AD23" i="32"/>
  <c r="AB5" i="32"/>
  <c r="AD5" i="32"/>
  <c r="AD13" i="32"/>
  <c r="AB13" i="32"/>
  <c r="AA4" i="32"/>
  <c r="Y4" i="32"/>
  <c r="AD33" i="32"/>
  <c r="AB33" i="32"/>
  <c r="AD27" i="32"/>
  <c r="AB27" i="32"/>
  <c r="AD21" i="32"/>
  <c r="AB21" i="32"/>
  <c r="AD15" i="32"/>
  <c r="AB15" i="32"/>
  <c r="AD9" i="32"/>
  <c r="AB9" i="32"/>
  <c r="AB19" i="32"/>
  <c r="AD19" i="32"/>
  <c r="AA50" i="31"/>
  <c r="U50" i="31"/>
  <c r="AB58" i="31"/>
  <c r="AD58" i="31"/>
  <c r="AD67" i="31"/>
  <c r="AB67" i="31"/>
  <c r="AA80" i="31"/>
  <c r="U80" i="31"/>
  <c r="AA92" i="31"/>
  <c r="U92" i="31"/>
  <c r="AD7" i="31"/>
  <c r="AB7" i="31"/>
  <c r="AB68" i="31"/>
  <c r="AD68" i="31"/>
  <c r="AD5" i="31"/>
  <c r="AB5" i="31"/>
  <c r="AA46" i="31"/>
  <c r="U46" i="31"/>
  <c r="AD29" i="31"/>
  <c r="AB29" i="31"/>
  <c r="AG38" i="31"/>
  <c r="AE38" i="31"/>
  <c r="AG36" i="31"/>
  <c r="AE36" i="31"/>
  <c r="AG93" i="31"/>
  <c r="AE93" i="31"/>
  <c r="AD31" i="31"/>
  <c r="AB31" i="31"/>
  <c r="AD27" i="31"/>
  <c r="AB27" i="31"/>
  <c r="AA88" i="31"/>
  <c r="U88" i="31"/>
  <c r="AD33" i="31"/>
  <c r="AB33" i="31"/>
  <c r="AB52" i="31"/>
  <c r="AD52" i="31"/>
  <c r="AB70" i="31"/>
  <c r="AD70" i="31"/>
  <c r="AD37" i="31"/>
  <c r="AB37" i="31"/>
  <c r="AD11" i="31"/>
  <c r="AB11" i="31"/>
  <c r="AA82" i="31"/>
  <c r="U82" i="31"/>
  <c r="AG99" i="31"/>
  <c r="AE99" i="31"/>
  <c r="AD9" i="31"/>
  <c r="AB9" i="31"/>
  <c r="AD13" i="31"/>
  <c r="AB13" i="31"/>
  <c r="AD25" i="31"/>
  <c r="AB25" i="31"/>
  <c r="AD21" i="31"/>
  <c r="AB21" i="31"/>
  <c r="AA60" i="31"/>
  <c r="U60" i="31"/>
  <c r="AB94" i="31"/>
  <c r="AD94" i="31"/>
  <c r="AD41" i="31"/>
  <c r="AB41" i="31"/>
  <c r="AB84" i="31"/>
  <c r="AD84" i="31"/>
  <c r="AD49" i="31"/>
  <c r="AB49" i="31"/>
  <c r="AE43" i="31"/>
  <c r="AG43" i="31"/>
  <c r="AB90" i="31"/>
  <c r="AD90" i="31"/>
  <c r="AD71" i="31"/>
  <c r="AB71" i="31"/>
  <c r="AD59" i="31"/>
  <c r="AB59" i="31"/>
  <c r="AD81" i="31"/>
  <c r="AB81" i="31"/>
  <c r="AD55" i="31"/>
  <c r="AB55" i="31"/>
  <c r="AD91" i="31"/>
  <c r="AB91" i="31"/>
  <c r="AB100" i="31"/>
  <c r="AD100" i="31"/>
  <c r="AD47" i="31"/>
  <c r="AB47" i="31"/>
  <c r="AD63" i="31"/>
  <c r="AB63" i="31"/>
  <c r="AA96" i="31"/>
  <c r="U96" i="31"/>
  <c r="AB86" i="31"/>
  <c r="AD86" i="31"/>
  <c r="AD19" i="31"/>
  <c r="AB19" i="31"/>
  <c r="AG51" i="31"/>
  <c r="AE51" i="31"/>
  <c r="AG77" i="31"/>
  <c r="AE77" i="31"/>
  <c r="AA54" i="31"/>
  <c r="U54" i="31"/>
  <c r="AA72" i="31"/>
  <c r="U72" i="31"/>
  <c r="AA56" i="31"/>
  <c r="U56" i="31"/>
  <c r="AA62" i="31"/>
  <c r="U62" i="31"/>
  <c r="AA76" i="31"/>
  <c r="U76" i="31"/>
  <c r="AG83" i="31"/>
  <c r="AG105" i="31" s="1"/>
  <c r="AE83" i="31"/>
  <c r="AD97" i="31"/>
  <c r="AB97" i="31"/>
  <c r="AE44" i="31"/>
  <c r="AG44" i="31"/>
  <c r="AD65" i="31"/>
  <c r="AB65" i="31"/>
  <c r="AD53" i="31"/>
  <c r="AB53" i="31"/>
  <c r="AD69" i="31"/>
  <c r="AB69" i="31"/>
  <c r="AD79" i="31"/>
  <c r="AB79" i="31"/>
  <c r="AD85" i="31"/>
  <c r="AB85" i="31"/>
  <c r="AD89" i="31"/>
  <c r="AB89" i="31"/>
  <c r="AG22" i="31"/>
  <c r="AE22" i="31"/>
  <c r="AA98" i="31"/>
  <c r="U98" i="31"/>
  <c r="AG61" i="31"/>
  <c r="AE61" i="31"/>
  <c r="AD23" i="31"/>
  <c r="AB23" i="31"/>
  <c r="AB48" i="31"/>
  <c r="AD48" i="31"/>
  <c r="AD35" i="31"/>
  <c r="AB35" i="31"/>
  <c r="AA74" i="31"/>
  <c r="U74" i="31"/>
  <c r="AD17" i="31"/>
  <c r="AB17" i="31"/>
  <c r="AD39" i="31"/>
  <c r="AB39" i="31"/>
  <c r="AB64" i="31"/>
  <c r="AD64" i="31"/>
  <c r="AV119" i="31" l="1"/>
  <c r="AT119" i="31"/>
  <c r="AE87" i="31"/>
  <c r="AD66" i="31"/>
  <c r="AG66" i="31" s="1"/>
  <c r="AB15" i="31"/>
  <c r="AD78" i="31"/>
  <c r="AE78" i="31" s="1"/>
  <c r="AE30" i="31"/>
  <c r="AH30" i="31"/>
  <c r="AE6" i="31"/>
  <c r="AE45" i="31"/>
  <c r="AE57" i="31"/>
  <c r="AH57" i="31"/>
  <c r="AJ57" i="31"/>
  <c r="AM42" i="31"/>
  <c r="AK42" i="31"/>
  <c r="AH83" i="31"/>
  <c r="AJ83" i="31"/>
  <c r="AD75" i="31"/>
  <c r="AB75" i="31"/>
  <c r="AH43" i="31"/>
  <c r="AJ43" i="31"/>
  <c r="AH38" i="31"/>
  <c r="AJ38" i="31"/>
  <c r="AK26" i="31"/>
  <c r="AM26" i="31"/>
  <c r="AH6" i="31"/>
  <c r="AJ6" i="31"/>
  <c r="AH77" i="31"/>
  <c r="AJ77" i="31"/>
  <c r="AH22" i="31"/>
  <c r="AJ22" i="31"/>
  <c r="AH99" i="31"/>
  <c r="AJ99" i="31"/>
  <c r="AH93" i="31"/>
  <c r="AJ93" i="31"/>
  <c r="AM40" i="31"/>
  <c r="AK40" i="31"/>
  <c r="AK95" i="31"/>
  <c r="AM95" i="31"/>
  <c r="AK30" i="31"/>
  <c r="AM30" i="31"/>
  <c r="AH36" i="31"/>
  <c r="AJ36" i="31"/>
  <c r="AH61" i="31"/>
  <c r="AJ61" i="31"/>
  <c r="AH51" i="31"/>
  <c r="AJ51" i="31"/>
  <c r="AM4" i="31"/>
  <c r="AK4" i="31"/>
  <c r="AM28" i="31"/>
  <c r="AK28" i="31"/>
  <c r="AM8" i="31"/>
  <c r="AK8" i="31"/>
  <c r="AH44" i="31"/>
  <c r="AJ44" i="31"/>
  <c r="AM24" i="31"/>
  <c r="AK24" i="31"/>
  <c r="AH45" i="31"/>
  <c r="AJ45" i="31"/>
  <c r="AH87" i="31"/>
  <c r="AJ87" i="31"/>
  <c r="AM10" i="31"/>
  <c r="AK10" i="31"/>
  <c r="AM20" i="31"/>
  <c r="AK20" i="31"/>
  <c r="AM18" i="31"/>
  <c r="AK18" i="31"/>
  <c r="AE32" i="31"/>
  <c r="AG32" i="31"/>
  <c r="AE16" i="31"/>
  <c r="AG16" i="31"/>
  <c r="AD73" i="31"/>
  <c r="AB73" i="31"/>
  <c r="AG14" i="31"/>
  <c r="AE14" i="31"/>
  <c r="AG34" i="31"/>
  <c r="AE34" i="31"/>
  <c r="AG12" i="31"/>
  <c r="AE12" i="31"/>
  <c r="AE21" i="32"/>
  <c r="AG21" i="32"/>
  <c r="AE13" i="32"/>
  <c r="AG13" i="32"/>
  <c r="AE19" i="32"/>
  <c r="AG19" i="32"/>
  <c r="AE29" i="32"/>
  <c r="AG29" i="32"/>
  <c r="AE37" i="32"/>
  <c r="AG37" i="32"/>
  <c r="AE27" i="32"/>
  <c r="AG27" i="32"/>
  <c r="AE17" i="32"/>
  <c r="AG17" i="32"/>
  <c r="AE23" i="32"/>
  <c r="AG23" i="32"/>
  <c r="AE31" i="32"/>
  <c r="AG31" i="32"/>
  <c r="AE33" i="32"/>
  <c r="AG33" i="32"/>
  <c r="AE11" i="32"/>
  <c r="AG11" i="32"/>
  <c r="AE25" i="32"/>
  <c r="AG25" i="32"/>
  <c r="AE15" i="32"/>
  <c r="AG15" i="32"/>
  <c r="AE35" i="32"/>
  <c r="AG35" i="32"/>
  <c r="AE9" i="32"/>
  <c r="AG9" i="32"/>
  <c r="AE5" i="32"/>
  <c r="AG5" i="32"/>
  <c r="AE7" i="32"/>
  <c r="AG7" i="32"/>
  <c r="AD36" i="32"/>
  <c r="AB36" i="32"/>
  <c r="AD24" i="32"/>
  <c r="AB24" i="32"/>
  <c r="AD16" i="32"/>
  <c r="AB16" i="32"/>
  <c r="AD10" i="32"/>
  <c r="AB10" i="32"/>
  <c r="AD30" i="32"/>
  <c r="AB30" i="32"/>
  <c r="AD8" i="32"/>
  <c r="AB8" i="32"/>
  <c r="AD34" i="32"/>
  <c r="AB34" i="32"/>
  <c r="AD6" i="32"/>
  <c r="AB6" i="32"/>
  <c r="AD32" i="32"/>
  <c r="AB32" i="32"/>
  <c r="AD38" i="32"/>
  <c r="AB38" i="32"/>
  <c r="AD20" i="32"/>
  <c r="AB20" i="32"/>
  <c r="AD14" i="32"/>
  <c r="AB14" i="32"/>
  <c r="AD4" i="32"/>
  <c r="AB4" i="32"/>
  <c r="AD26" i="32"/>
  <c r="AB26" i="32"/>
  <c r="AD12" i="32"/>
  <c r="AB12" i="32"/>
  <c r="AD18" i="32"/>
  <c r="AB18" i="32"/>
  <c r="AD28" i="32"/>
  <c r="AB28" i="32"/>
  <c r="AD22" i="32"/>
  <c r="AB22" i="32"/>
  <c r="AG85" i="31"/>
  <c r="AE85" i="31"/>
  <c r="AE100" i="31"/>
  <c r="AG100" i="31"/>
  <c r="AG49" i="31"/>
  <c r="AE49" i="31"/>
  <c r="AE48" i="31"/>
  <c r="AG48" i="31"/>
  <c r="AE39" i="31"/>
  <c r="AG39" i="31"/>
  <c r="AB98" i="31"/>
  <c r="AD98" i="31"/>
  <c r="AG79" i="31"/>
  <c r="AE79" i="31"/>
  <c r="AB62" i="31"/>
  <c r="AD62" i="31"/>
  <c r="AB72" i="31"/>
  <c r="AD72" i="31"/>
  <c r="AB96" i="31"/>
  <c r="AD96" i="31"/>
  <c r="AG91" i="31"/>
  <c r="AE91" i="31"/>
  <c r="AG71" i="31"/>
  <c r="AE71" i="31"/>
  <c r="AB60" i="31"/>
  <c r="AD60" i="31"/>
  <c r="AE13" i="31"/>
  <c r="AG13" i="31"/>
  <c r="AG11" i="31"/>
  <c r="AE11" i="31"/>
  <c r="AG33" i="31"/>
  <c r="AE33" i="31"/>
  <c r="AG31" i="31"/>
  <c r="AE31" i="31"/>
  <c r="AG67" i="31"/>
  <c r="AE67" i="31"/>
  <c r="AE86" i="31"/>
  <c r="AG86" i="31"/>
  <c r="AB76" i="31"/>
  <c r="AD76" i="31"/>
  <c r="AG59" i="31"/>
  <c r="AE59" i="31"/>
  <c r="AG25" i="31"/>
  <c r="AE25" i="31"/>
  <c r="AB82" i="31"/>
  <c r="AD82" i="31"/>
  <c r="AB80" i="31"/>
  <c r="AD80" i="31"/>
  <c r="AE84" i="31"/>
  <c r="AG84" i="31"/>
  <c r="AE68" i="31"/>
  <c r="AG68" i="31"/>
  <c r="AE90" i="31"/>
  <c r="AG90" i="31"/>
  <c r="AE58" i="31"/>
  <c r="AG58" i="31"/>
  <c r="AE64" i="31"/>
  <c r="AG64" i="31"/>
  <c r="AG35" i="31"/>
  <c r="AE35" i="31"/>
  <c r="AG65" i="31"/>
  <c r="AE65" i="31"/>
  <c r="AG5" i="31"/>
  <c r="AE5" i="31"/>
  <c r="AG17" i="31"/>
  <c r="AE17" i="31"/>
  <c r="AE23" i="31"/>
  <c r="AG23" i="31"/>
  <c r="AG69" i="31"/>
  <c r="AE69" i="31"/>
  <c r="AG97" i="31"/>
  <c r="AE97" i="31"/>
  <c r="AG15" i="31"/>
  <c r="AE15" i="31"/>
  <c r="AG63" i="31"/>
  <c r="AE63" i="31"/>
  <c r="AG55" i="31"/>
  <c r="AE55" i="31"/>
  <c r="AG41" i="31"/>
  <c r="AE41" i="31"/>
  <c r="AG21" i="31"/>
  <c r="AE21" i="31"/>
  <c r="AG9" i="31"/>
  <c r="AE9" i="31"/>
  <c r="AG37" i="31"/>
  <c r="AE37" i="31"/>
  <c r="AB88" i="31"/>
  <c r="AD88" i="31"/>
  <c r="AG29" i="31"/>
  <c r="AE29" i="31"/>
  <c r="AE7" i="31"/>
  <c r="AG7" i="31"/>
  <c r="AE52" i="31"/>
  <c r="AG52" i="31"/>
  <c r="AE94" i="31"/>
  <c r="AG94" i="31"/>
  <c r="AE70" i="31"/>
  <c r="AG70" i="31"/>
  <c r="AB74" i="31"/>
  <c r="AD74" i="31"/>
  <c r="AG89" i="31"/>
  <c r="AE89" i="31"/>
  <c r="AG53" i="31"/>
  <c r="AE53" i="31"/>
  <c r="AB56" i="31"/>
  <c r="AD56" i="31"/>
  <c r="AB54" i="31"/>
  <c r="AD54" i="31"/>
  <c r="AG19" i="31"/>
  <c r="AE19" i="31"/>
  <c r="AG47" i="31"/>
  <c r="AE47" i="31"/>
  <c r="AG81" i="31"/>
  <c r="AE81" i="31"/>
  <c r="AG27" i="31"/>
  <c r="AE27" i="31"/>
  <c r="AB46" i="31"/>
  <c r="AD46" i="31"/>
  <c r="AB92" i="31"/>
  <c r="AD92" i="31"/>
  <c r="AB50" i="31"/>
  <c r="AD50" i="31"/>
  <c r="AW119" i="31" l="1"/>
  <c r="AY119" i="31"/>
  <c r="BB119" i="31" s="1"/>
  <c r="AN26" i="31"/>
  <c r="AP26" i="31"/>
  <c r="AN42" i="31"/>
  <c r="AP42" i="31"/>
  <c r="AN28" i="31"/>
  <c r="AP28" i="31"/>
  <c r="AN30" i="31"/>
  <c r="AP30" i="31"/>
  <c r="AN18" i="31"/>
  <c r="AP18" i="31"/>
  <c r="AN24" i="31"/>
  <c r="AP24" i="31"/>
  <c r="AN95" i="31"/>
  <c r="AP95" i="31"/>
  <c r="AN4" i="31"/>
  <c r="AP4" i="31"/>
  <c r="AN10" i="31"/>
  <c r="AP10" i="31"/>
  <c r="AN20" i="31"/>
  <c r="AP20" i="31"/>
  <c r="AN8" i="31"/>
  <c r="AP8" i="31"/>
  <c r="AN40" i="31"/>
  <c r="AP40" i="31"/>
  <c r="AE66" i="31"/>
  <c r="AG78" i="31"/>
  <c r="AH78" i="31" s="1"/>
  <c r="AH64" i="31"/>
  <c r="AJ64" i="31"/>
  <c r="AH66" i="31"/>
  <c r="AJ66" i="31"/>
  <c r="AH86" i="31"/>
  <c r="AJ86" i="31"/>
  <c r="AK6" i="31"/>
  <c r="AM6" i="31"/>
  <c r="AH11" i="31"/>
  <c r="AJ11" i="31"/>
  <c r="AH49" i="31"/>
  <c r="AJ49" i="31"/>
  <c r="AE75" i="31"/>
  <c r="AG75" i="31"/>
  <c r="AH68" i="31"/>
  <c r="AJ68" i="31"/>
  <c r="AH67" i="31"/>
  <c r="AJ67" i="31"/>
  <c r="AH94" i="31"/>
  <c r="AJ94" i="31"/>
  <c r="AH84" i="31"/>
  <c r="AJ84" i="31"/>
  <c r="AM38" i="31"/>
  <c r="AK38" i="31"/>
  <c r="AH13" i="31"/>
  <c r="AJ13" i="31"/>
  <c r="AH53" i="31"/>
  <c r="AJ53" i="31"/>
  <c r="AH15" i="31"/>
  <c r="AJ15" i="31"/>
  <c r="AH41" i="31"/>
  <c r="AJ41" i="31"/>
  <c r="AH97" i="31"/>
  <c r="AJ97" i="31"/>
  <c r="AH59" i="31"/>
  <c r="AJ59" i="31"/>
  <c r="AH85" i="31"/>
  <c r="AJ85" i="31"/>
  <c r="AM83" i="31"/>
  <c r="AK83" i="31"/>
  <c r="AH32" i="31"/>
  <c r="AJ32" i="31"/>
  <c r="AK77" i="31"/>
  <c r="AM77" i="31"/>
  <c r="AK43" i="31"/>
  <c r="AM43" i="31"/>
  <c r="AM57" i="31"/>
  <c r="AK57" i="31"/>
  <c r="AH17" i="31"/>
  <c r="AJ17" i="31"/>
  <c r="AH37" i="31"/>
  <c r="AJ37" i="31"/>
  <c r="AH33" i="31"/>
  <c r="AJ33" i="31"/>
  <c r="AH34" i="31"/>
  <c r="AJ34" i="31"/>
  <c r="AH52" i="31"/>
  <c r="AJ52" i="31"/>
  <c r="AH90" i="31"/>
  <c r="AJ90" i="31"/>
  <c r="AH48" i="31"/>
  <c r="AJ48" i="31"/>
  <c r="AM87" i="31"/>
  <c r="AK87" i="31"/>
  <c r="AM61" i="31"/>
  <c r="AK61" i="31"/>
  <c r="AH27" i="31"/>
  <c r="AJ27" i="31"/>
  <c r="AH55" i="31"/>
  <c r="AJ55" i="31"/>
  <c r="AH69" i="31"/>
  <c r="AJ69" i="31"/>
  <c r="AH65" i="31"/>
  <c r="AJ65" i="31"/>
  <c r="AH71" i="31"/>
  <c r="AJ71" i="31"/>
  <c r="AH7" i="31"/>
  <c r="AJ7" i="31"/>
  <c r="AH23" i="31"/>
  <c r="AJ23" i="31"/>
  <c r="AM45" i="31"/>
  <c r="AK45" i="31"/>
  <c r="AM36" i="31"/>
  <c r="AK36" i="31"/>
  <c r="AH81" i="31"/>
  <c r="AJ81" i="31"/>
  <c r="AH91" i="31"/>
  <c r="AJ91" i="31"/>
  <c r="AH79" i="31"/>
  <c r="AJ79" i="31"/>
  <c r="AH14" i="31"/>
  <c r="AJ14" i="31"/>
  <c r="AH70" i="31"/>
  <c r="AJ70" i="31"/>
  <c r="AM93" i="31"/>
  <c r="AK93" i="31"/>
  <c r="AH9" i="31"/>
  <c r="AJ9" i="31"/>
  <c r="AH63" i="31"/>
  <c r="AJ63" i="31"/>
  <c r="AH35" i="31"/>
  <c r="AJ35" i="31"/>
  <c r="AH100" i="31"/>
  <c r="AJ100" i="31"/>
  <c r="AM99" i="31"/>
  <c r="AK99" i="31"/>
  <c r="AH25" i="31"/>
  <c r="AJ25" i="31"/>
  <c r="AH58" i="31"/>
  <c r="AJ58" i="31"/>
  <c r="AH39" i="31"/>
  <c r="AJ39" i="31"/>
  <c r="AH16" i="31"/>
  <c r="AJ16" i="31"/>
  <c r="AM44" i="31"/>
  <c r="AK44" i="31"/>
  <c r="AM51" i="31"/>
  <c r="AK51" i="31"/>
  <c r="AM22" i="31"/>
  <c r="AP22" i="31" s="1"/>
  <c r="AK22" i="31"/>
  <c r="AH47" i="31"/>
  <c r="AJ47" i="31"/>
  <c r="AH29" i="31"/>
  <c r="AJ29" i="31"/>
  <c r="AH21" i="31"/>
  <c r="AJ21" i="31"/>
  <c r="AH19" i="31"/>
  <c r="AJ19" i="31"/>
  <c r="AH89" i="31"/>
  <c r="AJ89" i="31"/>
  <c r="AH5" i="31"/>
  <c r="AJ5" i="31"/>
  <c r="AH31" i="31"/>
  <c r="AJ31" i="31"/>
  <c r="AH12" i="31"/>
  <c r="AJ12" i="31"/>
  <c r="AG73" i="31"/>
  <c r="AE73" i="31"/>
  <c r="AJ25" i="32"/>
  <c r="AH25" i="32"/>
  <c r="AH23" i="32"/>
  <c r="AJ23" i="32"/>
  <c r="AJ29" i="32"/>
  <c r="AH29" i="32"/>
  <c r="AE34" i="32"/>
  <c r="AG34" i="32"/>
  <c r="AE16" i="32"/>
  <c r="AG16" i="32"/>
  <c r="AH17" i="32"/>
  <c r="AJ17" i="32"/>
  <c r="AE22" i="32"/>
  <c r="AG22" i="32"/>
  <c r="AE26" i="32"/>
  <c r="AG26" i="32"/>
  <c r="AE38" i="32"/>
  <c r="AG38" i="32"/>
  <c r="AE24" i="32"/>
  <c r="AG24" i="32"/>
  <c r="AH33" i="32"/>
  <c r="AJ33" i="32"/>
  <c r="AH27" i="32"/>
  <c r="AJ27" i="32"/>
  <c r="AH13" i="32"/>
  <c r="AJ13" i="32"/>
  <c r="AH19" i="32"/>
  <c r="AJ19" i="32"/>
  <c r="AE28" i="32"/>
  <c r="AG28" i="32"/>
  <c r="AE32" i="32"/>
  <c r="AG32" i="32"/>
  <c r="AE30" i="32"/>
  <c r="AG30" i="32"/>
  <c r="AE36" i="32"/>
  <c r="AG36" i="32"/>
  <c r="AH11" i="32"/>
  <c r="AJ11" i="32"/>
  <c r="AH15" i="32"/>
  <c r="AJ15" i="32"/>
  <c r="AH31" i="32"/>
  <c r="AJ31" i="32"/>
  <c r="AH37" i="32"/>
  <c r="AJ37" i="32"/>
  <c r="AJ21" i="32"/>
  <c r="AH21" i="32"/>
  <c r="AE18" i="32"/>
  <c r="AG18" i="32"/>
  <c r="AE14" i="32"/>
  <c r="AG14" i="32"/>
  <c r="AE10" i="32"/>
  <c r="AG10" i="32"/>
  <c r="AJ7" i="32"/>
  <c r="AH7" i="32"/>
  <c r="AE6" i="32"/>
  <c r="AG6" i="32"/>
  <c r="AH9" i="32"/>
  <c r="AJ9" i="32"/>
  <c r="AE8" i="32"/>
  <c r="AG8" i="32"/>
  <c r="AJ5" i="32"/>
  <c r="AH5" i="32"/>
  <c r="AE12" i="32"/>
  <c r="AG12" i="32"/>
  <c r="AJ35" i="32"/>
  <c r="AH35" i="32"/>
  <c r="AE20" i="32"/>
  <c r="AG20" i="32"/>
  <c r="AE4" i="32"/>
  <c r="AG4" i="32"/>
  <c r="AE80" i="31"/>
  <c r="AG80" i="31"/>
  <c r="AE76" i="31"/>
  <c r="AG76" i="31"/>
  <c r="AE62" i="31"/>
  <c r="AG62" i="31"/>
  <c r="AE82" i="31"/>
  <c r="AG82" i="31"/>
  <c r="AE92" i="31"/>
  <c r="AG92" i="31"/>
  <c r="AE96" i="31"/>
  <c r="AG96" i="31"/>
  <c r="AE98" i="31"/>
  <c r="AG98" i="31"/>
  <c r="AE74" i="31"/>
  <c r="AG74" i="31"/>
  <c r="AE50" i="31"/>
  <c r="AG50" i="31"/>
  <c r="AE46" i="31"/>
  <c r="AG46" i="31"/>
  <c r="AE88" i="31"/>
  <c r="AG88" i="31"/>
  <c r="AE60" i="31"/>
  <c r="AG60" i="31"/>
  <c r="AE72" i="31"/>
  <c r="AG72" i="31"/>
  <c r="AE54" i="31"/>
  <c r="AG54" i="31"/>
  <c r="AE56" i="31"/>
  <c r="AG56" i="31"/>
  <c r="AZ119" i="31" l="1"/>
  <c r="AQ30" i="31"/>
  <c r="AS30" i="31"/>
  <c r="AQ8" i="31"/>
  <c r="AS8" i="31"/>
  <c r="AQ95" i="31"/>
  <c r="AS95" i="31"/>
  <c r="AQ28" i="31"/>
  <c r="AS28" i="31"/>
  <c r="AQ22" i="31"/>
  <c r="AS22" i="31"/>
  <c r="AQ40" i="31"/>
  <c r="AS40" i="31"/>
  <c r="AQ20" i="31"/>
  <c r="AS20" i="31"/>
  <c r="AQ24" i="31"/>
  <c r="AS24" i="31"/>
  <c r="AQ42" i="31"/>
  <c r="AS42" i="31"/>
  <c r="AQ4" i="31"/>
  <c r="AS4" i="31"/>
  <c r="AQ10" i="31"/>
  <c r="AS10" i="31"/>
  <c r="AQ18" i="31"/>
  <c r="AS18" i="31"/>
  <c r="AQ26" i="31"/>
  <c r="AS26" i="31"/>
  <c r="AK31" i="32"/>
  <c r="AM31" i="32"/>
  <c r="AP31" i="32" s="1"/>
  <c r="AS31" i="32" s="1"/>
  <c r="AK13" i="32"/>
  <c r="AM13" i="32"/>
  <c r="AP13" i="32" s="1"/>
  <c r="AS13" i="32" s="1"/>
  <c r="AK37" i="32"/>
  <c r="AM37" i="32"/>
  <c r="AP37" i="32" s="1"/>
  <c r="AS37" i="32" s="1"/>
  <c r="AK23" i="32"/>
  <c r="AM23" i="32"/>
  <c r="AP23" i="32" s="1"/>
  <c r="AS23" i="32" s="1"/>
  <c r="AK25" i="32"/>
  <c r="AM25" i="32"/>
  <c r="AP25" i="32" s="1"/>
  <c r="AS25" i="32" s="1"/>
  <c r="AK17" i="32"/>
  <c r="AM17" i="32"/>
  <c r="AP17" i="32" s="1"/>
  <c r="AS17" i="32" s="1"/>
  <c r="AK27" i="32"/>
  <c r="AM27" i="32"/>
  <c r="AP27" i="32" s="1"/>
  <c r="AS27" i="32" s="1"/>
  <c r="AK15" i="32"/>
  <c r="AM15" i="32"/>
  <c r="AP15" i="32" s="1"/>
  <c r="AS15" i="32" s="1"/>
  <c r="AK11" i="32"/>
  <c r="AM11" i="32"/>
  <c r="AP11" i="32" s="1"/>
  <c r="AS11" i="32" s="1"/>
  <c r="AK33" i="32"/>
  <c r="AM33" i="32"/>
  <c r="AP33" i="32" s="1"/>
  <c r="AS33" i="32" s="1"/>
  <c r="AK19" i="32"/>
  <c r="AM19" i="32"/>
  <c r="AP19" i="32" s="1"/>
  <c r="AS19" i="32" s="1"/>
  <c r="AK21" i="32"/>
  <c r="AM21" i="32"/>
  <c r="AP21" i="32" s="1"/>
  <c r="AS21" i="32" s="1"/>
  <c r="AK29" i="32"/>
  <c r="AM29" i="32"/>
  <c r="AP29" i="32" s="1"/>
  <c r="AS29" i="32" s="1"/>
  <c r="AK9" i="32"/>
  <c r="AM9" i="32"/>
  <c r="AP9" i="32" s="1"/>
  <c r="AS9" i="32" s="1"/>
  <c r="AK35" i="32"/>
  <c r="AM35" i="32"/>
  <c r="AP35" i="32" s="1"/>
  <c r="AS35" i="32" s="1"/>
  <c r="AK5" i="32"/>
  <c r="AM5" i="32"/>
  <c r="AP5" i="32" s="1"/>
  <c r="AS5" i="32" s="1"/>
  <c r="AK7" i="32"/>
  <c r="AM7" i="32"/>
  <c r="AP7" i="32" s="1"/>
  <c r="AS7" i="32" s="1"/>
  <c r="AN57" i="31"/>
  <c r="AP57" i="31"/>
  <c r="AN83" i="31"/>
  <c r="AP83" i="31"/>
  <c r="AN38" i="31"/>
  <c r="AP38" i="31"/>
  <c r="AN43" i="31"/>
  <c r="AP43" i="31"/>
  <c r="AN77" i="31"/>
  <c r="AP77" i="31"/>
  <c r="AN6" i="31"/>
  <c r="AP6" i="31"/>
  <c r="AN99" i="31"/>
  <c r="AP99" i="31"/>
  <c r="AN45" i="31"/>
  <c r="AP45" i="31"/>
  <c r="AN61" i="31"/>
  <c r="AP61" i="31"/>
  <c r="AN93" i="31"/>
  <c r="AP93" i="31"/>
  <c r="AN87" i="31"/>
  <c r="AP87" i="31"/>
  <c r="AN51" i="31"/>
  <c r="AP51" i="31"/>
  <c r="AN44" i="31"/>
  <c r="AP44" i="31"/>
  <c r="AN36" i="31"/>
  <c r="AP36" i="31"/>
  <c r="AN22" i="31"/>
  <c r="AJ78" i="31"/>
  <c r="AK78" i="31" s="1"/>
  <c r="AH98" i="31"/>
  <c r="AJ98" i="31"/>
  <c r="AH54" i="31"/>
  <c r="AJ54" i="31"/>
  <c r="AH46" i="31"/>
  <c r="AJ46" i="31"/>
  <c r="AH96" i="31"/>
  <c r="AJ96" i="31"/>
  <c r="AH76" i="31"/>
  <c r="AJ76" i="31"/>
  <c r="AK33" i="31"/>
  <c r="AM33" i="31"/>
  <c r="AM85" i="31"/>
  <c r="AK85" i="31"/>
  <c r="AK15" i="31"/>
  <c r="AM15" i="31"/>
  <c r="AK84" i="31"/>
  <c r="AM84" i="31"/>
  <c r="AH75" i="31"/>
  <c r="AJ75" i="31"/>
  <c r="AK86" i="31"/>
  <c r="AM86" i="31"/>
  <c r="AK41" i="31"/>
  <c r="AM41" i="31"/>
  <c r="AM68" i="31"/>
  <c r="AK68" i="31"/>
  <c r="AH50" i="31"/>
  <c r="AJ50" i="31"/>
  <c r="AH80" i="31"/>
  <c r="AJ80" i="31"/>
  <c r="AK37" i="31"/>
  <c r="AM37" i="31"/>
  <c r="AK59" i="31"/>
  <c r="AM59" i="31"/>
  <c r="AM66" i="31"/>
  <c r="AK66" i="31"/>
  <c r="AH60" i="31"/>
  <c r="AJ60" i="31"/>
  <c r="AH74" i="31"/>
  <c r="AJ74" i="31"/>
  <c r="AH82" i="31"/>
  <c r="AJ82" i="31"/>
  <c r="AM17" i="31"/>
  <c r="AK17" i="31"/>
  <c r="AM32" i="31"/>
  <c r="AK32" i="31"/>
  <c r="AM97" i="31"/>
  <c r="AK97" i="31"/>
  <c r="AM13" i="31"/>
  <c r="AK13" i="31"/>
  <c r="AK67" i="31"/>
  <c r="AM67" i="31"/>
  <c r="AK11" i="31"/>
  <c r="AM11" i="31"/>
  <c r="AK64" i="31"/>
  <c r="AM64" i="31"/>
  <c r="AH56" i="31"/>
  <c r="AJ56" i="31"/>
  <c r="AM34" i="31"/>
  <c r="AK34" i="31"/>
  <c r="AK53" i="31"/>
  <c r="AM53" i="31"/>
  <c r="AM94" i="31"/>
  <c r="AK94" i="31"/>
  <c r="AK49" i="31"/>
  <c r="AM49" i="31"/>
  <c r="AH73" i="31"/>
  <c r="AJ73" i="31"/>
  <c r="AM7" i="31"/>
  <c r="AK7" i="31"/>
  <c r="AH88" i="31"/>
  <c r="AJ88" i="31"/>
  <c r="AH62" i="31"/>
  <c r="AJ62" i="31"/>
  <c r="AM31" i="31"/>
  <c r="AK31" i="31"/>
  <c r="AK21" i="31"/>
  <c r="AM21" i="31"/>
  <c r="AM58" i="31"/>
  <c r="AK58" i="31"/>
  <c r="AM91" i="31"/>
  <c r="AK91" i="31"/>
  <c r="AM23" i="31"/>
  <c r="AK23" i="31"/>
  <c r="AM69" i="31"/>
  <c r="AK69" i="31"/>
  <c r="AM35" i="31"/>
  <c r="AK35" i="31"/>
  <c r="AM70" i="31"/>
  <c r="AK70" i="31"/>
  <c r="AM48" i="31"/>
  <c r="AK48" i="31"/>
  <c r="AK47" i="31"/>
  <c r="AM47" i="31"/>
  <c r="AK71" i="31"/>
  <c r="AM71" i="31"/>
  <c r="AM29" i="31"/>
  <c r="AK29" i="31"/>
  <c r="AK81" i="31"/>
  <c r="AM81" i="31"/>
  <c r="AH72" i="31"/>
  <c r="AJ72" i="31"/>
  <c r="AH92" i="31"/>
  <c r="AJ92" i="31"/>
  <c r="AM14" i="31"/>
  <c r="AK14" i="31"/>
  <c r="AM90" i="31"/>
  <c r="AK90" i="31"/>
  <c r="AM12" i="31"/>
  <c r="AK12" i="31"/>
  <c r="AM19" i="31"/>
  <c r="AK19" i="31"/>
  <c r="AM39" i="31"/>
  <c r="AK39" i="31"/>
  <c r="AM100" i="31"/>
  <c r="AK100" i="31"/>
  <c r="AM9" i="31"/>
  <c r="AK9" i="31"/>
  <c r="AM79" i="31"/>
  <c r="AK79" i="31"/>
  <c r="AM65" i="31"/>
  <c r="AK65" i="31"/>
  <c r="AM52" i="31"/>
  <c r="AK52" i="31"/>
  <c r="AM5" i="31"/>
  <c r="AK5" i="31"/>
  <c r="AM25" i="31"/>
  <c r="AK25" i="31"/>
  <c r="AM55" i="31"/>
  <c r="AK55" i="31"/>
  <c r="AM89" i="31"/>
  <c r="AK89" i="31"/>
  <c r="AK16" i="31"/>
  <c r="AM16" i="31"/>
  <c r="AK63" i="31"/>
  <c r="AM63" i="31"/>
  <c r="AM27" i="31"/>
  <c r="AK27" i="31"/>
  <c r="AH34" i="32"/>
  <c r="AJ34" i="32"/>
  <c r="AH22" i="32"/>
  <c r="AJ22" i="32"/>
  <c r="AH32" i="32"/>
  <c r="AJ32" i="32"/>
  <c r="AJ10" i="32"/>
  <c r="AH10" i="32"/>
  <c r="AH36" i="32"/>
  <c r="AJ36" i="32"/>
  <c r="AH24" i="32"/>
  <c r="AJ24" i="32"/>
  <c r="AH14" i="32"/>
  <c r="AJ14" i="32"/>
  <c r="AH30" i="32"/>
  <c r="AJ30" i="32"/>
  <c r="AJ38" i="32"/>
  <c r="AH38" i="32"/>
  <c r="AJ16" i="32"/>
  <c r="AH16" i="32"/>
  <c r="AH18" i="32"/>
  <c r="AJ18" i="32"/>
  <c r="AH26" i="32"/>
  <c r="AJ26" i="32"/>
  <c r="AH28" i="32"/>
  <c r="AJ28" i="32"/>
  <c r="AJ20" i="32"/>
  <c r="AH20" i="32"/>
  <c r="AJ8" i="32"/>
  <c r="AH8" i="32"/>
  <c r="AJ12" i="32"/>
  <c r="AH12" i="32"/>
  <c r="AH6" i="32"/>
  <c r="AJ6" i="32"/>
  <c r="AJ4" i="32"/>
  <c r="AH4" i="32"/>
  <c r="BC119" i="31" l="1"/>
  <c r="BE119" i="31"/>
  <c r="AT35" i="32"/>
  <c r="AV35" i="32"/>
  <c r="AT19" i="32"/>
  <c r="AV19" i="32"/>
  <c r="AT27" i="32"/>
  <c r="AV27" i="32"/>
  <c r="AT37" i="32"/>
  <c r="AV37" i="32"/>
  <c r="AT9" i="32"/>
  <c r="AV9" i="32"/>
  <c r="AT33" i="32"/>
  <c r="AV33" i="32"/>
  <c r="AT7" i="32"/>
  <c r="AV7" i="32"/>
  <c r="AT29" i="32"/>
  <c r="AV29" i="32"/>
  <c r="AT11" i="32"/>
  <c r="AV11" i="32"/>
  <c r="AT25" i="32"/>
  <c r="AV25" i="32"/>
  <c r="AT31" i="32"/>
  <c r="AV31" i="32"/>
  <c r="AT13" i="32"/>
  <c r="AV13" i="32"/>
  <c r="AT5" i="32"/>
  <c r="AV5" i="32"/>
  <c r="AT21" i="32"/>
  <c r="AV21" i="32"/>
  <c r="AT15" i="32"/>
  <c r="AV15" i="32"/>
  <c r="AT23" i="32"/>
  <c r="AV23" i="32"/>
  <c r="AT17" i="32"/>
  <c r="AV17" i="32"/>
  <c r="AT40" i="31"/>
  <c r="AV40" i="31"/>
  <c r="AY40" i="31" s="1"/>
  <c r="AT28" i="31"/>
  <c r="AV28" i="31"/>
  <c r="AT10" i="31"/>
  <c r="AV10" i="31"/>
  <c r="AY10" i="31" s="1"/>
  <c r="AT4" i="31"/>
  <c r="AV4" i="31"/>
  <c r="AY4" i="31" s="1"/>
  <c r="AT8" i="31"/>
  <c r="AV8" i="31"/>
  <c r="AT18" i="31"/>
  <c r="AV18" i="31"/>
  <c r="AY18" i="31" s="1"/>
  <c r="AT24" i="31"/>
  <c r="AV24" i="31"/>
  <c r="AY24" i="31" s="1"/>
  <c r="AT95" i="31"/>
  <c r="AV95" i="31"/>
  <c r="AT26" i="31"/>
  <c r="AV26" i="31"/>
  <c r="AY26" i="31" s="1"/>
  <c r="AT42" i="31"/>
  <c r="AV42" i="31"/>
  <c r="AY42" i="31" s="1"/>
  <c r="AT22" i="31"/>
  <c r="AV22" i="31"/>
  <c r="AT30" i="31"/>
  <c r="AV30" i="31"/>
  <c r="AT20" i="31"/>
  <c r="AV20" i="31"/>
  <c r="AY20" i="31" s="1"/>
  <c r="AN19" i="32"/>
  <c r="AQ19" i="32"/>
  <c r="AN9" i="32"/>
  <c r="AQ9" i="32"/>
  <c r="AN33" i="32"/>
  <c r="AQ33" i="32"/>
  <c r="AN17" i="32"/>
  <c r="AQ17" i="32"/>
  <c r="AN13" i="32"/>
  <c r="AQ13" i="32"/>
  <c r="AN35" i="32"/>
  <c r="AQ35" i="32"/>
  <c r="AN7" i="32"/>
  <c r="AQ7" i="32"/>
  <c r="AN29" i="32"/>
  <c r="AQ29" i="32"/>
  <c r="AN11" i="32"/>
  <c r="AQ11" i="32"/>
  <c r="AN25" i="32"/>
  <c r="AQ25" i="32"/>
  <c r="AN31" i="32"/>
  <c r="AQ31" i="32"/>
  <c r="AN27" i="32"/>
  <c r="AQ27" i="32"/>
  <c r="AN37" i="32"/>
  <c r="AQ37" i="32"/>
  <c r="AN5" i="32"/>
  <c r="AQ5" i="32"/>
  <c r="AN21" i="32"/>
  <c r="AQ21" i="32"/>
  <c r="AN15" i="32"/>
  <c r="AQ15" i="32"/>
  <c r="AN23" i="32"/>
  <c r="AQ23" i="32"/>
  <c r="AQ44" i="31"/>
  <c r="AS44" i="31"/>
  <c r="AQ61" i="31"/>
  <c r="AS61" i="31"/>
  <c r="AQ77" i="31"/>
  <c r="AS77" i="31"/>
  <c r="AQ57" i="31"/>
  <c r="AS57" i="31"/>
  <c r="AQ36" i="31"/>
  <c r="AS36" i="31"/>
  <c r="AQ6" i="31"/>
  <c r="AS6" i="31"/>
  <c r="AQ83" i="31"/>
  <c r="AS83" i="31"/>
  <c r="AQ93" i="31"/>
  <c r="AS93" i="31"/>
  <c r="AQ51" i="31"/>
  <c r="AS51" i="31"/>
  <c r="AQ45" i="31"/>
  <c r="AS45" i="31"/>
  <c r="AQ43" i="31"/>
  <c r="AS43" i="31"/>
  <c r="AQ87" i="31"/>
  <c r="AS87" i="31"/>
  <c r="AQ99" i="31"/>
  <c r="AS99" i="31"/>
  <c r="AQ38" i="31"/>
  <c r="AS38" i="31"/>
  <c r="AK24" i="32"/>
  <c r="AM24" i="32"/>
  <c r="AP24" i="32" s="1"/>
  <c r="AS24" i="32" s="1"/>
  <c r="AK22" i="32"/>
  <c r="AM22" i="32"/>
  <c r="AP22" i="32" s="1"/>
  <c r="AS22" i="32" s="1"/>
  <c r="AK18" i="32"/>
  <c r="AM18" i="32"/>
  <c r="AP18" i="32" s="1"/>
  <c r="AS18" i="32" s="1"/>
  <c r="AK16" i="32"/>
  <c r="AM16" i="32"/>
  <c r="AP16" i="32" s="1"/>
  <c r="AS16" i="32" s="1"/>
  <c r="AK32" i="32"/>
  <c r="AM32" i="32"/>
  <c r="AP32" i="32" s="1"/>
  <c r="AS32" i="32" s="1"/>
  <c r="AK36" i="32"/>
  <c r="AM36" i="32"/>
  <c r="AP36" i="32" s="1"/>
  <c r="AS36" i="32" s="1"/>
  <c r="AK38" i="32"/>
  <c r="AM38" i="32"/>
  <c r="AP38" i="32" s="1"/>
  <c r="AS38" i="32" s="1"/>
  <c r="AK26" i="32"/>
  <c r="AM26" i="32"/>
  <c r="AP26" i="32" s="1"/>
  <c r="AS26" i="32" s="1"/>
  <c r="AK14" i="32"/>
  <c r="AM14" i="32"/>
  <c r="AP14" i="32" s="1"/>
  <c r="AS14" i="32" s="1"/>
  <c r="AK28" i="32"/>
  <c r="AM28" i="32"/>
  <c r="AP28" i="32" s="1"/>
  <c r="AS28" i="32" s="1"/>
  <c r="AK34" i="32"/>
  <c r="AM34" i="32"/>
  <c r="AP34" i="32" s="1"/>
  <c r="AS34" i="32" s="1"/>
  <c r="AK30" i="32"/>
  <c r="AM30" i="32"/>
  <c r="AP30" i="32" s="1"/>
  <c r="AS30" i="32" s="1"/>
  <c r="AK10" i="32"/>
  <c r="AM10" i="32"/>
  <c r="AP10" i="32" s="1"/>
  <c r="AS10" i="32" s="1"/>
  <c r="AK12" i="32"/>
  <c r="AM12" i="32"/>
  <c r="AP12" i="32" s="1"/>
  <c r="AS12" i="32" s="1"/>
  <c r="AK6" i="32"/>
  <c r="AM6" i="32"/>
  <c r="AP6" i="32" s="1"/>
  <c r="AS6" i="32" s="1"/>
  <c r="AK8" i="32"/>
  <c r="AM8" i="32"/>
  <c r="AP8" i="32" s="1"/>
  <c r="AS8" i="32" s="1"/>
  <c r="AK4" i="32"/>
  <c r="AM4" i="32"/>
  <c r="AP4" i="32" s="1"/>
  <c r="AS4" i="32" s="1"/>
  <c r="AK20" i="32"/>
  <c r="AM20" i="32"/>
  <c r="AP20" i="32" s="1"/>
  <c r="AS20" i="32" s="1"/>
  <c r="AN59" i="31"/>
  <c r="AP59" i="31"/>
  <c r="AN84" i="31"/>
  <c r="AP84" i="31"/>
  <c r="AN13" i="31"/>
  <c r="AP13" i="31"/>
  <c r="AN68" i="31"/>
  <c r="AP68" i="31"/>
  <c r="AN49" i="31"/>
  <c r="AP49" i="31"/>
  <c r="AN41" i="31"/>
  <c r="AP41" i="31"/>
  <c r="AN15" i="31"/>
  <c r="AP15" i="31"/>
  <c r="AN94" i="31"/>
  <c r="AP94" i="31"/>
  <c r="AN97" i="31"/>
  <c r="AP97" i="31"/>
  <c r="AN64" i="31"/>
  <c r="AP64" i="31"/>
  <c r="AN37" i="31"/>
  <c r="AP37" i="31"/>
  <c r="AN53" i="31"/>
  <c r="AP53" i="31"/>
  <c r="AN11" i="31"/>
  <c r="AP11" i="31"/>
  <c r="AN86" i="31"/>
  <c r="AP86" i="31"/>
  <c r="AN32" i="31"/>
  <c r="AP32" i="31"/>
  <c r="AN85" i="31"/>
  <c r="AP85" i="31"/>
  <c r="AN67" i="31"/>
  <c r="AP67" i="31"/>
  <c r="AN33" i="31"/>
  <c r="AP33" i="31"/>
  <c r="AN34" i="31"/>
  <c r="AP34" i="31"/>
  <c r="AN17" i="31"/>
  <c r="AP17" i="31"/>
  <c r="AN66" i="31"/>
  <c r="AP66" i="31"/>
  <c r="AN81" i="31"/>
  <c r="AP81" i="31"/>
  <c r="AN16" i="31"/>
  <c r="AP16" i="31"/>
  <c r="AN89" i="31"/>
  <c r="AP89" i="31"/>
  <c r="AN52" i="31"/>
  <c r="AP52" i="31"/>
  <c r="AN100" i="31"/>
  <c r="AP100" i="31"/>
  <c r="AN90" i="31"/>
  <c r="AP90" i="31"/>
  <c r="AN48" i="31"/>
  <c r="AP48" i="31"/>
  <c r="AN23" i="31"/>
  <c r="AP23" i="31"/>
  <c r="AN31" i="31"/>
  <c r="AP31" i="31"/>
  <c r="AN47" i="31"/>
  <c r="AP47" i="31"/>
  <c r="AN9" i="31"/>
  <c r="AP9" i="31"/>
  <c r="AN21" i="31"/>
  <c r="AP21" i="31"/>
  <c r="AN5" i="31"/>
  <c r="AP5" i="31"/>
  <c r="AN69" i="31"/>
  <c r="AP69" i="31"/>
  <c r="AN55" i="31"/>
  <c r="AP55" i="31"/>
  <c r="AN65" i="31"/>
  <c r="AP65" i="31"/>
  <c r="AN39" i="31"/>
  <c r="AP39" i="31"/>
  <c r="AN14" i="31"/>
  <c r="AP14" i="31"/>
  <c r="AN29" i="31"/>
  <c r="AP29" i="31"/>
  <c r="AN70" i="31"/>
  <c r="AP70" i="31"/>
  <c r="AN91" i="31"/>
  <c r="AP91" i="31"/>
  <c r="AN71" i="31"/>
  <c r="AP71" i="31"/>
  <c r="AN12" i="31"/>
  <c r="AP12" i="31"/>
  <c r="AN7" i="31"/>
  <c r="AP7" i="31"/>
  <c r="AN27" i="31"/>
  <c r="AP27" i="31"/>
  <c r="AN63" i="31"/>
  <c r="AP63" i="31"/>
  <c r="AN25" i="31"/>
  <c r="AP25" i="31"/>
  <c r="AN79" i="31"/>
  <c r="AP79" i="31"/>
  <c r="AN19" i="31"/>
  <c r="AP19" i="31"/>
  <c r="AN35" i="31"/>
  <c r="AP35" i="31"/>
  <c r="AN58" i="31"/>
  <c r="AP58" i="31"/>
  <c r="AM78" i="31"/>
  <c r="AM46" i="31"/>
  <c r="AK46" i="31"/>
  <c r="AK73" i="31"/>
  <c r="AM73" i="31"/>
  <c r="AM50" i="31"/>
  <c r="AK50" i="31"/>
  <c r="AK75" i="31"/>
  <c r="AM75" i="31"/>
  <c r="AM54" i="31"/>
  <c r="AK54" i="31"/>
  <c r="AM80" i="31"/>
  <c r="AK80" i="31"/>
  <c r="AK56" i="31"/>
  <c r="AM56" i="31"/>
  <c r="AK82" i="31"/>
  <c r="AM82" i="31"/>
  <c r="AM76" i="31"/>
  <c r="AK76" i="31"/>
  <c r="AK98" i="31"/>
  <c r="AM98" i="31"/>
  <c r="AM74" i="31"/>
  <c r="AK74" i="31"/>
  <c r="AK96" i="31"/>
  <c r="AM96" i="31"/>
  <c r="AM60" i="31"/>
  <c r="AK60" i="31"/>
  <c r="AM92" i="31"/>
  <c r="AK92" i="31"/>
  <c r="AM62" i="31"/>
  <c r="AK62" i="31"/>
  <c r="AM72" i="31"/>
  <c r="AK72" i="31"/>
  <c r="AM88" i="31"/>
  <c r="AK88" i="31"/>
  <c r="BH119" i="31" l="1"/>
  <c r="BF119" i="31"/>
  <c r="AW7" i="32"/>
  <c r="AY7" i="32"/>
  <c r="AW23" i="32"/>
  <c r="AY23" i="32"/>
  <c r="AW13" i="32"/>
  <c r="AY13" i="32"/>
  <c r="AW29" i="32"/>
  <c r="AY29" i="32"/>
  <c r="AW37" i="32"/>
  <c r="AY37" i="32"/>
  <c r="AW15" i="32"/>
  <c r="AY15" i="32"/>
  <c r="AW31" i="32"/>
  <c r="AY31" i="32"/>
  <c r="AW21" i="32"/>
  <c r="AY21" i="32"/>
  <c r="AW25" i="32"/>
  <c r="AY25" i="32"/>
  <c r="AW33" i="32"/>
  <c r="AY33" i="32"/>
  <c r="AW19" i="32"/>
  <c r="AY19" i="32"/>
  <c r="AW17" i="32"/>
  <c r="AY17" i="32"/>
  <c r="AW5" i="32"/>
  <c r="AY5" i="32"/>
  <c r="AW11" i="32"/>
  <c r="AY11" i="32"/>
  <c r="AW9" i="32"/>
  <c r="AY9" i="32"/>
  <c r="AW35" i="32"/>
  <c r="AY35" i="32"/>
  <c r="AW27" i="32"/>
  <c r="AY27" i="32"/>
  <c r="BB42" i="31"/>
  <c r="AZ42" i="31"/>
  <c r="BB18" i="31"/>
  <c r="BE18" i="31" s="1"/>
  <c r="AZ18" i="31"/>
  <c r="BB24" i="31"/>
  <c r="BE24" i="31" s="1"/>
  <c r="AZ24" i="31"/>
  <c r="AZ10" i="31"/>
  <c r="BB10" i="31"/>
  <c r="BE10" i="31" s="1"/>
  <c r="BB20" i="31"/>
  <c r="AZ20" i="31"/>
  <c r="AZ26" i="31"/>
  <c r="BB26" i="31"/>
  <c r="BB40" i="31"/>
  <c r="AZ40" i="31"/>
  <c r="AZ4" i="31"/>
  <c r="BB4" i="31"/>
  <c r="AT20" i="32"/>
  <c r="AV20" i="32"/>
  <c r="AT6" i="32"/>
  <c r="AV6" i="32"/>
  <c r="AT34" i="32"/>
  <c r="AV34" i="32"/>
  <c r="AT38" i="32"/>
  <c r="AV38" i="32"/>
  <c r="AT18" i="32"/>
  <c r="AV18" i="32"/>
  <c r="AT28" i="32"/>
  <c r="AV28" i="32"/>
  <c r="AT4" i="32"/>
  <c r="AV4" i="32"/>
  <c r="AT10" i="32"/>
  <c r="AV10" i="32"/>
  <c r="AT14" i="32"/>
  <c r="AV14" i="32"/>
  <c r="AT32" i="32"/>
  <c r="AV32" i="32"/>
  <c r="AT24" i="32"/>
  <c r="AV24" i="32"/>
  <c r="AT12" i="32"/>
  <c r="AV12" i="32"/>
  <c r="AT22" i="32"/>
  <c r="AV22" i="32"/>
  <c r="AT8" i="32"/>
  <c r="AV8" i="32"/>
  <c r="AT26" i="32"/>
  <c r="AV26" i="32"/>
  <c r="AT16" i="32"/>
  <c r="AV16" i="32"/>
  <c r="AT36" i="32"/>
  <c r="AV36" i="32"/>
  <c r="AT30" i="32"/>
  <c r="AV30" i="32"/>
  <c r="AW22" i="31"/>
  <c r="AY22" i="31"/>
  <c r="AW95" i="31"/>
  <c r="AY95" i="31"/>
  <c r="AW28" i="31"/>
  <c r="AY28" i="31"/>
  <c r="AW4" i="31"/>
  <c r="AW30" i="31"/>
  <c r="AY30" i="31"/>
  <c r="AW8" i="31"/>
  <c r="AY8" i="31"/>
  <c r="AW24" i="31"/>
  <c r="AW42" i="31"/>
  <c r="AW18" i="31"/>
  <c r="AW20" i="31"/>
  <c r="AW26" i="31"/>
  <c r="AW40" i="31"/>
  <c r="AW10" i="31"/>
  <c r="AT43" i="31"/>
  <c r="AV43" i="31"/>
  <c r="AT38" i="31"/>
  <c r="AV38" i="31"/>
  <c r="AT61" i="31"/>
  <c r="AV61" i="31"/>
  <c r="AT99" i="31"/>
  <c r="AV99" i="31"/>
  <c r="AT51" i="31"/>
  <c r="AV51" i="31"/>
  <c r="AY51" i="31" s="1"/>
  <c r="AT36" i="31"/>
  <c r="AV36" i="31"/>
  <c r="AY36" i="31" s="1"/>
  <c r="AT44" i="31"/>
  <c r="AV44" i="31"/>
  <c r="AT45" i="31"/>
  <c r="AV45" i="31"/>
  <c r="AT83" i="31"/>
  <c r="AV83" i="31"/>
  <c r="AY83" i="31" s="1"/>
  <c r="AT6" i="31"/>
  <c r="AV6" i="31"/>
  <c r="AT87" i="31"/>
  <c r="AV87" i="31"/>
  <c r="AV109" i="31" s="1"/>
  <c r="AW109" i="31" s="1"/>
  <c r="AT93" i="31"/>
  <c r="AV93" i="31"/>
  <c r="AT57" i="31"/>
  <c r="AV57" i="31"/>
  <c r="AY57" i="31" s="1"/>
  <c r="AT77" i="31"/>
  <c r="AV77" i="31"/>
  <c r="AN12" i="32"/>
  <c r="AQ12" i="32"/>
  <c r="AN22" i="32"/>
  <c r="AQ22" i="32"/>
  <c r="AN4" i="32"/>
  <c r="AQ4" i="32"/>
  <c r="AN10" i="32"/>
  <c r="AQ10" i="32"/>
  <c r="AN14" i="32"/>
  <c r="AQ14" i="32"/>
  <c r="AN32" i="32"/>
  <c r="AQ32" i="32"/>
  <c r="AN24" i="32"/>
  <c r="AQ24" i="32"/>
  <c r="AN20" i="32"/>
  <c r="AQ20" i="32"/>
  <c r="AN8" i="32"/>
  <c r="AQ8" i="32"/>
  <c r="AN36" i="32"/>
  <c r="AQ36" i="32"/>
  <c r="AN26" i="32"/>
  <c r="AQ26" i="32"/>
  <c r="AN16" i="32"/>
  <c r="AQ16" i="32"/>
  <c r="AN6" i="32"/>
  <c r="AQ6" i="32"/>
  <c r="AN34" i="32"/>
  <c r="AQ34" i="32"/>
  <c r="AN38" i="32"/>
  <c r="AQ38" i="32"/>
  <c r="AN18" i="32"/>
  <c r="AQ18" i="32"/>
  <c r="AN28" i="32"/>
  <c r="AQ28" i="32"/>
  <c r="AN30" i="32"/>
  <c r="AQ30" i="32"/>
  <c r="AQ58" i="31"/>
  <c r="AS58" i="31"/>
  <c r="AQ9" i="31"/>
  <c r="AS9" i="31"/>
  <c r="AQ94" i="31"/>
  <c r="AS94" i="31"/>
  <c r="AQ12" i="31"/>
  <c r="AS12" i="31"/>
  <c r="AQ85" i="31"/>
  <c r="AS85" i="31"/>
  <c r="AQ35" i="31"/>
  <c r="AS35" i="31"/>
  <c r="AQ63" i="31"/>
  <c r="AS63" i="31"/>
  <c r="AQ71" i="31"/>
  <c r="AS71" i="31"/>
  <c r="AQ14" i="31"/>
  <c r="AS14" i="31"/>
  <c r="AQ69" i="31"/>
  <c r="AS69" i="31"/>
  <c r="AQ47" i="31"/>
  <c r="AS47" i="31"/>
  <c r="AQ90" i="31"/>
  <c r="AS90" i="31"/>
  <c r="AQ16" i="31"/>
  <c r="AS16" i="31"/>
  <c r="AQ34" i="31"/>
  <c r="AS34" i="31"/>
  <c r="AQ32" i="31"/>
  <c r="AS32" i="31"/>
  <c r="AQ37" i="31"/>
  <c r="AS37" i="31"/>
  <c r="AQ15" i="31"/>
  <c r="AS15" i="31"/>
  <c r="AQ13" i="31"/>
  <c r="AS13" i="31"/>
  <c r="AQ25" i="31"/>
  <c r="AS25" i="31"/>
  <c r="AQ89" i="31"/>
  <c r="AS89" i="31"/>
  <c r="AQ68" i="31"/>
  <c r="AS68" i="31"/>
  <c r="AQ91" i="31"/>
  <c r="AS91" i="31"/>
  <c r="AQ100" i="31"/>
  <c r="AS100" i="31"/>
  <c r="AQ86" i="31"/>
  <c r="AS86" i="31"/>
  <c r="AQ64" i="31"/>
  <c r="AS64" i="31"/>
  <c r="AQ84" i="31"/>
  <c r="AS84" i="31"/>
  <c r="AQ55" i="31"/>
  <c r="AS55" i="31"/>
  <c r="AQ53" i="31"/>
  <c r="AS53" i="31"/>
  <c r="AQ27" i="31"/>
  <c r="AS27" i="31"/>
  <c r="AQ39" i="31"/>
  <c r="AS39" i="31"/>
  <c r="AQ31" i="31"/>
  <c r="AS31" i="31"/>
  <c r="AQ33" i="31"/>
  <c r="AS33" i="31"/>
  <c r="AQ41" i="31"/>
  <c r="AS41" i="31"/>
  <c r="AQ29" i="31"/>
  <c r="AS29" i="31"/>
  <c r="AQ17" i="31"/>
  <c r="AS17" i="31"/>
  <c r="AQ19" i="31"/>
  <c r="AS19" i="31"/>
  <c r="AQ5" i="31"/>
  <c r="AS5" i="31"/>
  <c r="AQ81" i="31"/>
  <c r="AS81" i="31"/>
  <c r="AQ79" i="31"/>
  <c r="AS79" i="31"/>
  <c r="AQ7" i="31"/>
  <c r="AS7" i="31"/>
  <c r="AQ70" i="31"/>
  <c r="AS70" i="31"/>
  <c r="AQ65" i="31"/>
  <c r="AS65" i="31"/>
  <c r="AQ21" i="31"/>
  <c r="AS21" i="31"/>
  <c r="AQ23" i="31"/>
  <c r="AS23" i="31"/>
  <c r="AQ52" i="31"/>
  <c r="AS52" i="31"/>
  <c r="AQ66" i="31"/>
  <c r="AS66" i="31"/>
  <c r="AQ67" i="31"/>
  <c r="AS67" i="31"/>
  <c r="AQ11" i="31"/>
  <c r="AS11" i="31"/>
  <c r="AQ97" i="31"/>
  <c r="AS97" i="31"/>
  <c r="AQ49" i="31"/>
  <c r="AS49" i="31"/>
  <c r="AQ59" i="31"/>
  <c r="AS59" i="31"/>
  <c r="AQ48" i="31"/>
  <c r="AS48" i="31"/>
  <c r="AN60" i="31"/>
  <c r="AP60" i="31"/>
  <c r="AN54" i="31"/>
  <c r="AP54" i="31"/>
  <c r="AN56" i="31"/>
  <c r="AP56" i="31"/>
  <c r="AN76" i="31"/>
  <c r="AP76" i="31"/>
  <c r="AN46" i="31"/>
  <c r="AP46" i="31"/>
  <c r="AN50" i="31"/>
  <c r="AP50" i="31"/>
  <c r="AN98" i="31"/>
  <c r="AP98" i="31"/>
  <c r="AN73" i="31"/>
  <c r="AP73" i="31"/>
  <c r="AN80" i="31"/>
  <c r="AP80" i="31"/>
  <c r="AN74" i="31"/>
  <c r="AP74" i="31"/>
  <c r="AN96" i="31"/>
  <c r="AP96" i="31"/>
  <c r="AN82" i="31"/>
  <c r="AP82" i="31"/>
  <c r="AN75" i="31"/>
  <c r="AP75" i="31"/>
  <c r="AN78" i="31"/>
  <c r="AP78" i="31"/>
  <c r="AN62" i="31"/>
  <c r="AP62" i="31"/>
  <c r="AN88" i="31"/>
  <c r="AP88" i="31"/>
  <c r="AN72" i="31"/>
  <c r="AP72" i="31"/>
  <c r="AN92" i="31"/>
  <c r="AP92" i="31"/>
  <c r="BL119" i="31" l="1"/>
  <c r="BI119" i="31"/>
  <c r="AZ21" i="32"/>
  <c r="BB21" i="32"/>
  <c r="AZ31" i="32"/>
  <c r="BB31" i="32"/>
  <c r="AZ11" i="32"/>
  <c r="BB11" i="32"/>
  <c r="AZ33" i="32"/>
  <c r="BB33" i="32"/>
  <c r="BB15" i="32"/>
  <c r="AZ15" i="32"/>
  <c r="BB23" i="32"/>
  <c r="AZ23" i="32"/>
  <c r="AZ35" i="32"/>
  <c r="BB35" i="32"/>
  <c r="AZ9" i="32"/>
  <c r="BB9" i="32"/>
  <c r="BB17" i="32"/>
  <c r="AZ17" i="32"/>
  <c r="BB13" i="32"/>
  <c r="AZ13" i="32"/>
  <c r="AZ27" i="32"/>
  <c r="BB27" i="32"/>
  <c r="BB5" i="32"/>
  <c r="AZ5" i="32"/>
  <c r="AZ25" i="32"/>
  <c r="BB25" i="32"/>
  <c r="BB37" i="32"/>
  <c r="AZ37" i="32"/>
  <c r="AZ7" i="32"/>
  <c r="BB7" i="32"/>
  <c r="BB29" i="32"/>
  <c r="AZ29" i="32"/>
  <c r="BB19" i="32"/>
  <c r="AZ19" i="32"/>
  <c r="BF24" i="31"/>
  <c r="BH24" i="31"/>
  <c r="BL24" i="31" s="1"/>
  <c r="BF18" i="31"/>
  <c r="BH18" i="31"/>
  <c r="BL18" i="31" s="1"/>
  <c r="BC40" i="31"/>
  <c r="BE40" i="31"/>
  <c r="BC26" i="31"/>
  <c r="BE26" i="31"/>
  <c r="BC20" i="31"/>
  <c r="BE20" i="31"/>
  <c r="BC42" i="31"/>
  <c r="BE42" i="31"/>
  <c r="BC4" i="31"/>
  <c r="BE4" i="31"/>
  <c r="BF10" i="31"/>
  <c r="BH10" i="31"/>
  <c r="BL10" i="31" s="1"/>
  <c r="BC10" i="31"/>
  <c r="BC24" i="31"/>
  <c r="BC18" i="31"/>
  <c r="AW16" i="32"/>
  <c r="AY16" i="32"/>
  <c r="AW12" i="32"/>
  <c r="AY12" i="32"/>
  <c r="AW10" i="32"/>
  <c r="AY10" i="32"/>
  <c r="AW38" i="32"/>
  <c r="AY38" i="32"/>
  <c r="AW26" i="32"/>
  <c r="AY26" i="32"/>
  <c r="AW24" i="32"/>
  <c r="AY24" i="32"/>
  <c r="AW4" i="32"/>
  <c r="AY4" i="32"/>
  <c r="AW34" i="32"/>
  <c r="AY34" i="32"/>
  <c r="AW30" i="32"/>
  <c r="AY30" i="32"/>
  <c r="AW8" i="32"/>
  <c r="AY8" i="32"/>
  <c r="AW32" i="32"/>
  <c r="AY32" i="32"/>
  <c r="AW28" i="32"/>
  <c r="AY28" i="32"/>
  <c r="AW6" i="32"/>
  <c r="AY6" i="32"/>
  <c r="AW36" i="32"/>
  <c r="AY36" i="32"/>
  <c r="AW22" i="32"/>
  <c r="AY22" i="32"/>
  <c r="AW14" i="32"/>
  <c r="AY14" i="32"/>
  <c r="AW18" i="32"/>
  <c r="AY18" i="32"/>
  <c r="AW20" i="32"/>
  <c r="AY20" i="32"/>
  <c r="BB51" i="31"/>
  <c r="AZ51" i="31"/>
  <c r="AZ22" i="31"/>
  <c r="BB22" i="31"/>
  <c r="BB83" i="31"/>
  <c r="BB114" i="31" s="1"/>
  <c r="AZ83" i="31"/>
  <c r="BB8" i="31"/>
  <c r="AZ8" i="31"/>
  <c r="BB30" i="31"/>
  <c r="BE30" i="31" s="1"/>
  <c r="AZ30" i="31"/>
  <c r="AZ95" i="31"/>
  <c r="BB95" i="31"/>
  <c r="BB57" i="31"/>
  <c r="AZ57" i="31"/>
  <c r="BB36" i="31"/>
  <c r="AZ36" i="31"/>
  <c r="AZ28" i="31"/>
  <c r="BB28" i="31"/>
  <c r="AW93" i="31"/>
  <c r="AY93" i="31"/>
  <c r="AW45" i="31"/>
  <c r="AY45" i="31"/>
  <c r="AW99" i="31"/>
  <c r="AY99" i="31"/>
  <c r="AW87" i="31"/>
  <c r="AY87" i="31"/>
  <c r="AY106" i="31" s="1"/>
  <c r="AZ106" i="31" s="1"/>
  <c r="AW44" i="31"/>
  <c r="AY44" i="31"/>
  <c r="AW61" i="31"/>
  <c r="AY61" i="31"/>
  <c r="AW43" i="31"/>
  <c r="AY43" i="31"/>
  <c r="AW77" i="31"/>
  <c r="AY77" i="31"/>
  <c r="AW6" i="31"/>
  <c r="AY6" i="31"/>
  <c r="AW38" i="31"/>
  <c r="AY38" i="31"/>
  <c r="AW83" i="31"/>
  <c r="AW51" i="31"/>
  <c r="AW57" i="31"/>
  <c r="AW36" i="31"/>
  <c r="AT48" i="31"/>
  <c r="AV48" i="31"/>
  <c r="AT7" i="31"/>
  <c r="AV7" i="31"/>
  <c r="AT53" i="31"/>
  <c r="AV53" i="31"/>
  <c r="AT90" i="31"/>
  <c r="AV90" i="31"/>
  <c r="AT59" i="31"/>
  <c r="AV59" i="31"/>
  <c r="AT21" i="31"/>
  <c r="AV21" i="31"/>
  <c r="AY21" i="31" s="1"/>
  <c r="AT31" i="31"/>
  <c r="AV31" i="31"/>
  <c r="AY31" i="31" s="1"/>
  <c r="AT100" i="31"/>
  <c r="AV100" i="31"/>
  <c r="AT47" i="31"/>
  <c r="AV47" i="31"/>
  <c r="AY47" i="31" s="1"/>
  <c r="AT49" i="31"/>
  <c r="AV49" i="31"/>
  <c r="AT66" i="31"/>
  <c r="AV66" i="31"/>
  <c r="AT65" i="31"/>
  <c r="AV65" i="31"/>
  <c r="AT81" i="31"/>
  <c r="AV81" i="31"/>
  <c r="AT29" i="31"/>
  <c r="AV29" i="31"/>
  <c r="AT39" i="31"/>
  <c r="AV39" i="31"/>
  <c r="AT84" i="31"/>
  <c r="AV84" i="31"/>
  <c r="AT91" i="31"/>
  <c r="AV91" i="31"/>
  <c r="AT13" i="31"/>
  <c r="AV13" i="31"/>
  <c r="AT34" i="31"/>
  <c r="AV34" i="31"/>
  <c r="AY34" i="31" s="1"/>
  <c r="AT69" i="31"/>
  <c r="AV69" i="31"/>
  <c r="AY69" i="31" s="1"/>
  <c r="AT35" i="31"/>
  <c r="AV35" i="31"/>
  <c r="AY35" i="31" s="1"/>
  <c r="AT9" i="31"/>
  <c r="AV9" i="31"/>
  <c r="AT19" i="31"/>
  <c r="AV19" i="31"/>
  <c r="AT37" i="31"/>
  <c r="AV37" i="31"/>
  <c r="AY37" i="31" s="1"/>
  <c r="AT12" i="31"/>
  <c r="AV12" i="31"/>
  <c r="AY12" i="31" s="1"/>
  <c r="AT79" i="31"/>
  <c r="AV79" i="31"/>
  <c r="AT25" i="31"/>
  <c r="AV25" i="31"/>
  <c r="AY25" i="31" s="1"/>
  <c r="AT94" i="31"/>
  <c r="AV94" i="31"/>
  <c r="AT23" i="31"/>
  <c r="AV23" i="31"/>
  <c r="AT33" i="31"/>
  <c r="AV33" i="31"/>
  <c r="AY33" i="31" s="1"/>
  <c r="AT86" i="31"/>
  <c r="AV86" i="31"/>
  <c r="AT71" i="31"/>
  <c r="AV71" i="31"/>
  <c r="AT67" i="31"/>
  <c r="AV67" i="31"/>
  <c r="AY67" i="31" s="1"/>
  <c r="AT17" i="31"/>
  <c r="AV17" i="31"/>
  <c r="AT55" i="31"/>
  <c r="AV55" i="31"/>
  <c r="AY55" i="31" s="1"/>
  <c r="AT32" i="31"/>
  <c r="AV32" i="31"/>
  <c r="AY32" i="31" s="1"/>
  <c r="AT63" i="31"/>
  <c r="AV63" i="31"/>
  <c r="AT97" i="31"/>
  <c r="AV97" i="31"/>
  <c r="AT52" i="31"/>
  <c r="AV52" i="31"/>
  <c r="AT70" i="31"/>
  <c r="AV70" i="31"/>
  <c r="AT5" i="31"/>
  <c r="AV5" i="31"/>
  <c r="AT41" i="31"/>
  <c r="AV41" i="31"/>
  <c r="AY41" i="31" s="1"/>
  <c r="AT27" i="31"/>
  <c r="AV27" i="31"/>
  <c r="AT64" i="31"/>
  <c r="AV64" i="31"/>
  <c r="AT68" i="31"/>
  <c r="AV68" i="31"/>
  <c r="AT15" i="31"/>
  <c r="AV15" i="31"/>
  <c r="AT16" i="31"/>
  <c r="AV16" i="31"/>
  <c r="AT14" i="31"/>
  <c r="AV14" i="31"/>
  <c r="AT85" i="31"/>
  <c r="AV85" i="31"/>
  <c r="AT58" i="31"/>
  <c r="AV58" i="31"/>
  <c r="AT11" i="31"/>
  <c r="AV11" i="31"/>
  <c r="AY11" i="31" s="1"/>
  <c r="AT89" i="31"/>
  <c r="AV89" i="31"/>
  <c r="AQ98" i="31"/>
  <c r="AS98" i="31"/>
  <c r="AQ88" i="31"/>
  <c r="AS88" i="31"/>
  <c r="AQ82" i="31"/>
  <c r="AS82" i="31"/>
  <c r="AQ73" i="31"/>
  <c r="AS73" i="31"/>
  <c r="AQ76" i="31"/>
  <c r="AS76" i="31"/>
  <c r="AQ96" i="31"/>
  <c r="AS96" i="31"/>
  <c r="AQ62" i="31"/>
  <c r="AS62" i="31"/>
  <c r="AQ92" i="31"/>
  <c r="AS92" i="31"/>
  <c r="AQ78" i="31"/>
  <c r="AS78" i="31"/>
  <c r="AQ74" i="31"/>
  <c r="AS74" i="31"/>
  <c r="AQ50" i="31"/>
  <c r="AS50" i="31"/>
  <c r="AQ54" i="31"/>
  <c r="AS54" i="31"/>
  <c r="AQ56" i="31"/>
  <c r="AS56" i="31"/>
  <c r="AQ72" i="31"/>
  <c r="AS72" i="31"/>
  <c r="AQ75" i="31"/>
  <c r="AS75" i="31"/>
  <c r="AQ80" i="31"/>
  <c r="AS80" i="31"/>
  <c r="AQ46" i="31"/>
  <c r="AS46" i="31"/>
  <c r="AQ60" i="31"/>
  <c r="AS60" i="31"/>
  <c r="BO119" i="31" l="1"/>
  <c r="BM119" i="31"/>
  <c r="BH117" i="31"/>
  <c r="BL117" i="31" s="1"/>
  <c r="BO18" i="31"/>
  <c r="BM18" i="31"/>
  <c r="BO24" i="31"/>
  <c r="BM24" i="31"/>
  <c r="BO10" i="31"/>
  <c r="BM10" i="31"/>
  <c r="BB6" i="32"/>
  <c r="AZ6" i="32"/>
  <c r="BC29" i="32"/>
  <c r="BE29" i="32"/>
  <c r="BE7" i="32"/>
  <c r="BH7" i="32" s="1"/>
  <c r="BI7" i="32" s="1"/>
  <c r="BC7" i="32"/>
  <c r="BE27" i="32"/>
  <c r="BC27" i="32"/>
  <c r="BB14" i="32"/>
  <c r="AZ14" i="32"/>
  <c r="BB38" i="32"/>
  <c r="AZ38" i="32"/>
  <c r="BE31" i="32"/>
  <c r="BC31" i="32"/>
  <c r="BC9" i="32"/>
  <c r="BE9" i="32"/>
  <c r="BH9" i="32" s="1"/>
  <c r="BI9" i="32" s="1"/>
  <c r="AZ26" i="32"/>
  <c r="BB26" i="32"/>
  <c r="BE11" i="32"/>
  <c r="BC11" i="32"/>
  <c r="BB28" i="32"/>
  <c r="AZ28" i="32"/>
  <c r="BB22" i="32"/>
  <c r="AZ22" i="32"/>
  <c r="BC37" i="32"/>
  <c r="BE37" i="32"/>
  <c r="BC25" i="32"/>
  <c r="BE25" i="32"/>
  <c r="BC21" i="32"/>
  <c r="BE21" i="32"/>
  <c r="BC33" i="32"/>
  <c r="BE33" i="32"/>
  <c r="AZ18" i="32"/>
  <c r="BB18" i="32"/>
  <c r="BB30" i="32"/>
  <c r="AZ30" i="32"/>
  <c r="AZ16" i="32"/>
  <c r="BB16" i="32"/>
  <c r="BC5" i="32"/>
  <c r="BE5" i="32"/>
  <c r="BH5" i="32" s="1"/>
  <c r="BI5" i="32" s="1"/>
  <c r="BE35" i="32"/>
  <c r="BH35" i="32" s="1"/>
  <c r="BI35" i="32" s="1"/>
  <c r="BC35" i="32"/>
  <c r="AZ34" i="32"/>
  <c r="BB34" i="32"/>
  <c r="AZ32" i="32"/>
  <c r="BB32" i="32"/>
  <c r="AZ4" i="32"/>
  <c r="BB4" i="32"/>
  <c r="AZ10" i="32"/>
  <c r="BB10" i="32"/>
  <c r="BC13" i="32"/>
  <c r="BE13" i="32"/>
  <c r="BE23" i="32"/>
  <c r="BC23" i="32"/>
  <c r="BB20" i="32"/>
  <c r="AZ20" i="32"/>
  <c r="AZ36" i="32"/>
  <c r="BB36" i="32"/>
  <c r="AZ8" i="32"/>
  <c r="BB8" i="32"/>
  <c r="AZ24" i="32"/>
  <c r="BB24" i="32"/>
  <c r="BB12" i="32"/>
  <c r="AZ12" i="32"/>
  <c r="BE19" i="32"/>
  <c r="BC19" i="32"/>
  <c r="BC17" i="32"/>
  <c r="BE17" i="32"/>
  <c r="BE15" i="32"/>
  <c r="BC15" i="32"/>
  <c r="BI18" i="31"/>
  <c r="BI24" i="31"/>
  <c r="BI10" i="31"/>
  <c r="BE114" i="31"/>
  <c r="BC114" i="31"/>
  <c r="BC36" i="31"/>
  <c r="BE36" i="31"/>
  <c r="BC8" i="31"/>
  <c r="BE8" i="31"/>
  <c r="BH4" i="31"/>
  <c r="BL4" i="31" s="1"/>
  <c r="BO4" i="31" s="1"/>
  <c r="BR4" i="31" s="1"/>
  <c r="BS4" i="31" s="1"/>
  <c r="BF4" i="31"/>
  <c r="BH40" i="31"/>
  <c r="BL40" i="31" s="1"/>
  <c r="BF40" i="31"/>
  <c r="BF30" i="31"/>
  <c r="BH30" i="31"/>
  <c r="BL30" i="31" s="1"/>
  <c r="BC57" i="31"/>
  <c r="BE57" i="31"/>
  <c r="BC83" i="31"/>
  <c r="BE83" i="31"/>
  <c r="BF42" i="31"/>
  <c r="BH42" i="31"/>
  <c r="BL42" i="31" s="1"/>
  <c r="BC51" i="31"/>
  <c r="BE51" i="31"/>
  <c r="BF26" i="31"/>
  <c r="BH26" i="31"/>
  <c r="BL26" i="31" s="1"/>
  <c r="BC95" i="31"/>
  <c r="BE95" i="31"/>
  <c r="BC22" i="31"/>
  <c r="BE22" i="31"/>
  <c r="BF20" i="31"/>
  <c r="BH20" i="31"/>
  <c r="BL20" i="31" s="1"/>
  <c r="BC28" i="31"/>
  <c r="BE28" i="31"/>
  <c r="BC30" i="31"/>
  <c r="AZ31" i="31"/>
  <c r="BB31" i="31"/>
  <c r="BB41" i="31"/>
  <c r="AZ41" i="31"/>
  <c r="BB33" i="31"/>
  <c r="AZ33" i="31"/>
  <c r="AZ21" i="31"/>
  <c r="BB21" i="31"/>
  <c r="AZ38" i="31"/>
  <c r="BB38" i="31"/>
  <c r="BB111" i="31" s="1"/>
  <c r="AZ61" i="31"/>
  <c r="BB61" i="31"/>
  <c r="AZ45" i="31"/>
  <c r="BB45" i="31"/>
  <c r="BB25" i="31"/>
  <c r="AZ25" i="31"/>
  <c r="AZ12" i="31"/>
  <c r="BB12" i="31"/>
  <c r="BE12" i="31" s="1"/>
  <c r="AZ6" i="31"/>
  <c r="BB6" i="31"/>
  <c r="AZ93" i="31"/>
  <c r="BB93" i="31"/>
  <c r="BE93" i="31" s="1"/>
  <c r="BB55" i="31"/>
  <c r="AZ55" i="31"/>
  <c r="BB99" i="31"/>
  <c r="BE99" i="31" s="1"/>
  <c r="AZ99" i="31"/>
  <c r="BB67" i="31"/>
  <c r="AZ67" i="31"/>
  <c r="BB35" i="31"/>
  <c r="BE35" i="31" s="1"/>
  <c r="AZ35" i="31"/>
  <c r="AZ47" i="31"/>
  <c r="BB47" i="31"/>
  <c r="BB44" i="31"/>
  <c r="AZ44" i="31"/>
  <c r="BB11" i="31"/>
  <c r="AZ11" i="31"/>
  <c r="BB34" i="31"/>
  <c r="AZ34" i="31"/>
  <c r="AZ32" i="31"/>
  <c r="BB32" i="31"/>
  <c r="AZ37" i="31"/>
  <c r="BB37" i="31"/>
  <c r="AZ69" i="31"/>
  <c r="BB69" i="31"/>
  <c r="AZ77" i="31"/>
  <c r="BB77" i="31"/>
  <c r="BB87" i="31"/>
  <c r="BE87" i="31" s="1"/>
  <c r="AZ87" i="31"/>
  <c r="AZ43" i="31"/>
  <c r="BB43" i="31"/>
  <c r="AW16" i="31"/>
  <c r="AY16" i="31"/>
  <c r="AW39" i="31"/>
  <c r="AY39" i="31"/>
  <c r="AW66" i="31"/>
  <c r="AY66" i="31"/>
  <c r="AW53" i="31"/>
  <c r="AY53" i="31"/>
  <c r="AW52" i="31"/>
  <c r="AY52" i="31"/>
  <c r="AW86" i="31"/>
  <c r="AY86" i="31"/>
  <c r="AY105" i="31" s="1"/>
  <c r="AZ105" i="31" s="1"/>
  <c r="AW79" i="31"/>
  <c r="AY79" i="31"/>
  <c r="AW29" i="31"/>
  <c r="AY29" i="31"/>
  <c r="AW49" i="31"/>
  <c r="AY49" i="31"/>
  <c r="AW7" i="31"/>
  <c r="AY7" i="31"/>
  <c r="AW23" i="31"/>
  <c r="AY23" i="31"/>
  <c r="AW91" i="31"/>
  <c r="AY91" i="31"/>
  <c r="AW81" i="31"/>
  <c r="AY81" i="31"/>
  <c r="AW59" i="31"/>
  <c r="AY59" i="31"/>
  <c r="AW48" i="31"/>
  <c r="AY48" i="31"/>
  <c r="AW27" i="31"/>
  <c r="AY27" i="31"/>
  <c r="AW19" i="31"/>
  <c r="AY19" i="31"/>
  <c r="AW58" i="31"/>
  <c r="AY58" i="31"/>
  <c r="AW97" i="31"/>
  <c r="AY97" i="31"/>
  <c r="AW13" i="31"/>
  <c r="AY13" i="31"/>
  <c r="AW85" i="31"/>
  <c r="AY85" i="31"/>
  <c r="AY104" i="31" s="1"/>
  <c r="AZ104" i="31" s="1"/>
  <c r="AW15" i="31"/>
  <c r="AY15" i="31"/>
  <c r="AW17" i="31"/>
  <c r="AY17" i="31"/>
  <c r="AW9" i="31"/>
  <c r="AY9" i="31"/>
  <c r="AW68" i="31"/>
  <c r="AY68" i="31"/>
  <c r="AW5" i="31"/>
  <c r="AY5" i="31"/>
  <c r="AW63" i="31"/>
  <c r="AY63" i="31"/>
  <c r="AW89" i="31"/>
  <c r="AY89" i="31"/>
  <c r="AW14" i="31"/>
  <c r="AY14" i="31"/>
  <c r="AW64" i="31"/>
  <c r="AY64" i="31"/>
  <c r="AW70" i="31"/>
  <c r="AY70" i="31"/>
  <c r="AW71" i="31"/>
  <c r="AY71" i="31"/>
  <c r="AW94" i="31"/>
  <c r="AY94" i="31"/>
  <c r="AW84" i="31"/>
  <c r="AY84" i="31"/>
  <c r="AY103" i="31" s="1"/>
  <c r="AZ103" i="31" s="1"/>
  <c r="AW65" i="31"/>
  <c r="AY65" i="31"/>
  <c r="AW100" i="31"/>
  <c r="AY100" i="31"/>
  <c r="AW90" i="31"/>
  <c r="AY90" i="31"/>
  <c r="AW47" i="31"/>
  <c r="AW35" i="31"/>
  <c r="AW32" i="31"/>
  <c r="AW37" i="31"/>
  <c r="AW69" i="31"/>
  <c r="AW67" i="31"/>
  <c r="AW12" i="31"/>
  <c r="AW55" i="31"/>
  <c r="AW34" i="31"/>
  <c r="AW33" i="31"/>
  <c r="AW41" i="31"/>
  <c r="AW11" i="31"/>
  <c r="AW25" i="31"/>
  <c r="AW31" i="31"/>
  <c r="AW21" i="31"/>
  <c r="AT92" i="31"/>
  <c r="AV92" i="31"/>
  <c r="AT75" i="31"/>
  <c r="AV75" i="31"/>
  <c r="AT62" i="31"/>
  <c r="AV62" i="31"/>
  <c r="AT82" i="31"/>
  <c r="AV82" i="31"/>
  <c r="AY82" i="31" s="1"/>
  <c r="AT60" i="31"/>
  <c r="AV60" i="31"/>
  <c r="AY60" i="31" s="1"/>
  <c r="AT96" i="31"/>
  <c r="AV96" i="31"/>
  <c r="AT80" i="31"/>
  <c r="AV80" i="31"/>
  <c r="AT73" i="31"/>
  <c r="AV73" i="31"/>
  <c r="AY73" i="31" s="1"/>
  <c r="AT72" i="31"/>
  <c r="AV72" i="31"/>
  <c r="AY72" i="31" s="1"/>
  <c r="AT54" i="31"/>
  <c r="AV54" i="31"/>
  <c r="AT74" i="31"/>
  <c r="AV74" i="31"/>
  <c r="AT46" i="31"/>
  <c r="AV46" i="31"/>
  <c r="AT56" i="31"/>
  <c r="AV56" i="31"/>
  <c r="AY56" i="31" s="1"/>
  <c r="AT78" i="31"/>
  <c r="AV78" i="31"/>
  <c r="AT76" i="31"/>
  <c r="AV76" i="31"/>
  <c r="AT98" i="31"/>
  <c r="AV98" i="31"/>
  <c r="AT50" i="31"/>
  <c r="AV50" i="31"/>
  <c r="AT88" i="31"/>
  <c r="AV88" i="31"/>
  <c r="BP10" i="31" l="1"/>
  <c r="BR10" i="31"/>
  <c r="BP24" i="31"/>
  <c r="BR24" i="31"/>
  <c r="BP18" i="31"/>
  <c r="BR18" i="31"/>
  <c r="BU4" i="31"/>
  <c r="BV4" i="31" s="1"/>
  <c r="BP119" i="31"/>
  <c r="BR119" i="31"/>
  <c r="BS119" i="31" s="1"/>
  <c r="BI117" i="31"/>
  <c r="BO40" i="31"/>
  <c r="BM40" i="31"/>
  <c r="BO20" i="31"/>
  <c r="BM20" i="31"/>
  <c r="BO30" i="31"/>
  <c r="BM30" i="31"/>
  <c r="BK5" i="32"/>
  <c r="BK9" i="32"/>
  <c r="BK7" i="32"/>
  <c r="BK35" i="32"/>
  <c r="BH21" i="32"/>
  <c r="BI21" i="32" s="1"/>
  <c r="BF21" i="32"/>
  <c r="BF15" i="32"/>
  <c r="BH15" i="32"/>
  <c r="BI15" i="32" s="1"/>
  <c r="BF23" i="32"/>
  <c r="BH23" i="32"/>
  <c r="BH31" i="32"/>
  <c r="BF31" i="32"/>
  <c r="BF13" i="32"/>
  <c r="BH13" i="32"/>
  <c r="BI13" i="32" s="1"/>
  <c r="BF25" i="32"/>
  <c r="BH25" i="32"/>
  <c r="BF29" i="32"/>
  <c r="BH29" i="32"/>
  <c r="BI29" i="32" s="1"/>
  <c r="BF11" i="32"/>
  <c r="BH11" i="32"/>
  <c r="BI11" i="32" s="1"/>
  <c r="BF33" i="32"/>
  <c r="BH33" i="32"/>
  <c r="BH27" i="32"/>
  <c r="BI27" i="32" s="1"/>
  <c r="BF27" i="32"/>
  <c r="BF37" i="32"/>
  <c r="BH37" i="32"/>
  <c r="BI37" i="32" s="1"/>
  <c r="BH17" i="32"/>
  <c r="BI17" i="32" s="1"/>
  <c r="BF17" i="32"/>
  <c r="BF19" i="32"/>
  <c r="BH19" i="32"/>
  <c r="BI19" i="32" s="1"/>
  <c r="BF5" i="32"/>
  <c r="BF9" i="32"/>
  <c r="BC28" i="32"/>
  <c r="BE28" i="32"/>
  <c r="BF7" i="32"/>
  <c r="BC8" i="32"/>
  <c r="BE8" i="32"/>
  <c r="BH8" i="32" s="1"/>
  <c r="BI8" i="32" s="1"/>
  <c r="BC34" i="32"/>
  <c r="BE34" i="32"/>
  <c r="BC12" i="32"/>
  <c r="BE12" i="32"/>
  <c r="BH12" i="32" s="1"/>
  <c r="BI12" i="32" s="1"/>
  <c r="BC32" i="32"/>
  <c r="BE32" i="32"/>
  <c r="BC10" i="32"/>
  <c r="BE10" i="32"/>
  <c r="BF10" i="32" s="1"/>
  <c r="BC18" i="32"/>
  <c r="BE18" i="32"/>
  <c r="BC26" i="32"/>
  <c r="BE26" i="32"/>
  <c r="BC4" i="32"/>
  <c r="BE4" i="32"/>
  <c r="BF4" i="32" s="1"/>
  <c r="BC20" i="32"/>
  <c r="BE20" i="32"/>
  <c r="BH20" i="32" s="1"/>
  <c r="BI20" i="32" s="1"/>
  <c r="BC22" i="32"/>
  <c r="BE22" i="32"/>
  <c r="BC24" i="32"/>
  <c r="BE24" i="32"/>
  <c r="BC16" i="32"/>
  <c r="BE16" i="32"/>
  <c r="BC30" i="32"/>
  <c r="BE30" i="32"/>
  <c r="BC38" i="32"/>
  <c r="BE38" i="32"/>
  <c r="BC36" i="32"/>
  <c r="BE36" i="32"/>
  <c r="BF35" i="32"/>
  <c r="BC14" i="32"/>
  <c r="BE14" i="32"/>
  <c r="BC6" i="32"/>
  <c r="BE6" i="32"/>
  <c r="BH6" i="32" s="1"/>
  <c r="BI6" i="32" s="1"/>
  <c r="BO42" i="31"/>
  <c r="BM42" i="31"/>
  <c r="BO26" i="31"/>
  <c r="BM26" i="31"/>
  <c r="BI40" i="31"/>
  <c r="BI4" i="31"/>
  <c r="BM4" i="31"/>
  <c r="BI26" i="31"/>
  <c r="BI42" i="31"/>
  <c r="BI20" i="31"/>
  <c r="BI30" i="31"/>
  <c r="BB112" i="31"/>
  <c r="BE111" i="31"/>
  <c r="BC111" i="31"/>
  <c r="BH114" i="31"/>
  <c r="BL114" i="31" s="1"/>
  <c r="BF114" i="31"/>
  <c r="BF22" i="31"/>
  <c r="BH22" i="31"/>
  <c r="BL22" i="31" s="1"/>
  <c r="BC43" i="31"/>
  <c r="BE43" i="31"/>
  <c r="BC44" i="31"/>
  <c r="BE44" i="31"/>
  <c r="BF95" i="31"/>
  <c r="BH95" i="31"/>
  <c r="BL95" i="31" s="1"/>
  <c r="BC32" i="31"/>
  <c r="BE32" i="31"/>
  <c r="BC21" i="31"/>
  <c r="BE21" i="31"/>
  <c r="BF87" i="31"/>
  <c r="BH87" i="31"/>
  <c r="BL87" i="31" s="1"/>
  <c r="BC55" i="31"/>
  <c r="BE55" i="31"/>
  <c r="BC25" i="31"/>
  <c r="BE25" i="31"/>
  <c r="BF28" i="31"/>
  <c r="BH28" i="31"/>
  <c r="BL28" i="31" s="1"/>
  <c r="BF57" i="31"/>
  <c r="BH57" i="31"/>
  <c r="BL57" i="31" s="1"/>
  <c r="BF8" i="31"/>
  <c r="BH8" i="31"/>
  <c r="BL8" i="31" s="1"/>
  <c r="BC11" i="31"/>
  <c r="BE11" i="31"/>
  <c r="BC41" i="31"/>
  <c r="BE41" i="31"/>
  <c r="BC77" i="31"/>
  <c r="BE77" i="31"/>
  <c r="BF93" i="31"/>
  <c r="BH93" i="31"/>
  <c r="BL93" i="31" s="1"/>
  <c r="BC45" i="31"/>
  <c r="BE45" i="31"/>
  <c r="BC38" i="31"/>
  <c r="BE38" i="31"/>
  <c r="BC31" i="31"/>
  <c r="BE31" i="31"/>
  <c r="BH99" i="31"/>
  <c r="BL99" i="31" s="1"/>
  <c r="BF99" i="31"/>
  <c r="BH83" i="31"/>
  <c r="BL83" i="31" s="1"/>
  <c r="BF83" i="31"/>
  <c r="BC47" i="31"/>
  <c r="BE47" i="31"/>
  <c r="BC34" i="31"/>
  <c r="BE34" i="31"/>
  <c r="BH35" i="31"/>
  <c r="BL35" i="31" s="1"/>
  <c r="BF35" i="31"/>
  <c r="BC33" i="31"/>
  <c r="BE33" i="31"/>
  <c r="BH51" i="31"/>
  <c r="BL51" i="31" s="1"/>
  <c r="BF51" i="31"/>
  <c r="BF36" i="31"/>
  <c r="BH36" i="31"/>
  <c r="BL36" i="31" s="1"/>
  <c r="BC67" i="31"/>
  <c r="BE67" i="31"/>
  <c r="BC37" i="31"/>
  <c r="BE37" i="31"/>
  <c r="BF12" i="31"/>
  <c r="BH12" i="31"/>
  <c r="BL12" i="31" s="1"/>
  <c r="BC69" i="31"/>
  <c r="BE69" i="31"/>
  <c r="BC6" i="31"/>
  <c r="BE6" i="31"/>
  <c r="BC61" i="31"/>
  <c r="BE61" i="31"/>
  <c r="BC93" i="31"/>
  <c r="BC35" i="31"/>
  <c r="BC12" i="31"/>
  <c r="BC99" i="31"/>
  <c r="BC87" i="31"/>
  <c r="BB65" i="31"/>
  <c r="AZ65" i="31"/>
  <c r="BB23" i="31"/>
  <c r="AZ23" i="31"/>
  <c r="BB72" i="31"/>
  <c r="BE72" i="31" s="1"/>
  <c r="AZ72" i="31"/>
  <c r="AZ60" i="31"/>
  <c r="BB60" i="31"/>
  <c r="BB84" i="31"/>
  <c r="BE84" i="31" s="1"/>
  <c r="AZ84" i="31"/>
  <c r="AZ64" i="31"/>
  <c r="BB64" i="31"/>
  <c r="AZ5" i="31"/>
  <c r="BB5" i="31"/>
  <c r="AZ15" i="31"/>
  <c r="BB15" i="31"/>
  <c r="AZ58" i="31"/>
  <c r="BB58" i="31"/>
  <c r="AZ59" i="31"/>
  <c r="BB59" i="31"/>
  <c r="BB7" i="31"/>
  <c r="AZ7" i="31"/>
  <c r="AZ86" i="31"/>
  <c r="BB86" i="31"/>
  <c r="BE86" i="31" s="1"/>
  <c r="BB39" i="31"/>
  <c r="AZ39" i="31"/>
  <c r="BB97" i="31"/>
  <c r="AZ97" i="31"/>
  <c r="AZ70" i="31"/>
  <c r="BB70" i="31"/>
  <c r="AZ48" i="31"/>
  <c r="BB48" i="31"/>
  <c r="BB73" i="31"/>
  <c r="AZ73" i="31"/>
  <c r="BB82" i="31"/>
  <c r="BB115" i="31" s="1"/>
  <c r="AZ82" i="31"/>
  <c r="BB90" i="31"/>
  <c r="AZ90" i="31"/>
  <c r="BB94" i="31"/>
  <c r="BE94" i="31" s="1"/>
  <c r="AZ94" i="31"/>
  <c r="BB14" i="31"/>
  <c r="AZ14" i="31"/>
  <c r="AZ68" i="31"/>
  <c r="BB68" i="31"/>
  <c r="AZ85" i="31"/>
  <c r="BB85" i="31"/>
  <c r="BE85" i="31" s="1"/>
  <c r="BB19" i="31"/>
  <c r="AZ19" i="31"/>
  <c r="BB81" i="31"/>
  <c r="AZ81" i="31"/>
  <c r="BB49" i="31"/>
  <c r="AZ49" i="31"/>
  <c r="BB52" i="31"/>
  <c r="AZ52" i="31"/>
  <c r="AZ16" i="31"/>
  <c r="BB16" i="31"/>
  <c r="BB63" i="31"/>
  <c r="AZ63" i="31"/>
  <c r="BB66" i="31"/>
  <c r="AZ66" i="31"/>
  <c r="BB56" i="31"/>
  <c r="AZ56" i="31"/>
  <c r="BB17" i="31"/>
  <c r="AZ17" i="31"/>
  <c r="BB71" i="31"/>
  <c r="AZ71" i="31"/>
  <c r="BB89" i="31"/>
  <c r="AZ89" i="31"/>
  <c r="AZ13" i="31"/>
  <c r="BB13" i="31"/>
  <c r="AZ27" i="31"/>
  <c r="BB27" i="31"/>
  <c r="BB91" i="31"/>
  <c r="AZ91" i="31"/>
  <c r="AZ29" i="31"/>
  <c r="BB29" i="31"/>
  <c r="AZ53" i="31"/>
  <c r="BB53" i="31"/>
  <c r="AZ79" i="31"/>
  <c r="BB79" i="31"/>
  <c r="BB100" i="31"/>
  <c r="AZ100" i="31"/>
  <c r="BB9" i="31"/>
  <c r="AZ9" i="31"/>
  <c r="AW78" i="31"/>
  <c r="AY78" i="31"/>
  <c r="AW92" i="31"/>
  <c r="AY92" i="31"/>
  <c r="AW46" i="31"/>
  <c r="AY46" i="31"/>
  <c r="AW50" i="31"/>
  <c r="AY50" i="31"/>
  <c r="AW98" i="31"/>
  <c r="AY98" i="31"/>
  <c r="AW76" i="31"/>
  <c r="AY76" i="31"/>
  <c r="AW74" i="31"/>
  <c r="AY74" i="31"/>
  <c r="AW80" i="31"/>
  <c r="AY80" i="31"/>
  <c r="AW62" i="31"/>
  <c r="AY62" i="31"/>
  <c r="AW88" i="31"/>
  <c r="AY88" i="31"/>
  <c r="AW54" i="31"/>
  <c r="AY54" i="31"/>
  <c r="AW96" i="31"/>
  <c r="AY96" i="31"/>
  <c r="AW75" i="31"/>
  <c r="AY75" i="31"/>
  <c r="AW56" i="31"/>
  <c r="AW60" i="31"/>
  <c r="AW73" i="31"/>
  <c r="AW82" i="31"/>
  <c r="AW72" i="31"/>
  <c r="BS24" i="31" l="1"/>
  <c r="BS10" i="31"/>
  <c r="BS18" i="31"/>
  <c r="BL7" i="32"/>
  <c r="BN7" i="32"/>
  <c r="BL35" i="32"/>
  <c r="BN35" i="32"/>
  <c r="BL9" i="32"/>
  <c r="BN9" i="32"/>
  <c r="BL5" i="32"/>
  <c r="BN5" i="32"/>
  <c r="BP42" i="31"/>
  <c r="BR42" i="31"/>
  <c r="BS42" i="31" s="1"/>
  <c r="BP30" i="31"/>
  <c r="BR30" i="31"/>
  <c r="BS30" i="31" s="1"/>
  <c r="BP20" i="31"/>
  <c r="BR20" i="31"/>
  <c r="BS20" i="31" s="1"/>
  <c r="BP40" i="31"/>
  <c r="BR40" i="31"/>
  <c r="BS40" i="31" s="1"/>
  <c r="BU18" i="31"/>
  <c r="BV18" i="31" s="1"/>
  <c r="BU24" i="31"/>
  <c r="BV24" i="31" s="1"/>
  <c r="BP26" i="31"/>
  <c r="BR26" i="31"/>
  <c r="BU119" i="31"/>
  <c r="BV119" i="31" s="1"/>
  <c r="BU10" i="31"/>
  <c r="BV10" i="31" s="1"/>
  <c r="BI25" i="32"/>
  <c r="BI33" i="32"/>
  <c r="BI31" i="32"/>
  <c r="BI23" i="32"/>
  <c r="BO117" i="31"/>
  <c r="BM117" i="31"/>
  <c r="BO8" i="31"/>
  <c r="BM8" i="31"/>
  <c r="BM99" i="31"/>
  <c r="BO99" i="31"/>
  <c r="BO36" i="31"/>
  <c r="BM36" i="31"/>
  <c r="BM87" i="31"/>
  <c r="BO87" i="31"/>
  <c r="BR87" i="31" s="1"/>
  <c r="BS87" i="31" s="1"/>
  <c r="BO12" i="31"/>
  <c r="BM12" i="31"/>
  <c r="BO28" i="31"/>
  <c r="BM28" i="31"/>
  <c r="BO93" i="31"/>
  <c r="BM93" i="31"/>
  <c r="BO51" i="31"/>
  <c r="BM51" i="31"/>
  <c r="BO22" i="31"/>
  <c r="BM22" i="31"/>
  <c r="BO95" i="31"/>
  <c r="BM95" i="31"/>
  <c r="BO35" i="31"/>
  <c r="BM35" i="31"/>
  <c r="BK12" i="32"/>
  <c r="BK6" i="32"/>
  <c r="BK20" i="32"/>
  <c r="BK8" i="32"/>
  <c r="BF36" i="32"/>
  <c r="BH36" i="32"/>
  <c r="BK17" i="32"/>
  <c r="BF22" i="32"/>
  <c r="BH22" i="32"/>
  <c r="BI22" i="32" s="1"/>
  <c r="BH18" i="32"/>
  <c r="BI18" i="32" s="1"/>
  <c r="BF18" i="32"/>
  <c r="BH34" i="32"/>
  <c r="BI34" i="32" s="1"/>
  <c r="BF34" i="32"/>
  <c r="BK29" i="32"/>
  <c r="BK23" i="32"/>
  <c r="BK25" i="32"/>
  <c r="BK15" i="32"/>
  <c r="BH26" i="32"/>
  <c r="BI26" i="32" s="1"/>
  <c r="BF26" i="32"/>
  <c r="BK11" i="32"/>
  <c r="BK31" i="32"/>
  <c r="BH38" i="32"/>
  <c r="BI38" i="32" s="1"/>
  <c r="BF38" i="32"/>
  <c r="BK27" i="32"/>
  <c r="BF16" i="32"/>
  <c r="BH16" i="32"/>
  <c r="BH32" i="32"/>
  <c r="BI32" i="32" s="1"/>
  <c r="BF32" i="32"/>
  <c r="BK19" i="32"/>
  <c r="BK33" i="32"/>
  <c r="BK13" i="32"/>
  <c r="BF24" i="32"/>
  <c r="BH24" i="32"/>
  <c r="BI24" i="32" s="1"/>
  <c r="BH28" i="32"/>
  <c r="BI28" i="32" s="1"/>
  <c r="BF28" i="32"/>
  <c r="BK37" i="32"/>
  <c r="BH14" i="32"/>
  <c r="BF14" i="32"/>
  <c r="BH30" i="32"/>
  <c r="BI30" i="32" s="1"/>
  <c r="BF30" i="32"/>
  <c r="BK21" i="32"/>
  <c r="BF12" i="32"/>
  <c r="BH10" i="32"/>
  <c r="BI10" i="32" s="1"/>
  <c r="BF8" i="32"/>
  <c r="BF20" i="32"/>
  <c r="BF6" i="32"/>
  <c r="BH4" i="32"/>
  <c r="BI4" i="32" s="1"/>
  <c r="BO57" i="31"/>
  <c r="BM57" i="31"/>
  <c r="BO83" i="31"/>
  <c r="BM83" i="31"/>
  <c r="BO114" i="31"/>
  <c r="BM114" i="31"/>
  <c r="BI114" i="31"/>
  <c r="BI36" i="31"/>
  <c r="BI87" i="31"/>
  <c r="BP4" i="31"/>
  <c r="BI35" i="31"/>
  <c r="BI57" i="31"/>
  <c r="BI12" i="31"/>
  <c r="BI28" i="31"/>
  <c r="BI93" i="31"/>
  <c r="BI95" i="31"/>
  <c r="BI99" i="31"/>
  <c r="BI8" i="31"/>
  <c r="BI51" i="31"/>
  <c r="BI22" i="31"/>
  <c r="BI83" i="31"/>
  <c r="AY109" i="31"/>
  <c r="AZ109" i="31" s="1"/>
  <c r="AY107" i="31"/>
  <c r="AZ107" i="31" s="1"/>
  <c r="BH111" i="31"/>
  <c r="BL111" i="31" s="1"/>
  <c r="BF111" i="31"/>
  <c r="BE112" i="31"/>
  <c r="BB113" i="31"/>
  <c r="BC112" i="31"/>
  <c r="BE115" i="31"/>
  <c r="BC115" i="31"/>
  <c r="BC100" i="31"/>
  <c r="BE100" i="31"/>
  <c r="BC81" i="31"/>
  <c r="BE81" i="31"/>
  <c r="BF84" i="31"/>
  <c r="BH84" i="31"/>
  <c r="BL84" i="31" s="1"/>
  <c r="BC27" i="31"/>
  <c r="BE27" i="31"/>
  <c r="BH86" i="31"/>
  <c r="BL86" i="31" s="1"/>
  <c r="BF86" i="31"/>
  <c r="BF94" i="31"/>
  <c r="BH94" i="31"/>
  <c r="BL94" i="31" s="1"/>
  <c r="BH69" i="31"/>
  <c r="BL69" i="31" s="1"/>
  <c r="BF69" i="31"/>
  <c r="BC13" i="31"/>
  <c r="BE13" i="31"/>
  <c r="BC56" i="31"/>
  <c r="BE56" i="31"/>
  <c r="BC52" i="31"/>
  <c r="BE52" i="31"/>
  <c r="BC90" i="31"/>
  <c r="BE90" i="31"/>
  <c r="BC7" i="31"/>
  <c r="BE7" i="31"/>
  <c r="BF72" i="31"/>
  <c r="BH72" i="31"/>
  <c r="BL72" i="31" s="1"/>
  <c r="BF47" i="31"/>
  <c r="BH47" i="31"/>
  <c r="BL47" i="31" s="1"/>
  <c r="BF38" i="31"/>
  <c r="BH38" i="31"/>
  <c r="BL38" i="31" s="1"/>
  <c r="BF41" i="31"/>
  <c r="BH41" i="31"/>
  <c r="BL41" i="31" s="1"/>
  <c r="BF21" i="31"/>
  <c r="BH21" i="31"/>
  <c r="BL21" i="31" s="1"/>
  <c r="BF43" i="31"/>
  <c r="BH43" i="31"/>
  <c r="BL43" i="31" s="1"/>
  <c r="BC91" i="31"/>
  <c r="BC14" i="31"/>
  <c r="BE14" i="31"/>
  <c r="BF6" i="31"/>
  <c r="BH6" i="31"/>
  <c r="BL6" i="31" s="1"/>
  <c r="BC48" i="31"/>
  <c r="BE48" i="31"/>
  <c r="BC17" i="31"/>
  <c r="BE17" i="31"/>
  <c r="BH34" i="31"/>
  <c r="BL34" i="31" s="1"/>
  <c r="BF34" i="31"/>
  <c r="BH77" i="31"/>
  <c r="BL77" i="31" s="1"/>
  <c r="BF77" i="31"/>
  <c r="BC70" i="31"/>
  <c r="BE70" i="31"/>
  <c r="BC59" i="31"/>
  <c r="BE59" i="31"/>
  <c r="BC71" i="31"/>
  <c r="BE71" i="31"/>
  <c r="BC39" i="31"/>
  <c r="BE39" i="31"/>
  <c r="BC65" i="31"/>
  <c r="BE65" i="31"/>
  <c r="BC79" i="31"/>
  <c r="BE79" i="31"/>
  <c r="BC15" i="31"/>
  <c r="BE15" i="31"/>
  <c r="BF31" i="31"/>
  <c r="BH31" i="31"/>
  <c r="BL31" i="31" s="1"/>
  <c r="BF44" i="31"/>
  <c r="BH44" i="31"/>
  <c r="BL44" i="31" s="1"/>
  <c r="BC29" i="31"/>
  <c r="BE29" i="31"/>
  <c r="BC64" i="31"/>
  <c r="BE64" i="31"/>
  <c r="BC9" i="31"/>
  <c r="BE9" i="31"/>
  <c r="BC89" i="31"/>
  <c r="BE89" i="31"/>
  <c r="BC66" i="31"/>
  <c r="BE66" i="31"/>
  <c r="BC49" i="31"/>
  <c r="BE49" i="31"/>
  <c r="BC82" i="31"/>
  <c r="BE82" i="31"/>
  <c r="BC97" i="31"/>
  <c r="BE97" i="31"/>
  <c r="BC23" i="31"/>
  <c r="BE23" i="31"/>
  <c r="BH61" i="31"/>
  <c r="BL61" i="31" s="1"/>
  <c r="BF61" i="31"/>
  <c r="BF37" i="31"/>
  <c r="BH37" i="31"/>
  <c r="BL37" i="31" s="1"/>
  <c r="BF33" i="31"/>
  <c r="BH33" i="31"/>
  <c r="BL33" i="31" s="1"/>
  <c r="BF45" i="31"/>
  <c r="BH45" i="31"/>
  <c r="BL45" i="31" s="1"/>
  <c r="BF11" i="31"/>
  <c r="BH11" i="31"/>
  <c r="BL11" i="31" s="1"/>
  <c r="BF25" i="31"/>
  <c r="BH25" i="31"/>
  <c r="BL25" i="31" s="1"/>
  <c r="BH32" i="31"/>
  <c r="BL32" i="31" s="1"/>
  <c r="BF32" i="31"/>
  <c r="BC63" i="31"/>
  <c r="BE63" i="31"/>
  <c r="BC73" i="31"/>
  <c r="BE73" i="31"/>
  <c r="BF67" i="31"/>
  <c r="BH67" i="31"/>
  <c r="BL67" i="31" s="1"/>
  <c r="BF55" i="31"/>
  <c r="BH55" i="31"/>
  <c r="BL55" i="31" s="1"/>
  <c r="BC16" i="31"/>
  <c r="BE16" i="31"/>
  <c r="BC60" i="31"/>
  <c r="BE60" i="31"/>
  <c r="BC19" i="31"/>
  <c r="BE19" i="31"/>
  <c r="BC53" i="31"/>
  <c r="BE53" i="31"/>
  <c r="BH85" i="31"/>
  <c r="BL85" i="31" s="1"/>
  <c r="BF85" i="31"/>
  <c r="BC5" i="31"/>
  <c r="BE5" i="31"/>
  <c r="BC68" i="31"/>
  <c r="BE68" i="31"/>
  <c r="BC58" i="31"/>
  <c r="BE58" i="31"/>
  <c r="BC94" i="31"/>
  <c r="BB106" i="31"/>
  <c r="BB107" i="31" s="1"/>
  <c r="BC72" i="31"/>
  <c r="BC86" i="31"/>
  <c r="BB105" i="31"/>
  <c r="BE105" i="31" s="1"/>
  <c r="BC85" i="31"/>
  <c r="BB104" i="31"/>
  <c r="BC84" i="31"/>
  <c r="BB103" i="31"/>
  <c r="BE103" i="31" s="1"/>
  <c r="BB88" i="31"/>
  <c r="BE88" i="31" s="1"/>
  <c r="AZ88" i="31"/>
  <c r="BB76" i="31"/>
  <c r="AZ76" i="31"/>
  <c r="BB92" i="31"/>
  <c r="AZ92" i="31"/>
  <c r="BB98" i="31"/>
  <c r="AZ98" i="31"/>
  <c r="BB62" i="31"/>
  <c r="AZ62" i="31"/>
  <c r="AZ80" i="31"/>
  <c r="BB80" i="31"/>
  <c r="BB78" i="31"/>
  <c r="BE78" i="31" s="1"/>
  <c r="AZ78" i="31"/>
  <c r="AZ96" i="31"/>
  <c r="BB96" i="31"/>
  <c r="BB50" i="31"/>
  <c r="AZ50" i="31"/>
  <c r="AZ54" i="31"/>
  <c r="BB54" i="31"/>
  <c r="AZ74" i="31"/>
  <c r="BB74" i="31"/>
  <c r="BB46" i="31"/>
  <c r="AZ46" i="31"/>
  <c r="BB75" i="31"/>
  <c r="AZ75" i="31"/>
  <c r="BS26" i="31" l="1"/>
  <c r="BL33" i="32"/>
  <c r="BN33" i="32"/>
  <c r="BL19" i="32"/>
  <c r="BN19" i="32"/>
  <c r="BL11" i="32"/>
  <c r="BN11" i="32"/>
  <c r="BO9" i="32"/>
  <c r="BQ9" i="32"/>
  <c r="BR9" i="32" s="1"/>
  <c r="BO35" i="32"/>
  <c r="BQ35" i="32"/>
  <c r="BR35" i="32" s="1"/>
  <c r="BL21" i="32"/>
  <c r="BN21" i="32"/>
  <c r="BL15" i="32"/>
  <c r="BN15" i="32"/>
  <c r="BL12" i="32"/>
  <c r="BN12" i="32"/>
  <c r="BL29" i="32"/>
  <c r="BN29" i="32"/>
  <c r="BL37" i="32"/>
  <c r="BN37" i="32"/>
  <c r="BL20" i="32"/>
  <c r="BN20" i="32"/>
  <c r="BL6" i="32"/>
  <c r="BN6" i="32"/>
  <c r="BL27" i="32"/>
  <c r="BN27" i="32"/>
  <c r="BL25" i="32"/>
  <c r="BN25" i="32"/>
  <c r="BO7" i="32"/>
  <c r="BQ7" i="32"/>
  <c r="BR7" i="32" s="1"/>
  <c r="BO5" i="32"/>
  <c r="BQ5" i="32"/>
  <c r="BR5" i="32" s="1"/>
  <c r="BL31" i="32"/>
  <c r="BN31" i="32"/>
  <c r="BL8" i="32"/>
  <c r="BN8" i="32"/>
  <c r="BL13" i="32"/>
  <c r="BN13" i="32"/>
  <c r="BL23" i="32"/>
  <c r="BN23" i="32"/>
  <c r="BL17" i="32"/>
  <c r="BN17" i="32"/>
  <c r="BU87" i="31"/>
  <c r="BV87" i="31" s="1"/>
  <c r="BP51" i="31"/>
  <c r="BR51" i="31"/>
  <c r="BS51" i="31" s="1"/>
  <c r="BU20" i="31"/>
  <c r="BV20" i="31" s="1"/>
  <c r="BP35" i="31"/>
  <c r="BR35" i="31"/>
  <c r="BS35" i="31" s="1"/>
  <c r="BP93" i="31"/>
  <c r="BR93" i="31"/>
  <c r="BS93" i="31" s="1"/>
  <c r="BP95" i="31"/>
  <c r="BR95" i="31"/>
  <c r="BS95" i="31" s="1"/>
  <c r="BP28" i="31"/>
  <c r="BR28" i="31"/>
  <c r="BS28" i="31" s="1"/>
  <c r="BP83" i="31"/>
  <c r="BR83" i="31"/>
  <c r="BS83" i="31" s="1"/>
  <c r="BU40" i="31"/>
  <c r="BV40" i="31" s="1"/>
  <c r="BP117" i="31"/>
  <c r="BR117" i="31"/>
  <c r="BS117" i="31" s="1"/>
  <c r="BP57" i="31"/>
  <c r="BR57" i="31"/>
  <c r="BS57" i="31" s="1"/>
  <c r="BU26" i="31"/>
  <c r="BV26" i="31" s="1"/>
  <c r="BP36" i="31"/>
  <c r="BR36" i="31"/>
  <c r="BS36" i="31" s="1"/>
  <c r="BP99" i="31"/>
  <c r="BR99" i="31"/>
  <c r="BS99" i="31" s="1"/>
  <c r="BU30" i="31"/>
  <c r="BV30" i="31" s="1"/>
  <c r="BP114" i="31"/>
  <c r="BR114" i="31"/>
  <c r="BS114" i="31" s="1"/>
  <c r="BU42" i="31"/>
  <c r="BV42" i="31" s="1"/>
  <c r="BP22" i="31"/>
  <c r="BR22" i="31"/>
  <c r="BS22" i="31" s="1"/>
  <c r="BP12" i="31"/>
  <c r="BR12" i="31"/>
  <c r="BP8" i="31"/>
  <c r="BR8" i="31"/>
  <c r="BS8" i="31" s="1"/>
  <c r="BI36" i="32"/>
  <c r="BI14" i="32"/>
  <c r="BI16" i="32"/>
  <c r="BH116" i="31"/>
  <c r="BL116" i="31" s="1"/>
  <c r="BP87" i="31"/>
  <c r="BO47" i="31"/>
  <c r="BM47" i="31"/>
  <c r="BO21" i="31"/>
  <c r="BM21" i="31"/>
  <c r="BM72" i="31"/>
  <c r="BO72" i="31"/>
  <c r="BO55" i="31"/>
  <c r="BM55" i="31"/>
  <c r="BO31" i="31"/>
  <c r="BM31" i="31"/>
  <c r="BO25" i="31"/>
  <c r="BM25" i="31"/>
  <c r="BO61" i="31"/>
  <c r="BM61" i="31"/>
  <c r="BO44" i="31"/>
  <c r="BM44" i="31"/>
  <c r="BO45" i="31"/>
  <c r="BM45" i="31"/>
  <c r="BO69" i="31"/>
  <c r="BM69" i="31"/>
  <c r="BK14" i="32"/>
  <c r="BK16" i="32"/>
  <c r="BK22" i="32"/>
  <c r="BK24" i="32"/>
  <c r="BK32" i="32"/>
  <c r="BK30" i="32"/>
  <c r="BK36" i="32"/>
  <c r="BK18" i="32"/>
  <c r="BK26" i="32"/>
  <c r="BK28" i="32"/>
  <c r="BK38" i="32"/>
  <c r="BK34" i="32"/>
  <c r="BK4" i="32"/>
  <c r="BK10" i="32"/>
  <c r="BO32" i="31"/>
  <c r="BM32" i="31"/>
  <c r="BO111" i="31"/>
  <c r="BR111" i="31" s="1"/>
  <c r="BS111" i="31" s="1"/>
  <c r="BM111" i="31"/>
  <c r="BO85" i="31"/>
  <c r="BM85" i="31"/>
  <c r="BM43" i="31"/>
  <c r="BO43" i="31"/>
  <c r="BM37" i="31"/>
  <c r="BO37" i="31"/>
  <c r="BM11" i="31"/>
  <c r="BO11" i="31"/>
  <c r="BO94" i="31"/>
  <c r="BM94" i="31"/>
  <c r="BM33" i="31"/>
  <c r="BO33" i="31"/>
  <c r="BO67" i="31"/>
  <c r="BM67" i="31"/>
  <c r="BO86" i="31"/>
  <c r="BM86" i="31"/>
  <c r="BO77" i="31"/>
  <c r="BM77" i="31"/>
  <c r="BO34" i="31"/>
  <c r="BM34" i="31"/>
  <c r="BO38" i="31"/>
  <c r="BM38" i="31"/>
  <c r="BO84" i="31"/>
  <c r="BM84" i="31"/>
  <c r="BO41" i="31"/>
  <c r="BM41" i="31"/>
  <c r="BI25" i="31"/>
  <c r="BI41" i="31"/>
  <c r="BI61" i="31"/>
  <c r="BI34" i="31"/>
  <c r="BI38" i="31"/>
  <c r="BI84" i="31"/>
  <c r="BI67" i="31"/>
  <c r="BI86" i="31"/>
  <c r="BI11" i="31"/>
  <c r="BI45" i="31"/>
  <c r="BI69" i="31"/>
  <c r="BI85" i="31"/>
  <c r="BI43" i="31"/>
  <c r="BI47" i="31"/>
  <c r="BI94" i="31"/>
  <c r="BI37" i="31"/>
  <c r="BI31" i="31"/>
  <c r="BI6" i="31"/>
  <c r="BM6" i="31"/>
  <c r="BI77" i="31"/>
  <c r="BI55" i="31"/>
  <c r="BI33" i="31"/>
  <c r="BI44" i="31"/>
  <c r="BI32" i="31"/>
  <c r="BI21" i="31"/>
  <c r="BI72" i="31"/>
  <c r="BI111" i="31"/>
  <c r="BE107" i="31"/>
  <c r="BC107" i="31"/>
  <c r="BH115" i="31"/>
  <c r="BL115" i="31" s="1"/>
  <c r="BF115" i="31"/>
  <c r="BC113" i="31"/>
  <c r="BE113" i="31"/>
  <c r="BH112" i="31"/>
  <c r="BL112" i="31" s="1"/>
  <c r="BF112" i="31"/>
  <c r="BF5" i="31"/>
  <c r="BH5" i="31"/>
  <c r="BL5" i="31" s="1"/>
  <c r="BF49" i="31"/>
  <c r="BH49" i="31"/>
  <c r="BL49" i="31" s="1"/>
  <c r="BF71" i="31"/>
  <c r="BH71" i="31"/>
  <c r="BL71" i="31" s="1"/>
  <c r="BF13" i="31"/>
  <c r="BH13" i="31"/>
  <c r="BL13" i="31" s="1"/>
  <c r="BC75" i="31"/>
  <c r="BE75" i="31"/>
  <c r="BC50" i="31"/>
  <c r="BE50" i="31"/>
  <c r="BC62" i="31"/>
  <c r="BE62" i="31"/>
  <c r="BF88" i="31"/>
  <c r="BH88" i="31"/>
  <c r="BL88" i="31" s="1"/>
  <c r="BC106" i="31"/>
  <c r="BE106" i="31"/>
  <c r="BF16" i="31"/>
  <c r="BH16" i="31"/>
  <c r="BL16" i="31" s="1"/>
  <c r="BF63" i="31"/>
  <c r="BH63" i="31"/>
  <c r="BL63" i="31" s="1"/>
  <c r="BF23" i="31"/>
  <c r="BH23" i="31"/>
  <c r="BL23" i="31" s="1"/>
  <c r="BH66" i="31"/>
  <c r="BL66" i="31" s="1"/>
  <c r="BF66" i="31"/>
  <c r="BF29" i="31"/>
  <c r="BH29" i="31"/>
  <c r="BL29" i="31" s="1"/>
  <c r="BF79" i="31"/>
  <c r="BH79" i="31"/>
  <c r="BL79" i="31" s="1"/>
  <c r="BF59" i="31"/>
  <c r="BH59" i="31"/>
  <c r="BL59" i="31" s="1"/>
  <c r="BF17" i="31"/>
  <c r="BH17" i="31"/>
  <c r="BL17" i="31" s="1"/>
  <c r="BH90" i="31"/>
  <c r="BL90" i="31" s="1"/>
  <c r="BF90" i="31"/>
  <c r="BC76" i="31"/>
  <c r="BE76" i="31"/>
  <c r="BF73" i="31"/>
  <c r="BH73" i="31"/>
  <c r="BL73" i="31" s="1"/>
  <c r="BF15" i="31"/>
  <c r="BH15" i="31"/>
  <c r="BL15" i="31" s="1"/>
  <c r="BF7" i="31"/>
  <c r="BH7" i="31"/>
  <c r="BL7" i="31" s="1"/>
  <c r="BC96" i="31"/>
  <c r="BE96" i="31"/>
  <c r="BC46" i="31"/>
  <c r="BE46" i="31"/>
  <c r="BC98" i="31"/>
  <c r="BE98" i="31"/>
  <c r="BF58" i="31"/>
  <c r="BH58" i="31"/>
  <c r="BL58" i="31" s="1"/>
  <c r="BF53" i="31"/>
  <c r="BH53" i="31"/>
  <c r="BL53" i="31" s="1"/>
  <c r="BF97" i="31"/>
  <c r="BH97" i="31"/>
  <c r="BL97" i="31" s="1"/>
  <c r="BF89" i="31"/>
  <c r="BH89" i="31"/>
  <c r="BL89" i="31" s="1"/>
  <c r="BF65" i="31"/>
  <c r="BH65" i="31"/>
  <c r="BL65" i="31" s="1"/>
  <c r="BH70" i="31"/>
  <c r="BL70" i="31" s="1"/>
  <c r="BF70" i="31"/>
  <c r="BH48" i="31"/>
  <c r="BL48" i="31" s="1"/>
  <c r="BF48" i="31"/>
  <c r="BF52" i="31"/>
  <c r="BH52" i="31"/>
  <c r="BL52" i="31" s="1"/>
  <c r="BF81" i="31"/>
  <c r="BH81" i="31"/>
  <c r="BL81" i="31" s="1"/>
  <c r="BF27" i="31"/>
  <c r="BH27" i="31"/>
  <c r="BL27" i="31" s="1"/>
  <c r="BC74" i="31"/>
  <c r="BE74" i="31"/>
  <c r="BF60" i="31"/>
  <c r="BH60" i="31"/>
  <c r="BL60" i="31" s="1"/>
  <c r="BH64" i="31"/>
  <c r="BL64" i="31" s="1"/>
  <c r="BF64" i="31"/>
  <c r="BF14" i="31"/>
  <c r="BH14" i="31"/>
  <c r="BL14" i="31" s="1"/>
  <c r="BH78" i="31"/>
  <c r="BL78" i="31" s="1"/>
  <c r="BF78" i="31"/>
  <c r="BF56" i="31"/>
  <c r="BH56" i="31"/>
  <c r="BL56" i="31" s="1"/>
  <c r="BF100" i="31"/>
  <c r="BH100" i="31"/>
  <c r="BL100" i="31" s="1"/>
  <c r="BF103" i="31"/>
  <c r="BH103" i="31"/>
  <c r="BL103" i="31" s="1"/>
  <c r="BC104" i="31"/>
  <c r="BE104" i="31"/>
  <c r="BC92" i="31"/>
  <c r="BE92" i="31"/>
  <c r="BF68" i="31"/>
  <c r="BH68" i="31"/>
  <c r="BL68" i="31" s="1"/>
  <c r="BF19" i="31"/>
  <c r="BH19" i="31"/>
  <c r="BL19" i="31" s="1"/>
  <c r="BF82" i="31"/>
  <c r="BH82" i="31"/>
  <c r="BL82" i="31" s="1"/>
  <c r="BF9" i="31"/>
  <c r="BH9" i="31"/>
  <c r="BL9" i="31" s="1"/>
  <c r="BF39" i="31"/>
  <c r="BH39" i="31"/>
  <c r="BL39" i="31" s="1"/>
  <c r="BC54" i="31"/>
  <c r="BE54" i="31"/>
  <c r="BC80" i="31"/>
  <c r="BE80" i="31"/>
  <c r="BH105" i="31"/>
  <c r="BL105" i="31" s="1"/>
  <c r="BF105" i="31"/>
  <c r="BC103" i="31"/>
  <c r="BC105" i="31"/>
  <c r="BC78" i="31"/>
  <c r="BC88" i="31"/>
  <c r="BB109" i="31"/>
  <c r="BB110" i="31" s="1"/>
  <c r="BS12" i="31" l="1"/>
  <c r="BL28" i="32"/>
  <c r="BN28" i="32"/>
  <c r="BL14" i="32"/>
  <c r="BN14" i="32"/>
  <c r="BO13" i="32"/>
  <c r="BQ13" i="32"/>
  <c r="BR13" i="32" s="1"/>
  <c r="BO11" i="32"/>
  <c r="BQ11" i="32"/>
  <c r="BR11" i="32" s="1"/>
  <c r="BL36" i="32"/>
  <c r="BN36" i="32"/>
  <c r="BO8" i="32"/>
  <c r="BQ8" i="32"/>
  <c r="BR8" i="32" s="1"/>
  <c r="BO25" i="32"/>
  <c r="BQ25" i="32"/>
  <c r="BR25" i="32" s="1"/>
  <c r="BO37" i="32"/>
  <c r="BQ37" i="32"/>
  <c r="BR37" i="32" s="1"/>
  <c r="BO21" i="32"/>
  <c r="BQ21" i="32"/>
  <c r="BR21" i="32" s="1"/>
  <c r="BO19" i="32"/>
  <c r="BQ19" i="32"/>
  <c r="BR19" i="32" s="1"/>
  <c r="BL26" i="32"/>
  <c r="BN26" i="32"/>
  <c r="BO15" i="32"/>
  <c r="BQ15" i="32"/>
  <c r="BR15" i="32" s="1"/>
  <c r="BL18" i="32"/>
  <c r="BN18" i="32"/>
  <c r="BL10" i="32"/>
  <c r="BN10" i="32"/>
  <c r="BL30" i="32"/>
  <c r="BN30" i="32"/>
  <c r="BL38" i="32"/>
  <c r="BN38" i="32"/>
  <c r="BO23" i="32"/>
  <c r="BQ23" i="32"/>
  <c r="BR23" i="32" s="1"/>
  <c r="BO6" i="32"/>
  <c r="BQ6" i="32"/>
  <c r="BR6" i="32" s="1"/>
  <c r="BL16" i="32"/>
  <c r="BN16" i="32"/>
  <c r="BO20" i="32"/>
  <c r="BQ20" i="32"/>
  <c r="BR20" i="32" s="1"/>
  <c r="BL4" i="32"/>
  <c r="BN4" i="32"/>
  <c r="BL32" i="32"/>
  <c r="BN32" i="32"/>
  <c r="BO17" i="32"/>
  <c r="BQ17" i="32"/>
  <c r="BR17" i="32" s="1"/>
  <c r="BO31" i="32"/>
  <c r="BQ31" i="32"/>
  <c r="BR31" i="32" s="1"/>
  <c r="BO27" i="32"/>
  <c r="BQ27" i="32"/>
  <c r="BR27" i="32" s="1"/>
  <c r="BO29" i="32"/>
  <c r="BQ29" i="32"/>
  <c r="BR29" i="32" s="1"/>
  <c r="BO33" i="32"/>
  <c r="BQ33" i="32"/>
  <c r="BR33" i="32" s="1"/>
  <c r="BL22" i="32"/>
  <c r="BN22" i="32"/>
  <c r="BO12" i="32"/>
  <c r="BQ12" i="32"/>
  <c r="BR12" i="32" s="1"/>
  <c r="BL34" i="32"/>
  <c r="BN34" i="32"/>
  <c r="BL24" i="32"/>
  <c r="BN24" i="32"/>
  <c r="BP67" i="31"/>
  <c r="BR67" i="31"/>
  <c r="BS67" i="31" s="1"/>
  <c r="BP32" i="31"/>
  <c r="BR32" i="31"/>
  <c r="BP25" i="31"/>
  <c r="BR25" i="31"/>
  <c r="BS25" i="31" s="1"/>
  <c r="BU114" i="31"/>
  <c r="BV114" i="31" s="1"/>
  <c r="BU35" i="31"/>
  <c r="BV35" i="31" s="1"/>
  <c r="BP33" i="31"/>
  <c r="BR33" i="31"/>
  <c r="BS33" i="31" s="1"/>
  <c r="BP45" i="31"/>
  <c r="BR45" i="31"/>
  <c r="BS45" i="31" s="1"/>
  <c r="BU12" i="31"/>
  <c r="BV12" i="31" s="1"/>
  <c r="BU57" i="31"/>
  <c r="BV57" i="31" s="1"/>
  <c r="BP69" i="31"/>
  <c r="BR69" i="31"/>
  <c r="BS69" i="31" s="1"/>
  <c r="BP21" i="31"/>
  <c r="BR21" i="31"/>
  <c r="BU8" i="31"/>
  <c r="BV8" i="31" s="1"/>
  <c r="BU83" i="31"/>
  <c r="BV83" i="31" s="1"/>
  <c r="BP43" i="31"/>
  <c r="BR43" i="31"/>
  <c r="BS43" i="31" s="1"/>
  <c r="BP47" i="31"/>
  <c r="BR47" i="31"/>
  <c r="BS47" i="31" s="1"/>
  <c r="BU28" i="31"/>
  <c r="BV28" i="31" s="1"/>
  <c r="BP41" i="31"/>
  <c r="BR41" i="31"/>
  <c r="BS41" i="31" s="1"/>
  <c r="BP77" i="31"/>
  <c r="BR77" i="31"/>
  <c r="BS77" i="31" s="1"/>
  <c r="BP94" i="31"/>
  <c r="BR94" i="31"/>
  <c r="BS94" i="31" s="1"/>
  <c r="BP85" i="31"/>
  <c r="BR85" i="31"/>
  <c r="BS85" i="31" s="1"/>
  <c r="BP44" i="31"/>
  <c r="BR44" i="31"/>
  <c r="BS44" i="31" s="1"/>
  <c r="BP55" i="31"/>
  <c r="BR55" i="31"/>
  <c r="BS55" i="31" s="1"/>
  <c r="BU22" i="31"/>
  <c r="BV22" i="31" s="1"/>
  <c r="BU99" i="31"/>
  <c r="BV99" i="31" s="1"/>
  <c r="BU117" i="31"/>
  <c r="BV117" i="31" s="1"/>
  <c r="BU95" i="31"/>
  <c r="BV95" i="31" s="1"/>
  <c r="BU51" i="31"/>
  <c r="BV51" i="31" s="1"/>
  <c r="BP84" i="31"/>
  <c r="BR84" i="31"/>
  <c r="BS84" i="31" s="1"/>
  <c r="BU36" i="31"/>
  <c r="BV36" i="31" s="1"/>
  <c r="BP38" i="31"/>
  <c r="BR38" i="31"/>
  <c r="BS38" i="31" s="1"/>
  <c r="BP34" i="31"/>
  <c r="BR34" i="31"/>
  <c r="BS34" i="31" s="1"/>
  <c r="BP31" i="31"/>
  <c r="BR31" i="31"/>
  <c r="BS31" i="31" s="1"/>
  <c r="BP11" i="31"/>
  <c r="BR11" i="31"/>
  <c r="BS11" i="31" s="1"/>
  <c r="BP72" i="31"/>
  <c r="BR72" i="31"/>
  <c r="BS72" i="31" s="1"/>
  <c r="BP86" i="31"/>
  <c r="BR86" i="31"/>
  <c r="BS86" i="31" s="1"/>
  <c r="BU111" i="31"/>
  <c r="BV111" i="31" s="1"/>
  <c r="BP61" i="31"/>
  <c r="BR61" i="31"/>
  <c r="BS61" i="31" s="1"/>
  <c r="BU93" i="31"/>
  <c r="BV93" i="31" s="1"/>
  <c r="BP37" i="31"/>
  <c r="BR37" i="31"/>
  <c r="BS37" i="31" s="1"/>
  <c r="BI116" i="31"/>
  <c r="BH118" i="31"/>
  <c r="BL118" i="31" s="1"/>
  <c r="BM78" i="31"/>
  <c r="BP111" i="31"/>
  <c r="BO78" i="31"/>
  <c r="BR78" i="31" s="1"/>
  <c r="BS78" i="31" s="1"/>
  <c r="BO48" i="31"/>
  <c r="BM48" i="31"/>
  <c r="BO23" i="31"/>
  <c r="BM23" i="31"/>
  <c r="BO27" i="31"/>
  <c r="BM27" i="31"/>
  <c r="BO79" i="31"/>
  <c r="BM79" i="31"/>
  <c r="BO63" i="31"/>
  <c r="BM63" i="31"/>
  <c r="BO71" i="31"/>
  <c r="BM71" i="31"/>
  <c r="BO19" i="31"/>
  <c r="BM19" i="31"/>
  <c r="BO70" i="31"/>
  <c r="BM70" i="31"/>
  <c r="BO88" i="31"/>
  <c r="BM88" i="31"/>
  <c r="BO14" i="31"/>
  <c r="BM14" i="31"/>
  <c r="BO39" i="31"/>
  <c r="BM39" i="31"/>
  <c r="BO100" i="31"/>
  <c r="BR100" i="31" s="1"/>
  <c r="BS100" i="31" s="1"/>
  <c r="BM100" i="31"/>
  <c r="BO81" i="31"/>
  <c r="BM81" i="31"/>
  <c r="BO65" i="31"/>
  <c r="BM65" i="31"/>
  <c r="BO58" i="31"/>
  <c r="BM58" i="31"/>
  <c r="BO7" i="31"/>
  <c r="BM7" i="31"/>
  <c r="BO29" i="31"/>
  <c r="BM29" i="31"/>
  <c r="BO16" i="31"/>
  <c r="BM16" i="31"/>
  <c r="BO90" i="31"/>
  <c r="BM90" i="31"/>
  <c r="BO9" i="31"/>
  <c r="BM9" i="31"/>
  <c r="BO52" i="31"/>
  <c r="BM52" i="31"/>
  <c r="BO89" i="31"/>
  <c r="BR89" i="31" s="1"/>
  <c r="BS89" i="31" s="1"/>
  <c r="BM89" i="31"/>
  <c r="BO5" i="31"/>
  <c r="BM5" i="31"/>
  <c r="BO56" i="31"/>
  <c r="BM56" i="31"/>
  <c r="BO60" i="31"/>
  <c r="BM60" i="31"/>
  <c r="BO15" i="31"/>
  <c r="BM15" i="31"/>
  <c r="BO17" i="31"/>
  <c r="BM17" i="31"/>
  <c r="BO105" i="31"/>
  <c r="BM105" i="31"/>
  <c r="BO66" i="31"/>
  <c r="BM66" i="31"/>
  <c r="BO82" i="31"/>
  <c r="BM82" i="31"/>
  <c r="BO97" i="31"/>
  <c r="BM97" i="31"/>
  <c r="BO73" i="31"/>
  <c r="BM73" i="31"/>
  <c r="BO59" i="31"/>
  <c r="BM59" i="31"/>
  <c r="BO13" i="31"/>
  <c r="BM13" i="31"/>
  <c r="BO112" i="31"/>
  <c r="BM112" i="31"/>
  <c r="BO103" i="31"/>
  <c r="BM103" i="31"/>
  <c r="BM53" i="31"/>
  <c r="BO53" i="31"/>
  <c r="BO68" i="31"/>
  <c r="BM68" i="31"/>
  <c r="BO49" i="31"/>
  <c r="BM49" i="31"/>
  <c r="BM64" i="31"/>
  <c r="BO64" i="31"/>
  <c r="BO115" i="31"/>
  <c r="BM115" i="31"/>
  <c r="BI97" i="31"/>
  <c r="BI23" i="31"/>
  <c r="BI13" i="31"/>
  <c r="BI14" i="31"/>
  <c r="BI53" i="31"/>
  <c r="BI63" i="31"/>
  <c r="BI70" i="31"/>
  <c r="BI39" i="31"/>
  <c r="BI68" i="31"/>
  <c r="BI100" i="31"/>
  <c r="BI81" i="31"/>
  <c r="BI65" i="31"/>
  <c r="BI58" i="31"/>
  <c r="BI7" i="31"/>
  <c r="BI29" i="31"/>
  <c r="BI16" i="31"/>
  <c r="BI49" i="31"/>
  <c r="BI82" i="31"/>
  <c r="BI59" i="31"/>
  <c r="BI78" i="31"/>
  <c r="BI27" i="31"/>
  <c r="BI79" i="31"/>
  <c r="BI88" i="31"/>
  <c r="BI48" i="31"/>
  <c r="BI112" i="31"/>
  <c r="BI19" i="31"/>
  <c r="BI71" i="31"/>
  <c r="BI64" i="31"/>
  <c r="BI115" i="31"/>
  <c r="BI9" i="31"/>
  <c r="BI60" i="31"/>
  <c r="BI15" i="31"/>
  <c r="BO6" i="31"/>
  <c r="BI73" i="31"/>
  <c r="BI103" i="31"/>
  <c r="BI90" i="31"/>
  <c r="BI56" i="31"/>
  <c r="BI52" i="31"/>
  <c r="BI89" i="31"/>
  <c r="BI17" i="31"/>
  <c r="BI5" i="31"/>
  <c r="BI105" i="31"/>
  <c r="BI66" i="31"/>
  <c r="BH107" i="31"/>
  <c r="BL107" i="31" s="1"/>
  <c r="BF107" i="31"/>
  <c r="BH113" i="31"/>
  <c r="BL113" i="31" s="1"/>
  <c r="BF113" i="31"/>
  <c r="BC110" i="31"/>
  <c r="BE110" i="31"/>
  <c r="BF76" i="31"/>
  <c r="BH76" i="31"/>
  <c r="BL76" i="31" s="1"/>
  <c r="BH50" i="31"/>
  <c r="BL50" i="31" s="1"/>
  <c r="BF50" i="31"/>
  <c r="BH54" i="31"/>
  <c r="BL54" i="31" s="1"/>
  <c r="BF54" i="31"/>
  <c r="BF92" i="31"/>
  <c r="BH92" i="31"/>
  <c r="BL92" i="31" s="1"/>
  <c r="BH98" i="31"/>
  <c r="BL98" i="31" s="1"/>
  <c r="BF98" i="31"/>
  <c r="BF96" i="31"/>
  <c r="BH96" i="31"/>
  <c r="BL96" i="31" s="1"/>
  <c r="BF80" i="31"/>
  <c r="BH80" i="31"/>
  <c r="BL80" i="31" s="1"/>
  <c r="BH104" i="31"/>
  <c r="BL104" i="31" s="1"/>
  <c r="BF104" i="31"/>
  <c r="BF74" i="31"/>
  <c r="BH74" i="31"/>
  <c r="BL74" i="31" s="1"/>
  <c r="BF46" i="31"/>
  <c r="BH46" i="31"/>
  <c r="BL46" i="31" s="1"/>
  <c r="BH106" i="31"/>
  <c r="BL106" i="31" s="1"/>
  <c r="BF106" i="31"/>
  <c r="BH75" i="31"/>
  <c r="BL75" i="31" s="1"/>
  <c r="BF75" i="31"/>
  <c r="BH62" i="31"/>
  <c r="BL62" i="31" s="1"/>
  <c r="BF62" i="31"/>
  <c r="BC109" i="31"/>
  <c r="BE109" i="31"/>
  <c r="BS21" i="31" l="1"/>
  <c r="BS32" i="31"/>
  <c r="BO16" i="32"/>
  <c r="BQ16" i="32"/>
  <c r="BR16" i="32" s="1"/>
  <c r="BO34" i="32"/>
  <c r="BQ34" i="32"/>
  <c r="BR34" i="32" s="1"/>
  <c r="BO32" i="32"/>
  <c r="BQ32" i="32"/>
  <c r="BR32" i="32" s="1"/>
  <c r="BO10" i="32"/>
  <c r="BQ10" i="32"/>
  <c r="BR10" i="32" s="1"/>
  <c r="BO14" i="32"/>
  <c r="BQ14" i="32"/>
  <c r="BR14" i="32" s="1"/>
  <c r="BO38" i="32"/>
  <c r="BQ38" i="32"/>
  <c r="BR38" i="32" s="1"/>
  <c r="BO26" i="32"/>
  <c r="BQ26" i="32"/>
  <c r="BR26" i="32" s="1"/>
  <c r="BO4" i="32"/>
  <c r="BQ4" i="32"/>
  <c r="BR4" i="32" s="1"/>
  <c r="BO18" i="32"/>
  <c r="BQ18" i="32"/>
  <c r="BR18" i="32" s="1"/>
  <c r="BO36" i="32"/>
  <c r="BQ36" i="32"/>
  <c r="BR36" i="32" s="1"/>
  <c r="BO28" i="32"/>
  <c r="BQ28" i="32"/>
  <c r="BR28" i="32" s="1"/>
  <c r="BO22" i="32"/>
  <c r="BQ22" i="32"/>
  <c r="BR22" i="32" s="1"/>
  <c r="BQ24" i="32"/>
  <c r="BR24" i="32" s="1"/>
  <c r="BO24" i="32"/>
  <c r="BO30" i="32"/>
  <c r="BQ30" i="32"/>
  <c r="BR30" i="32" s="1"/>
  <c r="BP112" i="31"/>
  <c r="BR112" i="31"/>
  <c r="BP17" i="31"/>
  <c r="BR17" i="31"/>
  <c r="BS17" i="31" s="1"/>
  <c r="BP90" i="31"/>
  <c r="BR90" i="31"/>
  <c r="BS90" i="31" s="1"/>
  <c r="BP39" i="31"/>
  <c r="BR39" i="31"/>
  <c r="BS39" i="31" s="1"/>
  <c r="BP19" i="31"/>
  <c r="BR19" i="31"/>
  <c r="BS19" i="31" s="1"/>
  <c r="BP27" i="31"/>
  <c r="BR27" i="31"/>
  <c r="BS27" i="31" s="1"/>
  <c r="BU85" i="31"/>
  <c r="BV85" i="31" s="1"/>
  <c r="BP13" i="31"/>
  <c r="BR13" i="31"/>
  <c r="BS13" i="31" s="1"/>
  <c r="BU89" i="31"/>
  <c r="BV89" i="31" s="1"/>
  <c r="BP65" i="31"/>
  <c r="BR65" i="31"/>
  <c r="BS65" i="31" s="1"/>
  <c r="BP71" i="31"/>
  <c r="BR71" i="31"/>
  <c r="BS71" i="31" s="1"/>
  <c r="BU86" i="31"/>
  <c r="BV86" i="31" s="1"/>
  <c r="BU21" i="31"/>
  <c r="BP53" i="31"/>
  <c r="BR53" i="31"/>
  <c r="BS53" i="31" s="1"/>
  <c r="BP115" i="31"/>
  <c r="BR115" i="31"/>
  <c r="BS115" i="31" s="1"/>
  <c r="BP59" i="31"/>
  <c r="BR59" i="31"/>
  <c r="BS59" i="31" s="1"/>
  <c r="BP66" i="31"/>
  <c r="BR66" i="31"/>
  <c r="BS66" i="31" s="1"/>
  <c r="BP60" i="31"/>
  <c r="BR60" i="31"/>
  <c r="BS60" i="31" s="1"/>
  <c r="BP52" i="31"/>
  <c r="BR52" i="31"/>
  <c r="BS52" i="31" s="1"/>
  <c r="BP29" i="31"/>
  <c r="BR29" i="31"/>
  <c r="BS29" i="31" s="1"/>
  <c r="BP81" i="31"/>
  <c r="BR81" i="31"/>
  <c r="BS81" i="31" s="1"/>
  <c r="BP88" i="31"/>
  <c r="BR88" i="31"/>
  <c r="BS88" i="31" s="1"/>
  <c r="BP63" i="31"/>
  <c r="BR63" i="31"/>
  <c r="BS63" i="31" s="1"/>
  <c r="BP48" i="31"/>
  <c r="BR48" i="31"/>
  <c r="BS48" i="31" s="1"/>
  <c r="BU72" i="31"/>
  <c r="BU38" i="31"/>
  <c r="BV38" i="31" s="1"/>
  <c r="BU55" i="31"/>
  <c r="BV55" i="31" s="1"/>
  <c r="BU77" i="31"/>
  <c r="BV77" i="31" s="1"/>
  <c r="BU43" i="31"/>
  <c r="BV43" i="31" s="1"/>
  <c r="BU69" i="31"/>
  <c r="BU33" i="31"/>
  <c r="BV33" i="31" s="1"/>
  <c r="BU32" i="31"/>
  <c r="BP49" i="31"/>
  <c r="BR49" i="31"/>
  <c r="BS49" i="31" s="1"/>
  <c r="BP97" i="31"/>
  <c r="BR97" i="31"/>
  <c r="BS97" i="31" s="1"/>
  <c r="BP5" i="31"/>
  <c r="BR5" i="31"/>
  <c r="BS5" i="31" s="1"/>
  <c r="BP58" i="31"/>
  <c r="BR58" i="31"/>
  <c r="BS58" i="31" s="1"/>
  <c r="BU31" i="31"/>
  <c r="BV31" i="31" s="1"/>
  <c r="BU84" i="31"/>
  <c r="BV84" i="31" s="1"/>
  <c r="BP15" i="31"/>
  <c r="BR15" i="31"/>
  <c r="BS15" i="31" s="1"/>
  <c r="BP14" i="31"/>
  <c r="BR14" i="31"/>
  <c r="BS14" i="31" s="1"/>
  <c r="BU37" i="31"/>
  <c r="BV37" i="31" s="1"/>
  <c r="BU34" i="31"/>
  <c r="BV34" i="31" s="1"/>
  <c r="BU94" i="31"/>
  <c r="BV94" i="31" s="1"/>
  <c r="BU45" i="31"/>
  <c r="BV45" i="31" s="1"/>
  <c r="BP64" i="31"/>
  <c r="BR64" i="31"/>
  <c r="BS64" i="31" s="1"/>
  <c r="BU78" i="31"/>
  <c r="BV78" i="31" s="1"/>
  <c r="BP103" i="31"/>
  <c r="BR103" i="31"/>
  <c r="BS103" i="31" s="1"/>
  <c r="BP73" i="31"/>
  <c r="BR73" i="31"/>
  <c r="BP105" i="31"/>
  <c r="BR105" i="31"/>
  <c r="BS105" i="31" s="1"/>
  <c r="BP56" i="31"/>
  <c r="BR56" i="31"/>
  <c r="BS56" i="31" s="1"/>
  <c r="BP9" i="31"/>
  <c r="BR9" i="31"/>
  <c r="BS9" i="31" s="1"/>
  <c r="BP7" i="31"/>
  <c r="BR7" i="31"/>
  <c r="BS7" i="31" s="1"/>
  <c r="BU100" i="31"/>
  <c r="BV100" i="31" s="1"/>
  <c r="BP70" i="31"/>
  <c r="BR70" i="31"/>
  <c r="BS70" i="31" s="1"/>
  <c r="BP79" i="31"/>
  <c r="BR79" i="31"/>
  <c r="BS79" i="31" s="1"/>
  <c r="BU61" i="31"/>
  <c r="BV61" i="31" s="1"/>
  <c r="BU11" i="31"/>
  <c r="BV11" i="31" s="1"/>
  <c r="BU44" i="31"/>
  <c r="BV44" i="31" s="1"/>
  <c r="BU41" i="31"/>
  <c r="BV41" i="31" s="1"/>
  <c r="BU67" i="31"/>
  <c r="BV67" i="31" s="1"/>
  <c r="BP6" i="31"/>
  <c r="BR6" i="31"/>
  <c r="BS6" i="31" s="1"/>
  <c r="BP68" i="31"/>
  <c r="BR68" i="31"/>
  <c r="BS68" i="31" s="1"/>
  <c r="BP82" i="31"/>
  <c r="BR82" i="31"/>
  <c r="BS82" i="31" s="1"/>
  <c r="BP16" i="31"/>
  <c r="BR16" i="31"/>
  <c r="BS16" i="31" s="1"/>
  <c r="BP23" i="31"/>
  <c r="BR23" i="31"/>
  <c r="BS23" i="31" s="1"/>
  <c r="BU47" i="31"/>
  <c r="BV47" i="31" s="1"/>
  <c r="BU25" i="31"/>
  <c r="BV25" i="31" s="1"/>
  <c r="BP100" i="31"/>
  <c r="BI118" i="31"/>
  <c r="BO116" i="31"/>
  <c r="BR116" i="31" s="1"/>
  <c r="BM116" i="31"/>
  <c r="BP78" i="31"/>
  <c r="BO62" i="31"/>
  <c r="BM62" i="31"/>
  <c r="BO92" i="31"/>
  <c r="BM92" i="31"/>
  <c r="BP89" i="31"/>
  <c r="BO75" i="31"/>
  <c r="BM75" i="31"/>
  <c r="BO106" i="31"/>
  <c r="BM106" i="31"/>
  <c r="BO113" i="31"/>
  <c r="BM113" i="31"/>
  <c r="BO46" i="31"/>
  <c r="BM46" i="31"/>
  <c r="BO107" i="31"/>
  <c r="BR107" i="31" s="1"/>
  <c r="BS107" i="31" s="1"/>
  <c r="BM107" i="31"/>
  <c r="BO74" i="31"/>
  <c r="BM74" i="31"/>
  <c r="BO76" i="31"/>
  <c r="BM76" i="31"/>
  <c r="BO104" i="31"/>
  <c r="BM104" i="31"/>
  <c r="BO80" i="31"/>
  <c r="BM80" i="31"/>
  <c r="BO54" i="31"/>
  <c r="BM54" i="31"/>
  <c r="BO96" i="31"/>
  <c r="BM96" i="31"/>
  <c r="BO50" i="31"/>
  <c r="BM50" i="31"/>
  <c r="BO98" i="31"/>
  <c r="BM98" i="31"/>
  <c r="BI76" i="31"/>
  <c r="BI75" i="31"/>
  <c r="BI104" i="31"/>
  <c r="BI74" i="31"/>
  <c r="BI62" i="31"/>
  <c r="BI92" i="31"/>
  <c r="BI54" i="31"/>
  <c r="BI98" i="31"/>
  <c r="BI106" i="31"/>
  <c r="BI113" i="31"/>
  <c r="BI80" i="31"/>
  <c r="BI46" i="31"/>
  <c r="BI96" i="31"/>
  <c r="BI50" i="31"/>
  <c r="BI107" i="31"/>
  <c r="BF110" i="31"/>
  <c r="BH110" i="31"/>
  <c r="BL110" i="31" s="1"/>
  <c r="BF109" i="31"/>
  <c r="BH109" i="31"/>
  <c r="BL109" i="31" s="1"/>
  <c r="BV69" i="31" l="1"/>
  <c r="BV72" i="31"/>
  <c r="BS116" i="31"/>
  <c r="BS112" i="31"/>
  <c r="BV21" i="31"/>
  <c r="BS73" i="31"/>
  <c r="BV32" i="31"/>
  <c r="BP50" i="31"/>
  <c r="BR50" i="31"/>
  <c r="BS50" i="31" s="1"/>
  <c r="BU16" i="31"/>
  <c r="BV16" i="31" s="1"/>
  <c r="BU7" i="31"/>
  <c r="BV7" i="31" s="1"/>
  <c r="BU14" i="31"/>
  <c r="BV14" i="31" s="1"/>
  <c r="BU59" i="31"/>
  <c r="BV59" i="31" s="1"/>
  <c r="BU39" i="31"/>
  <c r="BV39" i="31" s="1"/>
  <c r="BP92" i="31"/>
  <c r="BR92" i="31"/>
  <c r="BS92" i="31" s="1"/>
  <c r="BP76" i="31"/>
  <c r="BR76" i="31"/>
  <c r="BS76" i="31" s="1"/>
  <c r="BU82" i="31"/>
  <c r="BV82" i="31" s="1"/>
  <c r="BU9" i="31"/>
  <c r="BV9" i="31" s="1"/>
  <c r="BU15" i="31"/>
  <c r="BV15" i="31" s="1"/>
  <c r="BU52" i="31"/>
  <c r="BV52" i="31" s="1"/>
  <c r="BU71" i="31"/>
  <c r="BV71" i="31" s="1"/>
  <c r="BP46" i="31"/>
  <c r="BR46" i="31"/>
  <c r="BS46" i="31" s="1"/>
  <c r="BU73" i="31"/>
  <c r="BW69" i="31" s="1"/>
  <c r="BU58" i="31"/>
  <c r="BV58" i="31" s="1"/>
  <c r="BU48" i="31"/>
  <c r="BV48" i="31" s="1"/>
  <c r="BP113" i="31"/>
  <c r="BR113" i="31"/>
  <c r="BU5" i="31"/>
  <c r="BV5" i="31" s="1"/>
  <c r="BU63" i="31"/>
  <c r="BV63" i="31" s="1"/>
  <c r="BP62" i="31"/>
  <c r="BR62" i="31"/>
  <c r="BS62" i="31" s="1"/>
  <c r="BP54" i="31"/>
  <c r="BR54" i="31"/>
  <c r="BS54" i="31" s="1"/>
  <c r="BP106" i="31"/>
  <c r="BR106" i="31"/>
  <c r="BS106" i="31" s="1"/>
  <c r="BU56" i="31"/>
  <c r="BV56" i="31" s="1"/>
  <c r="BU60" i="31"/>
  <c r="BV60" i="31" s="1"/>
  <c r="BU65" i="31"/>
  <c r="BV65" i="31" s="1"/>
  <c r="BU17" i="31"/>
  <c r="BV17" i="31" s="1"/>
  <c r="BP98" i="31"/>
  <c r="BR98" i="31"/>
  <c r="BS98" i="31" s="1"/>
  <c r="BP80" i="31"/>
  <c r="BR80" i="31"/>
  <c r="BS80" i="31" s="1"/>
  <c r="BU107" i="31"/>
  <c r="BV107" i="31" s="1"/>
  <c r="BP75" i="31"/>
  <c r="BR75" i="31"/>
  <c r="BS75" i="31" s="1"/>
  <c r="BU116" i="31"/>
  <c r="BV116" i="31" s="1"/>
  <c r="BU23" i="31"/>
  <c r="BV23" i="31" s="1"/>
  <c r="BU6" i="31"/>
  <c r="BV6" i="31" s="1"/>
  <c r="BU105" i="31"/>
  <c r="BV105" i="31" s="1"/>
  <c r="BU64" i="31"/>
  <c r="BV64" i="31" s="1"/>
  <c r="BU49" i="31"/>
  <c r="BV49" i="31" s="1"/>
  <c r="BU81" i="31"/>
  <c r="BV81" i="31" s="1"/>
  <c r="BU66" i="31"/>
  <c r="BV66" i="31" s="1"/>
  <c r="BU19" i="31"/>
  <c r="BV19" i="31" s="1"/>
  <c r="BU112" i="31"/>
  <c r="BP104" i="31"/>
  <c r="BR104" i="31"/>
  <c r="BS104" i="31" s="1"/>
  <c r="BU29" i="31"/>
  <c r="BV29" i="31" s="1"/>
  <c r="BU13" i="31"/>
  <c r="BV13" i="31" s="1"/>
  <c r="BP96" i="31"/>
  <c r="BR96" i="31"/>
  <c r="BS96" i="31" s="1"/>
  <c r="BU79" i="31"/>
  <c r="BV79" i="31" s="1"/>
  <c r="BU103" i="31"/>
  <c r="BV103" i="31" s="1"/>
  <c r="BU115" i="31"/>
  <c r="BV115" i="31" s="1"/>
  <c r="BU90" i="31"/>
  <c r="BV90" i="31" s="1"/>
  <c r="BP74" i="31"/>
  <c r="BR74" i="31"/>
  <c r="BS74" i="31" s="1"/>
  <c r="BU68" i="31"/>
  <c r="BV68" i="31" s="1"/>
  <c r="BU70" i="31"/>
  <c r="BV70" i="31" s="1"/>
  <c r="BU97" i="31"/>
  <c r="BV97" i="31" s="1"/>
  <c r="BU88" i="31"/>
  <c r="BV88" i="31" s="1"/>
  <c r="BU53" i="31"/>
  <c r="BV53" i="31" s="1"/>
  <c r="BU27" i="31"/>
  <c r="BV27" i="31" s="1"/>
  <c r="BP116" i="31"/>
  <c r="BO118" i="31"/>
  <c r="BM118" i="31"/>
  <c r="BP107" i="31"/>
  <c r="BO109" i="31"/>
  <c r="BR109" i="31" s="1"/>
  <c r="BS109" i="31" s="1"/>
  <c r="BM109" i="31"/>
  <c r="BO110" i="31"/>
  <c r="BM110" i="31"/>
  <c r="BI110" i="31"/>
  <c r="BI109" i="31"/>
  <c r="BE91" i="31"/>
  <c r="BH91" i="31" s="1"/>
  <c r="BL91" i="31" s="1"/>
  <c r="BW72" i="31" l="1"/>
  <c r="BS113" i="31"/>
  <c r="BV112" i="31"/>
  <c r="BV73" i="31"/>
  <c r="BP118" i="31"/>
  <c r="BR118" i="31"/>
  <c r="BS118" i="31" s="1"/>
  <c r="BU96" i="31"/>
  <c r="BV96" i="31" s="1"/>
  <c r="BU80" i="31"/>
  <c r="BV80" i="31" s="1"/>
  <c r="BU62" i="31"/>
  <c r="BV62" i="31" s="1"/>
  <c r="BP110" i="31"/>
  <c r="BR110" i="31"/>
  <c r="BS110" i="31" s="1"/>
  <c r="BU98" i="31"/>
  <c r="BV98" i="31" s="1"/>
  <c r="BU76" i="31"/>
  <c r="BV76" i="31" s="1"/>
  <c r="BU109" i="31"/>
  <c r="BV109" i="31" s="1"/>
  <c r="BU75" i="31"/>
  <c r="BV75" i="31" s="1"/>
  <c r="BU106" i="31"/>
  <c r="BV106" i="31" s="1"/>
  <c r="BU92" i="31"/>
  <c r="BV92" i="31" s="1"/>
  <c r="BU74" i="31"/>
  <c r="BV74" i="31" s="1"/>
  <c r="BU104" i="31"/>
  <c r="BV104" i="31" s="1"/>
  <c r="BU54" i="31"/>
  <c r="BV54" i="31" s="1"/>
  <c r="BU113" i="31"/>
  <c r="BU46" i="31"/>
  <c r="BV46" i="31" s="1"/>
  <c r="BU50" i="31"/>
  <c r="BV50" i="31" s="1"/>
  <c r="BP109" i="31"/>
  <c r="BM91" i="31"/>
  <c r="BO91" i="31"/>
  <c r="BI91" i="31"/>
  <c r="BF91" i="31"/>
  <c r="BV113" i="31" l="1"/>
  <c r="BP91" i="31"/>
  <c r="BR91" i="31"/>
  <c r="BS91" i="31" s="1"/>
  <c r="BU110" i="31"/>
  <c r="BV110" i="31" s="1"/>
  <c r="BU118" i="31"/>
  <c r="BV118" i="31" s="1"/>
  <c r="BU91" i="31" l="1"/>
  <c r="BV91" i="31" s="1"/>
</calcChain>
</file>

<file path=xl/sharedStrings.xml><?xml version="1.0" encoding="utf-8"?>
<sst xmlns="http://schemas.openxmlformats.org/spreadsheetml/2006/main" count="714" uniqueCount="128">
  <si>
    <t>Cost/ ton</t>
  </si>
  <si>
    <t>Type</t>
  </si>
  <si>
    <t>Shape</t>
  </si>
  <si>
    <t>Input Grade</t>
  </si>
  <si>
    <t>OD1</t>
  </si>
  <si>
    <t>OD2</t>
  </si>
  <si>
    <t>Thckness</t>
  </si>
  <si>
    <t>Slab</t>
  </si>
  <si>
    <t xml:space="preserve">Weight/ m </t>
  </si>
  <si>
    <t>Q4 Base price / kg</t>
  </si>
  <si>
    <t>Delta</t>
  </si>
  <si>
    <t>Size extra -Q1</t>
  </si>
  <si>
    <t xml:space="preserve">CEW 2 / STKM </t>
  </si>
  <si>
    <t>CEW</t>
  </si>
  <si>
    <t>Round</t>
  </si>
  <si>
    <t>CR</t>
  </si>
  <si>
    <t>Thickness &lt; 1.6mm &amp; OD &lt;=12mm</t>
  </si>
  <si>
    <t>Thickness &gt;=1.6mm and &lt;2mm &amp; OD 12mm</t>
  </si>
  <si>
    <t>HR</t>
  </si>
  <si>
    <t>Thickness &gt;=2mm &amp; OD &lt; 16mm</t>
  </si>
  <si>
    <t>Thickness &lt;2mm &amp; OD &gt;= 13.44mm</t>
  </si>
  <si>
    <t>Thickness &gt;=2mm &amp; OD &gt;= 16mm and &lt;=19mm</t>
  </si>
  <si>
    <t>Thickness &gt;=2mm &amp; OD &gt; 19mm and &lt;25.4mm</t>
  </si>
  <si>
    <t>Thickness &gt;=2mm &amp; OD &gt;= 25.4mm and &lt;=40mm</t>
  </si>
  <si>
    <t>OD 30.15x25.5 &amp; 39x34 - XLN FF</t>
  </si>
  <si>
    <t xml:space="preserve">Cost / M </t>
  </si>
  <si>
    <t>Thickness</t>
  </si>
  <si>
    <t xml:space="preserve">Weight
kg/ m </t>
  </si>
  <si>
    <t>Q 4Base price / ton</t>
  </si>
  <si>
    <t>Extra for Rect/ Square</t>
  </si>
  <si>
    <t>Special size extra</t>
  </si>
  <si>
    <t>High strength / HST 370/ERW2</t>
  </si>
  <si>
    <t xml:space="preserve">Q1 Delta </t>
  </si>
  <si>
    <t>Q1 base price / ton</t>
  </si>
  <si>
    <t>Base price/ m</t>
  </si>
  <si>
    <t>Annealing</t>
  </si>
  <si>
    <t>Angle/Taper CTL</t>
  </si>
  <si>
    <t>Fin Cut</t>
  </si>
  <si>
    <t>Final cost /m</t>
  </si>
  <si>
    <t>ERW</t>
  </si>
  <si>
    <t>Rectangular/ Square</t>
  </si>
  <si>
    <t>Structural tubes</t>
  </si>
  <si>
    <t>Handlebar-MA</t>
  </si>
  <si>
    <t>High strength/HST 370 / ERW2</t>
  </si>
  <si>
    <t>Cost of base Tube ( unannealed , non fin cut, w/o angle / taper cut)</t>
  </si>
  <si>
    <t>Q2 delta / ton</t>
  </si>
  <si>
    <t>Q2  base price / ton</t>
  </si>
  <si>
    <t>Q2 Base price/ m</t>
  </si>
  <si>
    <t>Q2 Prices</t>
  </si>
  <si>
    <t>Q1 base price map</t>
  </si>
  <si>
    <t>H2 Prices</t>
  </si>
  <si>
    <t>H2 delta / ton</t>
  </si>
  <si>
    <t>H2  base price / ton</t>
  </si>
  <si>
    <t>H2 Base price/ m</t>
  </si>
  <si>
    <t xml:space="preserve">CEW-STKM 13 </t>
  </si>
  <si>
    <t>Q1 Base price</t>
  </si>
  <si>
    <t>Q1 Base price/ m</t>
  </si>
  <si>
    <t>RoundCR9.91</t>
  </si>
  <si>
    <t>RoundCR111.5</t>
  </si>
  <si>
    <t>RoundCR111</t>
  </si>
  <si>
    <t>RoundCR121.8</t>
  </si>
  <si>
    <t>RoundCR141.6</t>
  </si>
  <si>
    <t>RoundCR141.95</t>
  </si>
  <si>
    <t>RoundHR142.45</t>
  </si>
  <si>
    <t>RoundHR142</t>
  </si>
  <si>
    <t>RoundCR161.9</t>
  </si>
  <si>
    <t>RoundHR16.12.7</t>
  </si>
  <si>
    <t>RoundHR16.12.95</t>
  </si>
  <si>
    <t>RoundHR18.22.95</t>
  </si>
  <si>
    <t>RoundHR18.22.85</t>
  </si>
  <si>
    <t>RoundHR193.25</t>
  </si>
  <si>
    <t>RoundHR19.053.25</t>
  </si>
  <si>
    <t>RoundCR201.42</t>
  </si>
  <si>
    <t>RoundHR203.8</t>
  </si>
  <si>
    <t>RoundHR204.5</t>
  </si>
  <si>
    <t>RoundHR21.72.8</t>
  </si>
  <si>
    <t>RoundHR21.753.5</t>
  </si>
  <si>
    <t>RoundHR25.42.5</t>
  </si>
  <si>
    <t>RoundHR25.43.2</t>
  </si>
  <si>
    <t>RoundHR25.43.5</t>
  </si>
  <si>
    <t>RoundHR28.62.65</t>
  </si>
  <si>
    <t>RoundHR29.283.4</t>
  </si>
  <si>
    <t>RoundHR29.44.5</t>
  </si>
  <si>
    <t>RoundHR302.25</t>
  </si>
  <si>
    <t>RoundHR30.152.32</t>
  </si>
  <si>
    <t>RoundHR31.753.375</t>
  </si>
  <si>
    <t>RoundHR33.32</t>
  </si>
  <si>
    <t>RoundCR360.91</t>
  </si>
  <si>
    <t>RoundHR392.5</t>
  </si>
  <si>
    <t>Q1 delta / ton</t>
  </si>
  <si>
    <t>Q1 FY22-23</t>
  </si>
  <si>
    <t>Q2 FY22-23</t>
  </si>
  <si>
    <t>Q2 base price / ton</t>
  </si>
  <si>
    <t>H2 FY22-23</t>
  </si>
  <si>
    <t>H2 base price / ton</t>
  </si>
  <si>
    <t>CEW Tubes- Tata Tubes</t>
  </si>
  <si>
    <t>Q1 FY23-24</t>
  </si>
  <si>
    <t>Q2 FY23-24</t>
  </si>
  <si>
    <t>ERW Tubes- Tata Tubes</t>
  </si>
  <si>
    <t>Q3 Fy23-24</t>
  </si>
  <si>
    <t>Q3 FY23-24</t>
  </si>
  <si>
    <t>Q3 delta / ton</t>
  </si>
  <si>
    <t>Q3 base price / ton</t>
  </si>
  <si>
    <t>Q3 Base price/ m</t>
  </si>
  <si>
    <t>Q4 FY23-24</t>
  </si>
  <si>
    <t>Q4 Fy23-24</t>
  </si>
  <si>
    <t>Q4 delta / ton</t>
  </si>
  <si>
    <t>Q4 base price / ton</t>
  </si>
  <si>
    <t>Q4 Base price/ m</t>
  </si>
  <si>
    <t>Oval</t>
  </si>
  <si>
    <t>Q1 Fy25</t>
  </si>
  <si>
    <t>Key</t>
  </si>
  <si>
    <t>Q2 Fy25</t>
  </si>
  <si>
    <t>Q3 Fy25</t>
  </si>
  <si>
    <t>Kg/M</t>
  </si>
  <si>
    <t>Q4 Fy25</t>
  </si>
  <si>
    <t>Q1 Fy26</t>
  </si>
  <si>
    <t>34.93--2.3-HST</t>
  </si>
  <si>
    <t>42.7--4-HST</t>
  </si>
  <si>
    <t>48.6--4-HST</t>
  </si>
  <si>
    <t>Q2 Fy26</t>
  </si>
  <si>
    <t>Q3 Fy26</t>
  </si>
  <si>
    <t>correction /ton</t>
  </si>
  <si>
    <t>22.2--2-HST</t>
  </si>
  <si>
    <t>50-30-1.6-HST</t>
  </si>
  <si>
    <t>40-25-1.6-HST</t>
  </si>
  <si>
    <t>Q4 Fy26</t>
  </si>
  <si>
    <t>Q1 Fy27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</si>
</sst>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5">
    <xf numFmtId="0" fontId="0" fillId="0" borderId="0" xfId="0"/>
    <xf numFmtId="0" fontId="1" fillId="4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165" fontId="0" fillId="0" borderId="4" xfId="0" applyNumberFormat="1" applyBorder="1"/>
    <xf numFmtId="2" fontId="0" fillId="0" borderId="4" xfId="0" applyNumberFormat="1" applyBorder="1"/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64" fontId="0" fillId="0" borderId="4" xfId="1" applyFont="1" applyBorder="1"/>
    <xf numFmtId="164" fontId="0" fillId="0" borderId="4" xfId="0" applyNumberFormat="1" applyBorder="1"/>
    <xf numFmtId="0" fontId="1" fillId="2" borderId="5" xfId="0" applyFont="1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0" xfId="0" applyFill="1"/>
    <xf numFmtId="0" fontId="3" fillId="4" borderId="4" xfId="0" applyFont="1" applyFill="1" applyBorder="1"/>
    <xf numFmtId="164" fontId="0" fillId="4" borderId="4" xfId="0" applyNumberFormat="1" applyFill="1" applyBorder="1"/>
    <xf numFmtId="0" fontId="1" fillId="8" borderId="4" xfId="0" applyFont="1" applyFill="1" applyBorder="1" applyAlignment="1">
      <alignment horizontal="center" vertical="center" wrapText="1"/>
    </xf>
    <xf numFmtId="0" fontId="1" fillId="0" borderId="0" xfId="0" applyFont="1"/>
    <xf numFmtId="43" fontId="0" fillId="0" borderId="4" xfId="0" applyNumberFormat="1" applyBorder="1"/>
    <xf numFmtId="0" fontId="0" fillId="0" borderId="1" xfId="0" applyBorder="1"/>
    <xf numFmtId="0" fontId="0" fillId="0" borderId="7" xfId="0" applyBorder="1"/>
    <xf numFmtId="43" fontId="0" fillId="0" borderId="7" xfId="0" applyNumberFormat="1" applyBorder="1"/>
    <xf numFmtId="0" fontId="1" fillId="9" borderId="4" xfId="0" applyFont="1" applyFill="1" applyBorder="1" applyAlignment="1">
      <alignment horizontal="center" vertical="center" wrapText="1"/>
    </xf>
    <xf numFmtId="0" fontId="1" fillId="2" borderId="6" xfId="0" applyFont="1" applyFill="1" applyBorder="1"/>
    <xf numFmtId="164" fontId="0" fillId="0" borderId="4" xfId="1" applyFont="1" applyFill="1" applyBorder="1"/>
    <xf numFmtId="0" fontId="1" fillId="10" borderId="4" xfId="0" applyFont="1" applyFill="1" applyBorder="1" applyAlignment="1">
      <alignment horizontal="center" vertical="center" wrapText="1"/>
    </xf>
    <xf numFmtId="0" fontId="0" fillId="11" borderId="0" xfId="0" applyFill="1"/>
    <xf numFmtId="0" fontId="1" fillId="1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right"/>
    </xf>
    <xf numFmtId="165" fontId="0" fillId="0" borderId="0" xfId="0" applyNumberFormat="1"/>
    <xf numFmtId="0" fontId="1" fillId="13" borderId="4" xfId="0" applyFont="1" applyFill="1" applyBorder="1" applyAlignment="1">
      <alignment horizontal="center" vertical="center" wrapText="1"/>
    </xf>
    <xf numFmtId="0" fontId="0" fillId="14" borderId="4" xfId="0" applyFill="1" applyBorder="1"/>
    <xf numFmtId="0" fontId="0" fillId="11" borderId="4" xfId="0" applyFill="1" applyBorder="1"/>
    <xf numFmtId="0" fontId="1" fillId="14" borderId="4" xfId="0" applyFont="1" applyFill="1" applyBorder="1" applyAlignment="1">
      <alignment horizontal="center" vertical="center" wrapText="1"/>
    </xf>
    <xf numFmtId="43" fontId="0" fillId="0" borderId="0" xfId="0" applyNumberFormat="1"/>
    <xf numFmtId="0" fontId="1" fillId="15" borderId="4" xfId="0" applyFont="1" applyFill="1" applyBorder="1" applyAlignment="1">
      <alignment horizontal="center" vertical="center" wrapText="1"/>
    </xf>
    <xf numFmtId="164" fontId="0" fillId="0" borderId="4" xfId="1" applyNumberFormat="1" applyFont="1" applyBorder="1"/>
    <xf numFmtId="0" fontId="0" fillId="0" borderId="8" xfId="0" applyFill="1" applyBorder="1"/>
    <xf numFmtId="43" fontId="0" fillId="0" borderId="8" xfId="0" applyNumberFormat="1" applyFill="1" applyBorder="1"/>
    <xf numFmtId="43" fontId="0" fillId="4" borderId="4" xfId="0" applyNumberForma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2022-5786-4FA0-9AB3-AC8733AD989C}">
  <sheetPr codeName="Sheet1" filterMode="1">
    <pageSetUpPr fitToPage="1"/>
  </sheetPr>
  <dimension ref="A1:BW120"/>
  <sheetViews>
    <sheetView tabSelected="1" zoomScale="103" zoomScaleNormal="100" zoomScaleSheetLayoutView="100" workbookViewId="0">
      <pane xSplit="52" ySplit="3" topLeftCell="BO87" activePane="bottomRight" state="frozen"/>
      <selection pane="topRight" activeCell="BA1" sqref="BA1"/>
      <selection pane="bottomLeft" activeCell="A4" sqref="A4"/>
      <selection pane="bottomRight" activeCell="BR91" sqref="BR91"/>
    </sheetView>
  </sheetViews>
  <sheetFormatPr defaultRowHeight="15" outlineLevelCol="2" x14ac:dyDescent="0.25"/>
  <cols>
    <col min="1" max="1" width="8.140625" customWidth="1"/>
    <col min="2" max="2" width="22.42578125" customWidth="1"/>
    <col min="3" max="3" width="6.28515625" bestFit="1" customWidth="1"/>
    <col min="4" max="4" width="7.5703125" bestFit="1" customWidth="1"/>
    <col min="5" max="5" width="5" customWidth="1"/>
    <col min="6" max="6" width="7.42578125" customWidth="1"/>
    <col min="7" max="7" width="13.7109375" bestFit="1" customWidth="1" outlineLevel="1"/>
    <col min="8" max="8" width="12" customWidth="1" outlineLevel="1"/>
    <col min="9" max="13" width="13.28515625" hidden="1" customWidth="1" outlineLevel="2"/>
    <col min="14" max="14" width="9.140625" hidden="1" customWidth="1" outlineLevel="2"/>
    <col min="15" max="16" width="12.28515625" hidden="1" customWidth="1" outlineLevel="2"/>
    <col min="17" max="17" width="14.140625" hidden="1" customWidth="1" outlineLevel="2"/>
    <col min="18" max="19" width="12.28515625" hidden="1" customWidth="1" outlineLevel="2"/>
    <col min="20" max="20" width="14.140625" hidden="1" customWidth="1" outlineLevel="2"/>
    <col min="21" max="25" width="12.28515625" hidden="1" customWidth="1" outlineLevel="2"/>
    <col min="26" max="27" width="8.7109375" hidden="1" customWidth="1" outlineLevel="2"/>
    <col min="28" max="29" width="10" hidden="1" customWidth="1" outlineLevel="2"/>
    <col min="30" max="30" width="11.5703125" hidden="1" customWidth="1" outlineLevel="2"/>
    <col min="31" max="31" width="8.7109375" hidden="1" customWidth="1" outlineLevel="2"/>
    <col min="32" max="35" width="9.140625" hidden="1" customWidth="1" outlineLevel="2"/>
    <col min="36" max="36" width="11.5703125" hidden="1" customWidth="1" outlineLevel="2"/>
    <col min="37" max="37" width="10" hidden="1" customWidth="1" outlineLevel="2"/>
    <col min="38" max="52" width="9.140625" hidden="1" customWidth="1" outlineLevel="2"/>
    <col min="53" max="53" width="9.140625" customWidth="1" outlineLevel="1" collapsed="1"/>
    <col min="54" max="54" width="9.140625" customWidth="1" outlineLevel="1"/>
    <col min="55" max="55" width="10" customWidth="1" outlineLevel="1"/>
    <col min="56" max="56" width="9.7109375" customWidth="1" outlineLevel="1"/>
    <col min="57" max="58" width="9.140625" customWidth="1" outlineLevel="1"/>
  </cols>
  <sheetData>
    <row r="1" spans="1:74" x14ac:dyDescent="0.25">
      <c r="I1" s="25" t="s">
        <v>44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>
        <v>1000</v>
      </c>
      <c r="W1">
        <v>200</v>
      </c>
      <c r="X1">
        <v>250</v>
      </c>
    </row>
    <row r="2" spans="1:74" x14ac:dyDescent="0.25">
      <c r="A2" s="42" t="s">
        <v>98</v>
      </c>
      <c r="B2" s="43"/>
      <c r="C2" s="43"/>
      <c r="D2" s="43"/>
      <c r="E2" s="43"/>
      <c r="F2" s="43"/>
      <c r="G2" s="43"/>
      <c r="H2" s="44"/>
      <c r="I2" s="45" t="s">
        <v>49</v>
      </c>
      <c r="J2" s="46"/>
      <c r="K2" s="46"/>
      <c r="L2" s="46"/>
      <c r="M2" s="46"/>
      <c r="N2" s="46"/>
      <c r="O2" s="47"/>
      <c r="P2" s="48" t="s">
        <v>48</v>
      </c>
      <c r="Q2" s="49"/>
      <c r="R2" s="49"/>
      <c r="S2" s="50" t="s">
        <v>50</v>
      </c>
      <c r="T2" s="50"/>
      <c r="U2" s="50"/>
      <c r="V2" s="51" t="s">
        <v>25</v>
      </c>
      <c r="W2" s="52"/>
      <c r="X2" s="52"/>
      <c r="Y2" s="53"/>
      <c r="Z2" s="55" t="s">
        <v>90</v>
      </c>
      <c r="AA2" s="55"/>
      <c r="AB2" s="55"/>
      <c r="AC2" s="58" t="s">
        <v>91</v>
      </c>
      <c r="AD2" s="58"/>
      <c r="AE2" s="58"/>
      <c r="AF2" s="59" t="s">
        <v>93</v>
      </c>
      <c r="AG2" s="59"/>
      <c r="AH2" s="59"/>
      <c r="AI2" s="60" t="s">
        <v>96</v>
      </c>
      <c r="AJ2" s="60"/>
      <c r="AK2" s="60"/>
      <c r="AL2" s="61" t="s">
        <v>97</v>
      </c>
      <c r="AM2" s="61"/>
      <c r="AN2" s="61"/>
      <c r="AO2" s="57" t="s">
        <v>99</v>
      </c>
      <c r="AP2" s="57"/>
      <c r="AQ2" s="57"/>
      <c r="AR2" s="56" t="s">
        <v>105</v>
      </c>
      <c r="AS2" s="56"/>
      <c r="AT2" s="56"/>
      <c r="AU2" s="54" t="s">
        <v>110</v>
      </c>
      <c r="AV2" s="54"/>
      <c r="AW2" s="54"/>
      <c r="AX2" s="54" t="s">
        <v>112</v>
      </c>
      <c r="AY2" s="54"/>
      <c r="AZ2" s="54"/>
      <c r="BA2" s="54" t="s">
        <v>113</v>
      </c>
      <c r="BB2" s="54"/>
      <c r="BC2" s="54"/>
      <c r="BD2" s="54" t="s">
        <v>115</v>
      </c>
      <c r="BE2" s="54"/>
      <c r="BF2" s="54"/>
      <c r="BG2" s="54" t="s">
        <v>116</v>
      </c>
      <c r="BH2" s="54"/>
      <c r="BI2" s="54"/>
      <c r="BJ2" s="54" t="s">
        <v>120</v>
      </c>
      <c r="BK2" s="54"/>
      <c r="BL2" s="54"/>
      <c r="BM2" s="54"/>
      <c r="BN2" s="54" t="s">
        <v>121</v>
      </c>
      <c r="BO2" s="54"/>
      <c r="BP2" s="54"/>
      <c r="BQ2" s="54" t="s">
        <v>126</v>
      </c>
      <c r="BR2" s="54"/>
      <c r="BS2" s="54"/>
      <c r="BT2" s="54" t="s">
        <v>127</v>
      </c>
      <c r="BU2" s="54"/>
      <c r="BV2" s="54"/>
    </row>
    <row r="3" spans="1:74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26</v>
      </c>
      <c r="G3" s="1" t="s">
        <v>111</v>
      </c>
      <c r="H3" s="1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7" t="s">
        <v>34</v>
      </c>
      <c r="P3" s="8" t="s">
        <v>45</v>
      </c>
      <c r="Q3" s="8" t="s">
        <v>46</v>
      </c>
      <c r="R3" s="8" t="s">
        <v>47</v>
      </c>
      <c r="S3" s="9" t="s">
        <v>51</v>
      </c>
      <c r="T3" s="9" t="s">
        <v>52</v>
      </c>
      <c r="U3" s="9" t="s">
        <v>53</v>
      </c>
      <c r="V3" s="3" t="s">
        <v>35</v>
      </c>
      <c r="W3" s="3" t="s">
        <v>36</v>
      </c>
      <c r="X3" s="3" t="s">
        <v>37</v>
      </c>
      <c r="Y3" s="3" t="s">
        <v>38</v>
      </c>
      <c r="Z3" s="18" t="s">
        <v>89</v>
      </c>
      <c r="AA3" s="18" t="s">
        <v>33</v>
      </c>
      <c r="AB3" s="18" t="s">
        <v>56</v>
      </c>
      <c r="AC3" s="24" t="s">
        <v>45</v>
      </c>
      <c r="AD3" s="24" t="s">
        <v>92</v>
      </c>
      <c r="AE3" s="24" t="s">
        <v>47</v>
      </c>
      <c r="AF3" s="27" t="s">
        <v>51</v>
      </c>
      <c r="AG3" s="27" t="s">
        <v>94</v>
      </c>
      <c r="AH3" s="27" t="s">
        <v>53</v>
      </c>
      <c r="AI3" s="29" t="s">
        <v>89</v>
      </c>
      <c r="AJ3" s="29" t="s">
        <v>33</v>
      </c>
      <c r="AK3" s="29" t="s">
        <v>56</v>
      </c>
      <c r="AL3" s="2" t="s">
        <v>45</v>
      </c>
      <c r="AM3" s="2" t="s">
        <v>92</v>
      </c>
      <c r="AN3" s="2" t="s">
        <v>47</v>
      </c>
      <c r="AO3" s="32" t="s">
        <v>101</v>
      </c>
      <c r="AP3" s="32" t="s">
        <v>102</v>
      </c>
      <c r="AQ3" s="32" t="s">
        <v>103</v>
      </c>
      <c r="AR3" s="37" t="s">
        <v>106</v>
      </c>
      <c r="AS3" s="37" t="s">
        <v>107</v>
      </c>
      <c r="AT3" s="37" t="s">
        <v>108</v>
      </c>
      <c r="AU3" s="35" t="s">
        <v>106</v>
      </c>
      <c r="AV3" s="35" t="s">
        <v>107</v>
      </c>
      <c r="AW3" s="35" t="s">
        <v>108</v>
      </c>
      <c r="AX3" s="35" t="s">
        <v>106</v>
      </c>
      <c r="AY3" s="35" t="s">
        <v>107</v>
      </c>
      <c r="AZ3" s="35" t="s">
        <v>108</v>
      </c>
      <c r="BA3" s="35" t="s">
        <v>101</v>
      </c>
      <c r="BB3" s="35" t="s">
        <v>102</v>
      </c>
      <c r="BC3" s="35" t="s">
        <v>103</v>
      </c>
      <c r="BD3" s="35" t="s">
        <v>106</v>
      </c>
      <c r="BE3" s="35" t="s">
        <v>107</v>
      </c>
      <c r="BF3" s="35" t="s">
        <v>108</v>
      </c>
      <c r="BG3" s="35" t="s">
        <v>89</v>
      </c>
      <c r="BH3" s="35" t="s">
        <v>33</v>
      </c>
      <c r="BI3" s="35" t="s">
        <v>56</v>
      </c>
      <c r="BJ3" s="35" t="s">
        <v>45</v>
      </c>
      <c r="BK3" s="35" t="s">
        <v>122</v>
      </c>
      <c r="BL3" s="35" t="s">
        <v>92</v>
      </c>
      <c r="BM3" s="35" t="s">
        <v>47</v>
      </c>
      <c r="BN3" s="35" t="s">
        <v>101</v>
      </c>
      <c r="BO3" s="35" t="s">
        <v>102</v>
      </c>
      <c r="BP3" s="35" t="s">
        <v>103</v>
      </c>
      <c r="BQ3" s="35" t="s">
        <v>106</v>
      </c>
      <c r="BR3" s="35" t="s">
        <v>107</v>
      </c>
      <c r="BS3" s="35" t="s">
        <v>108</v>
      </c>
      <c r="BT3" s="35" t="s">
        <v>89</v>
      </c>
      <c r="BU3" s="35" t="s">
        <v>33</v>
      </c>
      <c r="BV3" s="35" t="s">
        <v>56</v>
      </c>
    </row>
    <row r="4" spans="1:74" hidden="1" x14ac:dyDescent="0.25">
      <c r="A4" s="4" t="s">
        <v>39</v>
      </c>
      <c r="B4" s="4" t="s">
        <v>40</v>
      </c>
      <c r="C4" s="4" t="s">
        <v>15</v>
      </c>
      <c r="D4" s="4">
        <v>25</v>
      </c>
      <c r="E4" s="4">
        <v>25</v>
      </c>
      <c r="F4" s="4">
        <v>1.2</v>
      </c>
      <c r="G4" s="4" t="str">
        <f t="shared" ref="G4:G67" si="0">_xlfn.CONCAT(D4,"-",E4,"-",F4)</f>
        <v>25-25-1.2</v>
      </c>
      <c r="H4" s="10">
        <v>0.877</v>
      </c>
      <c r="I4" s="4">
        <v>69405</v>
      </c>
      <c r="J4" s="4">
        <v>500</v>
      </c>
      <c r="K4" s="4"/>
      <c r="L4" s="4"/>
      <c r="M4" s="4">
        <v>9800</v>
      </c>
      <c r="N4" s="4">
        <f t="shared" ref="N4:N55" si="1">SUM(I4:M4)</f>
        <v>79705</v>
      </c>
      <c r="O4" s="11">
        <f t="shared" ref="O4:O67" si="2">N4*H4/1000</f>
        <v>69.901285000000001</v>
      </c>
      <c r="P4" s="4">
        <v>6000</v>
      </c>
      <c r="Q4" s="4">
        <f t="shared" ref="Q4:Q67" si="3">N4+P4</f>
        <v>85705</v>
      </c>
      <c r="R4" s="4">
        <f t="shared" ref="R4:R67" si="4" xml:space="preserve"> ROUND(Q4*H4/1000,2)</f>
        <v>75.16</v>
      </c>
      <c r="S4" s="4">
        <v>4000</v>
      </c>
      <c r="T4" s="4">
        <f t="shared" ref="T4:T67" si="5">Q4+S4</f>
        <v>89705</v>
      </c>
      <c r="U4" s="4">
        <f t="shared" ref="U4:U67" si="6">ROUND(T4*H4/1000,2)</f>
        <v>78.67</v>
      </c>
      <c r="V4" s="4"/>
      <c r="W4" s="4"/>
      <c r="X4" s="4"/>
      <c r="Y4" s="4">
        <v>69.900000000000006</v>
      </c>
      <c r="Z4" s="4">
        <v>5700</v>
      </c>
      <c r="AA4" s="4">
        <f t="shared" ref="AA4:AA5" si="7">T4+Z4</f>
        <v>95405</v>
      </c>
      <c r="AB4" s="20">
        <f t="shared" ref="AB4:AB5" si="8">$H4*AA4/1000</f>
        <v>83.670185000000004</v>
      </c>
      <c r="AC4" s="4">
        <v>-11650</v>
      </c>
      <c r="AD4" s="4">
        <f t="shared" ref="AD4:AD5" si="9">AC4+AA4</f>
        <v>83755</v>
      </c>
      <c r="AE4" s="4">
        <f t="shared" ref="AE4:AE5" si="10">ROUND(AD4*H4/1000,2)</f>
        <v>73.45</v>
      </c>
      <c r="AF4" s="4">
        <v>-4200</v>
      </c>
      <c r="AG4" s="4">
        <f>AD4+AF4</f>
        <v>79555</v>
      </c>
      <c r="AH4" s="4">
        <f>ROUND(AG4*H4/1000,2)</f>
        <v>69.77</v>
      </c>
      <c r="AI4" s="30">
        <v>1950</v>
      </c>
      <c r="AJ4" s="4">
        <f>AG4+AI4</f>
        <v>81505</v>
      </c>
      <c r="AK4" s="4">
        <f>ROUND(AJ4*H4/1000,2)</f>
        <v>71.48</v>
      </c>
      <c r="AL4" s="30">
        <v>-4825</v>
      </c>
      <c r="AM4" s="4">
        <f>AJ4+AL4</f>
        <v>76680</v>
      </c>
      <c r="AN4" s="4">
        <f>ROUND(AM4*H4/1000,2)</f>
        <v>67.25</v>
      </c>
      <c r="AO4" s="4">
        <f>1920</f>
        <v>1920</v>
      </c>
      <c r="AP4" s="4">
        <f>AM4+AO4</f>
        <v>78600</v>
      </c>
      <c r="AQ4" s="4">
        <f>ROUND(AP4*H4/1000,2)</f>
        <v>68.930000000000007</v>
      </c>
      <c r="AR4" s="4">
        <v>-1200</v>
      </c>
      <c r="AS4" s="4">
        <f>AP4+AR4</f>
        <v>77400</v>
      </c>
      <c r="AT4" s="20">
        <f>AS4*H4/1000</f>
        <v>67.879800000000003</v>
      </c>
      <c r="AU4" s="4">
        <v>-2125</v>
      </c>
      <c r="AV4" s="4">
        <f>AS4+AU4</f>
        <v>75275</v>
      </c>
      <c r="AW4" s="20">
        <f>AV4*H4/1000</f>
        <v>66.016175000000004</v>
      </c>
      <c r="AX4" s="4">
        <v>200</v>
      </c>
      <c r="AY4" s="4">
        <f>AV4+AX4</f>
        <v>75475</v>
      </c>
      <c r="AZ4" s="20">
        <f>AY4*H4/1000</f>
        <v>66.191575</v>
      </c>
      <c r="BA4" s="4">
        <v>-4150</v>
      </c>
      <c r="BB4" s="4">
        <f>AY4+BA4</f>
        <v>71325</v>
      </c>
      <c r="BC4" s="20">
        <f>BB4*H4/1000</f>
        <v>62.552025</v>
      </c>
      <c r="BD4" s="4">
        <v>0</v>
      </c>
      <c r="BE4" s="4">
        <f>BB4+BD4</f>
        <v>71325</v>
      </c>
      <c r="BF4" s="20">
        <f>BE4*H4/1000</f>
        <v>62.552025</v>
      </c>
      <c r="BG4" s="4">
        <v>2600</v>
      </c>
      <c r="BH4" s="4">
        <f>BE4+BG4</f>
        <v>73925</v>
      </c>
      <c r="BI4" s="20">
        <f>BH4*H4/1000</f>
        <v>64.832224999999994</v>
      </c>
      <c r="BJ4" s="4">
        <v>900</v>
      </c>
      <c r="BK4" s="4"/>
      <c r="BL4" s="4">
        <f t="shared" ref="BL4:BL67" si="11">BH4+BJ4+BK4</f>
        <v>74825</v>
      </c>
      <c r="BM4" s="20">
        <f>BL4*H4/1000</f>
        <v>65.621524999999991</v>
      </c>
      <c r="BN4" s="4">
        <v>-2100</v>
      </c>
      <c r="BO4" s="4">
        <f>BL4+BN4</f>
        <v>72725</v>
      </c>
      <c r="BP4" s="20">
        <f>BO4*H4/1000</f>
        <v>63.779824999999995</v>
      </c>
      <c r="BQ4" s="4">
        <v>1450</v>
      </c>
      <c r="BR4" s="4">
        <f>BO4+BQ4</f>
        <v>74175</v>
      </c>
      <c r="BS4" s="20">
        <f>BR4*H4/1000</f>
        <v>65.051474999999996</v>
      </c>
      <c r="BT4" s="4">
        <v>5150</v>
      </c>
      <c r="BU4" s="4">
        <f>BR4+BT4</f>
        <v>79325</v>
      </c>
      <c r="BV4" s="20">
        <f>BU4*H4/1000</f>
        <v>69.568024999999992</v>
      </c>
    </row>
    <row r="5" spans="1:74" hidden="1" x14ac:dyDescent="0.25">
      <c r="A5" s="4" t="s">
        <v>39</v>
      </c>
      <c r="B5" s="4" t="s">
        <v>40</v>
      </c>
      <c r="C5" s="4" t="s">
        <v>15</v>
      </c>
      <c r="D5" s="4">
        <v>25</v>
      </c>
      <c r="E5" s="4">
        <v>25</v>
      </c>
      <c r="F5" s="4">
        <v>1.6</v>
      </c>
      <c r="G5" s="4" t="str">
        <f t="shared" si="0"/>
        <v>25-25-1.6</v>
      </c>
      <c r="H5" s="10">
        <v>1.141</v>
      </c>
      <c r="I5" s="4">
        <v>69405</v>
      </c>
      <c r="J5" s="4">
        <v>500</v>
      </c>
      <c r="K5" s="4"/>
      <c r="L5" s="4"/>
      <c r="M5" s="4">
        <v>9800</v>
      </c>
      <c r="N5" s="4">
        <f t="shared" si="1"/>
        <v>79705</v>
      </c>
      <c r="O5" s="11">
        <f t="shared" si="2"/>
        <v>90.943404999999998</v>
      </c>
      <c r="P5" s="4">
        <v>6000</v>
      </c>
      <c r="Q5" s="4">
        <f t="shared" si="3"/>
        <v>85705</v>
      </c>
      <c r="R5" s="4">
        <f t="shared" si="4"/>
        <v>97.79</v>
      </c>
      <c r="S5" s="4">
        <v>4000</v>
      </c>
      <c r="T5" s="4">
        <f t="shared" si="5"/>
        <v>89705</v>
      </c>
      <c r="U5" s="4">
        <f t="shared" si="6"/>
        <v>102.35</v>
      </c>
      <c r="V5" s="4"/>
      <c r="W5" s="4"/>
      <c r="X5" s="4"/>
      <c r="Y5" s="4">
        <v>90.94</v>
      </c>
      <c r="Z5" s="4">
        <v>5700</v>
      </c>
      <c r="AA5" s="4">
        <f t="shared" si="7"/>
        <v>95405</v>
      </c>
      <c r="AB5" s="20">
        <f t="shared" si="8"/>
        <v>108.85710499999999</v>
      </c>
      <c r="AC5" s="4">
        <v>-11650</v>
      </c>
      <c r="AD5" s="4">
        <f t="shared" si="9"/>
        <v>83755</v>
      </c>
      <c r="AE5" s="4">
        <f t="shared" si="10"/>
        <v>95.56</v>
      </c>
      <c r="AF5" s="4">
        <v>-4200</v>
      </c>
      <c r="AG5" s="4">
        <f>AD5+AF5</f>
        <v>79555</v>
      </c>
      <c r="AH5" s="4">
        <f>ROUND(AG5*H5/1000,2)</f>
        <v>90.77</v>
      </c>
      <c r="AI5" s="30">
        <v>1950</v>
      </c>
      <c r="AJ5" s="4">
        <f>AG5+AI5</f>
        <v>81505</v>
      </c>
      <c r="AK5" s="4">
        <f>ROUND(AJ5*H5/1000,2)</f>
        <v>93</v>
      </c>
      <c r="AL5" s="30">
        <v>-4825</v>
      </c>
      <c r="AM5" s="4">
        <f>AJ5+AL5</f>
        <v>76680</v>
      </c>
      <c r="AN5" s="4">
        <f>ROUND(AM5*H5/1000,2)</f>
        <v>87.49</v>
      </c>
      <c r="AO5" s="4">
        <f>1920</f>
        <v>1920</v>
      </c>
      <c r="AP5" s="4">
        <f>AM5+AO5</f>
        <v>78600</v>
      </c>
      <c r="AQ5" s="4">
        <f>ROUND(AP5*H5/1000,2)</f>
        <v>89.68</v>
      </c>
      <c r="AR5" s="4">
        <v>-1200</v>
      </c>
      <c r="AS5" s="4">
        <f t="shared" ref="AS5:AS68" si="12">AP5+AR5</f>
        <v>77400</v>
      </c>
      <c r="AT5" s="20">
        <f t="shared" ref="AT5:AT68" si="13">AS5*H5/1000</f>
        <v>88.313399999999987</v>
      </c>
      <c r="AU5" s="4">
        <v>-2125</v>
      </c>
      <c r="AV5" s="4">
        <f t="shared" ref="AV5:AV68" si="14">AS5+AU5</f>
        <v>75275</v>
      </c>
      <c r="AW5" s="20">
        <f t="shared" ref="AW5:AW68" si="15">AV5*H5/1000</f>
        <v>85.888774999999995</v>
      </c>
      <c r="AX5" s="4">
        <v>200</v>
      </c>
      <c r="AY5" s="4">
        <f t="shared" ref="AY5:AY68" si="16">AV5+AX5</f>
        <v>75475</v>
      </c>
      <c r="AZ5" s="20">
        <f t="shared" ref="AZ5:AZ68" si="17">AY5*H5/1000</f>
        <v>86.116975000000011</v>
      </c>
      <c r="BA5" s="4">
        <v>-4150</v>
      </c>
      <c r="BB5" s="4">
        <f t="shared" ref="BB5:BB68" si="18">AY5+BA5</f>
        <v>71325</v>
      </c>
      <c r="BC5" s="20">
        <f t="shared" ref="BC5:BC68" si="19">BB5*H5/1000</f>
        <v>81.381824999999992</v>
      </c>
      <c r="BD5" s="4">
        <v>0</v>
      </c>
      <c r="BE5" s="4">
        <f t="shared" ref="BE5:BE68" si="20">BB5+BD5</f>
        <v>71325</v>
      </c>
      <c r="BF5" s="20">
        <f t="shared" ref="BF5:BF68" si="21">BE5*H5/1000</f>
        <v>81.381824999999992</v>
      </c>
      <c r="BG5" s="4">
        <v>2600</v>
      </c>
      <c r="BH5" s="4">
        <f t="shared" ref="BH5:BH68" si="22">BE5+BG5</f>
        <v>73925</v>
      </c>
      <c r="BI5" s="20">
        <f t="shared" ref="BI5:BI68" si="23">BH5*H5/1000</f>
        <v>84.348425000000006</v>
      </c>
      <c r="BJ5" s="4">
        <v>900</v>
      </c>
      <c r="BK5" s="4"/>
      <c r="BL5" s="4">
        <f t="shared" si="11"/>
        <v>74825</v>
      </c>
      <c r="BM5" s="20">
        <f>BL5*H5/1000</f>
        <v>85.375325000000004</v>
      </c>
      <c r="BN5" s="4">
        <v>-2100</v>
      </c>
      <c r="BO5" s="4">
        <f>BL5+BN5</f>
        <v>72725</v>
      </c>
      <c r="BP5" s="20">
        <f>BO5*H5/1000</f>
        <v>82.979225</v>
      </c>
      <c r="BQ5" s="4">
        <v>1450</v>
      </c>
      <c r="BR5" s="4">
        <f>BO5+BQ5</f>
        <v>74175</v>
      </c>
      <c r="BS5" s="20">
        <f t="shared" ref="BS5:BS68" si="24">BR5*H5/1000</f>
        <v>84.633674999999997</v>
      </c>
      <c r="BT5" s="4">
        <v>5150</v>
      </c>
      <c r="BU5" s="4">
        <f>BR5+BT5</f>
        <v>79325</v>
      </c>
      <c r="BV5" s="20">
        <f t="shared" ref="BV5:BV68" si="25">BU5*H5/1000</f>
        <v>90.509824999999992</v>
      </c>
    </row>
    <row r="6" spans="1:74" hidden="1" x14ac:dyDescent="0.25">
      <c r="A6" s="4" t="s">
        <v>39</v>
      </c>
      <c r="B6" s="4" t="s">
        <v>40</v>
      </c>
      <c r="C6" s="4" t="s">
        <v>18</v>
      </c>
      <c r="D6" s="4">
        <v>30</v>
      </c>
      <c r="E6" s="4">
        <v>30</v>
      </c>
      <c r="F6" s="4">
        <v>2</v>
      </c>
      <c r="G6" s="4" t="str">
        <f t="shared" si="0"/>
        <v>30-30-2</v>
      </c>
      <c r="H6" s="10">
        <v>1.704</v>
      </c>
      <c r="I6" s="4">
        <v>65875</v>
      </c>
      <c r="J6" s="4">
        <v>500</v>
      </c>
      <c r="K6" s="4"/>
      <c r="L6" s="4"/>
      <c r="M6" s="4">
        <v>7500</v>
      </c>
      <c r="N6" s="4">
        <f t="shared" si="1"/>
        <v>73875</v>
      </c>
      <c r="O6" s="11">
        <f t="shared" si="2"/>
        <v>125.883</v>
      </c>
      <c r="P6" s="4">
        <v>5600</v>
      </c>
      <c r="Q6" s="4">
        <f t="shared" si="3"/>
        <v>79475</v>
      </c>
      <c r="R6" s="4">
        <f t="shared" si="4"/>
        <v>135.43</v>
      </c>
      <c r="S6" s="4">
        <v>3900</v>
      </c>
      <c r="T6" s="4">
        <f t="shared" si="5"/>
        <v>83375</v>
      </c>
      <c r="U6" s="4">
        <f t="shared" si="6"/>
        <v>142.07</v>
      </c>
      <c r="V6" s="4"/>
      <c r="W6" s="4"/>
      <c r="X6" s="4"/>
      <c r="Y6" s="21">
        <v>125.88</v>
      </c>
      <c r="Z6" s="4">
        <v>6000</v>
      </c>
      <c r="AA6" s="4">
        <f>Z6+T6</f>
        <v>89375</v>
      </c>
      <c r="AB6" s="4">
        <f>ROUND(AA6*H6/1000,2)</f>
        <v>152.30000000000001</v>
      </c>
      <c r="AC6" s="4">
        <v>-10200</v>
      </c>
      <c r="AD6" s="4">
        <f>AC6+AA6</f>
        <v>79175</v>
      </c>
      <c r="AE6" s="4">
        <f>ROUND(AD6*H6/1000,2)</f>
        <v>134.91</v>
      </c>
      <c r="AF6" s="4">
        <v>-4900</v>
      </c>
      <c r="AG6" s="4">
        <f>AD6+AF6</f>
        <v>74275</v>
      </c>
      <c r="AH6" s="4">
        <f>ROUND(AG6*H6/1000,2)</f>
        <v>126.56</v>
      </c>
      <c r="AI6" s="30">
        <v>3300</v>
      </c>
      <c r="AJ6" s="4">
        <f>AG6+AI6</f>
        <v>77575</v>
      </c>
      <c r="AK6" s="4">
        <f>ROUND(AJ6*H6/1000,2)</f>
        <v>132.19</v>
      </c>
      <c r="AL6" s="30">
        <v>-3800</v>
      </c>
      <c r="AM6" s="4">
        <f>AJ6+AL6</f>
        <v>73775</v>
      </c>
      <c r="AN6" s="4">
        <f>ROUND(AM6*H6/1000,2)</f>
        <v>125.71</v>
      </c>
      <c r="AO6" s="4">
        <f>2000</f>
        <v>2000</v>
      </c>
      <c r="AP6" s="4">
        <f>AM6+AO6</f>
        <v>75775</v>
      </c>
      <c r="AQ6" s="4">
        <f>ROUND(AP6*H6/1000,2)</f>
        <v>129.12</v>
      </c>
      <c r="AR6" s="4">
        <v>-1950</v>
      </c>
      <c r="AS6" s="4">
        <f t="shared" si="12"/>
        <v>73825</v>
      </c>
      <c r="AT6" s="20">
        <f t="shared" si="13"/>
        <v>125.79780000000001</v>
      </c>
      <c r="AU6" s="4">
        <v>-2625</v>
      </c>
      <c r="AV6" s="4">
        <f t="shared" si="14"/>
        <v>71200</v>
      </c>
      <c r="AW6" s="20">
        <f t="shared" si="15"/>
        <v>121.3248</v>
      </c>
      <c r="AX6" s="4">
        <v>500</v>
      </c>
      <c r="AY6" s="4">
        <f t="shared" si="16"/>
        <v>71700</v>
      </c>
      <c r="AZ6" s="20">
        <f t="shared" si="17"/>
        <v>122.1768</v>
      </c>
      <c r="BA6" s="4">
        <v>-4750</v>
      </c>
      <c r="BB6" s="4">
        <f t="shared" si="18"/>
        <v>66950</v>
      </c>
      <c r="BC6" s="20">
        <f t="shared" si="19"/>
        <v>114.08280000000001</v>
      </c>
      <c r="BD6" s="4">
        <v>0</v>
      </c>
      <c r="BE6" s="4">
        <f t="shared" si="20"/>
        <v>66950</v>
      </c>
      <c r="BF6" s="20">
        <f t="shared" si="21"/>
        <v>114.08280000000001</v>
      </c>
      <c r="BG6" s="4">
        <v>2600</v>
      </c>
      <c r="BH6" s="4">
        <f t="shared" si="22"/>
        <v>69550</v>
      </c>
      <c r="BI6" s="20">
        <f t="shared" si="23"/>
        <v>118.5132</v>
      </c>
      <c r="BJ6" s="4">
        <v>1000</v>
      </c>
      <c r="BK6" s="4"/>
      <c r="BL6" s="4">
        <f t="shared" si="11"/>
        <v>70550</v>
      </c>
      <c r="BM6" s="20">
        <f>BL6*H6/1000</f>
        <v>120.21719999999999</v>
      </c>
      <c r="BN6" s="4">
        <v>-2150</v>
      </c>
      <c r="BO6" s="4">
        <f t="shared" ref="BO6:BO10" si="26">BL6+BN6</f>
        <v>68400</v>
      </c>
      <c r="BP6" s="20">
        <f>BO6*H6/1000</f>
        <v>116.55359999999999</v>
      </c>
      <c r="BQ6" s="4">
        <v>1500</v>
      </c>
      <c r="BR6" s="4">
        <f t="shared" ref="BR6:BR11" si="27">BO6+BQ6</f>
        <v>69900</v>
      </c>
      <c r="BS6" s="20">
        <f t="shared" si="24"/>
        <v>119.10959999999999</v>
      </c>
      <c r="BT6" s="4">
        <v>5500</v>
      </c>
      <c r="BU6" s="4">
        <f t="shared" ref="BU6:BU11" si="28">BR6+BT6</f>
        <v>75400</v>
      </c>
      <c r="BV6" s="20">
        <f t="shared" si="25"/>
        <v>128.48159999999999</v>
      </c>
    </row>
    <row r="7" spans="1:74" hidden="1" x14ac:dyDescent="0.25">
      <c r="A7" s="4" t="s">
        <v>39</v>
      </c>
      <c r="B7" s="4" t="s">
        <v>40</v>
      </c>
      <c r="C7" s="4" t="s">
        <v>15</v>
      </c>
      <c r="D7" s="4">
        <v>40</v>
      </c>
      <c r="E7" s="4">
        <v>20</v>
      </c>
      <c r="F7" s="4">
        <v>1.2</v>
      </c>
      <c r="G7" s="4" t="str">
        <f t="shared" si="0"/>
        <v>40-20-1.2</v>
      </c>
      <c r="H7" s="10">
        <v>1.0660000000000001</v>
      </c>
      <c r="I7" s="4">
        <v>69405</v>
      </c>
      <c r="J7" s="4">
        <v>500</v>
      </c>
      <c r="K7" s="4"/>
      <c r="L7" s="4"/>
      <c r="M7" s="4">
        <v>9800</v>
      </c>
      <c r="N7" s="4">
        <f t="shared" si="1"/>
        <v>79705</v>
      </c>
      <c r="O7" s="11">
        <f t="shared" si="2"/>
        <v>84.965530000000001</v>
      </c>
      <c r="P7" s="4">
        <v>6000</v>
      </c>
      <c r="Q7" s="4">
        <f t="shared" si="3"/>
        <v>85705</v>
      </c>
      <c r="R7" s="4">
        <f t="shared" si="4"/>
        <v>91.36</v>
      </c>
      <c r="S7" s="4">
        <v>4000</v>
      </c>
      <c r="T7" s="4">
        <f t="shared" si="5"/>
        <v>89705</v>
      </c>
      <c r="U7" s="4">
        <f t="shared" si="6"/>
        <v>95.63</v>
      </c>
      <c r="V7" s="4"/>
      <c r="W7" s="4"/>
      <c r="X7" s="4"/>
      <c r="Y7" s="4">
        <v>84.97</v>
      </c>
      <c r="Z7" s="4">
        <v>5700</v>
      </c>
      <c r="AA7" s="22">
        <f t="shared" ref="AA7:AA10" si="29">T7+Z7</f>
        <v>95405</v>
      </c>
      <c r="AB7" s="23">
        <f t="shared" ref="AB7:AB10" si="30">$H7*AA7/1000</f>
        <v>101.70173000000001</v>
      </c>
      <c r="AC7" s="4">
        <v>-11650</v>
      </c>
      <c r="AD7" s="22">
        <f t="shared" ref="AD7:AD25" si="31">AC7+AA7</f>
        <v>83755</v>
      </c>
      <c r="AE7" s="22">
        <f t="shared" ref="AE7:AE25" si="32">ROUND(AD7*H7/1000,2)</f>
        <v>89.28</v>
      </c>
      <c r="AF7" s="4">
        <v>-4200</v>
      </c>
      <c r="AG7" s="4">
        <f t="shared" ref="AG7:AG25" si="33">AD7+AF7</f>
        <v>79555</v>
      </c>
      <c r="AH7" s="4">
        <f t="shared" ref="AH7:AH25" si="34">ROUND(AG7*H7/1000,2)</f>
        <v>84.81</v>
      </c>
      <c r="AI7" s="30">
        <v>1950</v>
      </c>
      <c r="AJ7" s="4">
        <f t="shared" ref="AJ7:AJ10" si="35">AG7+AI7</f>
        <v>81505</v>
      </c>
      <c r="AK7" s="4">
        <f t="shared" ref="AK7:AK10" si="36">ROUND(AJ7*H7/1000,2)</f>
        <v>86.88</v>
      </c>
      <c r="AL7" s="30">
        <v>-4825</v>
      </c>
      <c r="AM7" s="4">
        <f t="shared" ref="AM7:AM10" si="37">AJ7+AL7</f>
        <v>76680</v>
      </c>
      <c r="AN7" s="4">
        <f t="shared" ref="AN7:AN10" si="38">ROUND(AM7*H7/1000,2)</f>
        <v>81.739999999999995</v>
      </c>
      <c r="AO7" s="4">
        <f>1920</f>
        <v>1920</v>
      </c>
      <c r="AP7" s="4">
        <f t="shared" ref="AP7:AP10" si="39">AM7+AO7</f>
        <v>78600</v>
      </c>
      <c r="AQ7" s="4">
        <f t="shared" ref="AQ7:AQ10" si="40">ROUND(AP7*H7/1000,2)</f>
        <v>83.79</v>
      </c>
      <c r="AR7" s="4">
        <v>-1200</v>
      </c>
      <c r="AS7" s="4">
        <f t="shared" si="12"/>
        <v>77400</v>
      </c>
      <c r="AT7" s="20">
        <f t="shared" si="13"/>
        <v>82.508400000000009</v>
      </c>
      <c r="AU7" s="4">
        <v>-2125</v>
      </c>
      <c r="AV7" s="4">
        <f t="shared" si="14"/>
        <v>75275</v>
      </c>
      <c r="AW7" s="20">
        <f t="shared" si="15"/>
        <v>80.243150000000014</v>
      </c>
      <c r="AX7" s="4">
        <v>200</v>
      </c>
      <c r="AY7" s="4">
        <f t="shared" si="16"/>
        <v>75475</v>
      </c>
      <c r="AZ7" s="20">
        <f t="shared" si="17"/>
        <v>80.45635</v>
      </c>
      <c r="BA7" s="4">
        <v>-4150</v>
      </c>
      <c r="BB7" s="4">
        <f t="shared" si="18"/>
        <v>71325</v>
      </c>
      <c r="BC7" s="20">
        <f t="shared" si="19"/>
        <v>76.032449999999997</v>
      </c>
      <c r="BD7" s="4">
        <v>0</v>
      </c>
      <c r="BE7" s="4">
        <f t="shared" si="20"/>
        <v>71325</v>
      </c>
      <c r="BF7" s="20">
        <f t="shared" si="21"/>
        <v>76.032449999999997</v>
      </c>
      <c r="BG7" s="4">
        <v>2600</v>
      </c>
      <c r="BH7" s="4">
        <f t="shared" si="22"/>
        <v>73925</v>
      </c>
      <c r="BI7" s="20">
        <f t="shared" si="23"/>
        <v>78.804050000000004</v>
      </c>
      <c r="BJ7" s="4">
        <v>900</v>
      </c>
      <c r="BK7" s="4"/>
      <c r="BL7" s="4">
        <f t="shared" si="11"/>
        <v>74825</v>
      </c>
      <c r="BM7" s="20">
        <f t="shared" ref="BM7:BM10" si="41">BL7*H7/1000</f>
        <v>79.763450000000006</v>
      </c>
      <c r="BN7" s="4">
        <v>-2100</v>
      </c>
      <c r="BO7" s="4">
        <f t="shared" si="26"/>
        <v>72725</v>
      </c>
      <c r="BP7" s="20">
        <f t="shared" ref="BP7:BP10" si="42">BO7*H7/1000</f>
        <v>77.524850000000001</v>
      </c>
      <c r="BQ7" s="4">
        <v>1450</v>
      </c>
      <c r="BR7" s="4">
        <f t="shared" si="27"/>
        <v>74175</v>
      </c>
      <c r="BS7" s="20">
        <f t="shared" si="24"/>
        <v>79.070549999999997</v>
      </c>
      <c r="BT7" s="4">
        <v>5150</v>
      </c>
      <c r="BU7" s="4">
        <f t="shared" si="28"/>
        <v>79325</v>
      </c>
      <c r="BV7" s="20">
        <f t="shared" si="25"/>
        <v>84.560450000000017</v>
      </c>
    </row>
    <row r="8" spans="1:74" hidden="1" x14ac:dyDescent="0.25">
      <c r="A8" s="4" t="s">
        <v>39</v>
      </c>
      <c r="B8" s="4" t="s">
        <v>40</v>
      </c>
      <c r="C8" s="4" t="s">
        <v>15</v>
      </c>
      <c r="D8" s="4">
        <v>40</v>
      </c>
      <c r="E8" s="4">
        <v>40</v>
      </c>
      <c r="F8" s="4">
        <v>1.2</v>
      </c>
      <c r="G8" s="4" t="str">
        <f t="shared" si="0"/>
        <v>40-40-1.2</v>
      </c>
      <c r="H8" s="10">
        <v>1.4430000000000001</v>
      </c>
      <c r="I8" s="4">
        <v>69405</v>
      </c>
      <c r="J8" s="4">
        <v>500</v>
      </c>
      <c r="K8" s="4"/>
      <c r="L8" s="4"/>
      <c r="M8" s="4">
        <v>9800</v>
      </c>
      <c r="N8" s="4">
        <f t="shared" si="1"/>
        <v>79705</v>
      </c>
      <c r="O8" s="11">
        <f t="shared" si="2"/>
        <v>115.014315</v>
      </c>
      <c r="P8" s="4">
        <v>6000</v>
      </c>
      <c r="Q8" s="4">
        <f t="shared" si="3"/>
        <v>85705</v>
      </c>
      <c r="R8" s="4">
        <f t="shared" si="4"/>
        <v>123.67</v>
      </c>
      <c r="S8" s="4">
        <v>4000</v>
      </c>
      <c r="T8" s="4">
        <f t="shared" si="5"/>
        <v>89705</v>
      </c>
      <c r="U8" s="4">
        <f t="shared" si="6"/>
        <v>129.44</v>
      </c>
      <c r="V8" s="4"/>
      <c r="W8" s="4"/>
      <c r="X8" s="4"/>
      <c r="Y8" s="4">
        <v>115.01</v>
      </c>
      <c r="Z8" s="4">
        <v>5700</v>
      </c>
      <c r="AA8" s="4">
        <f t="shared" si="29"/>
        <v>95405</v>
      </c>
      <c r="AB8" s="20">
        <f t="shared" si="30"/>
        <v>137.66941500000001</v>
      </c>
      <c r="AC8" s="4">
        <v>-11650</v>
      </c>
      <c r="AD8" s="4">
        <f t="shared" si="31"/>
        <v>83755</v>
      </c>
      <c r="AE8" s="4">
        <f t="shared" si="32"/>
        <v>120.86</v>
      </c>
      <c r="AF8" s="4">
        <v>-4200</v>
      </c>
      <c r="AG8" s="4">
        <f t="shared" si="33"/>
        <v>79555</v>
      </c>
      <c r="AH8" s="4">
        <f t="shared" si="34"/>
        <v>114.8</v>
      </c>
      <c r="AI8" s="30">
        <v>1950</v>
      </c>
      <c r="AJ8" s="4">
        <f t="shared" si="35"/>
        <v>81505</v>
      </c>
      <c r="AK8" s="4">
        <f t="shared" si="36"/>
        <v>117.61</v>
      </c>
      <c r="AL8" s="30">
        <v>-4825</v>
      </c>
      <c r="AM8" s="4">
        <f t="shared" si="37"/>
        <v>76680</v>
      </c>
      <c r="AN8" s="4">
        <f t="shared" si="38"/>
        <v>110.65</v>
      </c>
      <c r="AO8" s="4">
        <f>1920</f>
        <v>1920</v>
      </c>
      <c r="AP8" s="4">
        <f t="shared" si="39"/>
        <v>78600</v>
      </c>
      <c r="AQ8" s="4">
        <f t="shared" si="40"/>
        <v>113.42</v>
      </c>
      <c r="AR8" s="4">
        <v>-1200</v>
      </c>
      <c r="AS8" s="4">
        <f t="shared" si="12"/>
        <v>77400</v>
      </c>
      <c r="AT8" s="20">
        <f t="shared" si="13"/>
        <v>111.68820000000001</v>
      </c>
      <c r="AU8" s="4">
        <v>-2125</v>
      </c>
      <c r="AV8" s="4">
        <f t="shared" si="14"/>
        <v>75275</v>
      </c>
      <c r="AW8" s="20">
        <f t="shared" si="15"/>
        <v>108.62182500000002</v>
      </c>
      <c r="AX8" s="4">
        <v>200</v>
      </c>
      <c r="AY8" s="4">
        <f t="shared" si="16"/>
        <v>75475</v>
      </c>
      <c r="AZ8" s="20">
        <f t="shared" si="17"/>
        <v>108.910425</v>
      </c>
      <c r="BA8" s="4">
        <v>-4150</v>
      </c>
      <c r="BB8" s="4">
        <f t="shared" si="18"/>
        <v>71325</v>
      </c>
      <c r="BC8" s="20">
        <f t="shared" si="19"/>
        <v>102.921975</v>
      </c>
      <c r="BD8" s="4">
        <v>0</v>
      </c>
      <c r="BE8" s="4">
        <f t="shared" si="20"/>
        <v>71325</v>
      </c>
      <c r="BF8" s="20">
        <f t="shared" si="21"/>
        <v>102.921975</v>
      </c>
      <c r="BG8" s="4">
        <v>2600</v>
      </c>
      <c r="BH8" s="4">
        <f t="shared" si="22"/>
        <v>73925</v>
      </c>
      <c r="BI8" s="20">
        <f t="shared" si="23"/>
        <v>106.67377500000001</v>
      </c>
      <c r="BJ8" s="4">
        <v>900</v>
      </c>
      <c r="BK8" s="4"/>
      <c r="BL8" s="4">
        <f t="shared" si="11"/>
        <v>74825</v>
      </c>
      <c r="BM8" s="20">
        <f t="shared" si="41"/>
        <v>107.972475</v>
      </c>
      <c r="BN8" s="4">
        <v>-2100</v>
      </c>
      <c r="BO8" s="4">
        <f t="shared" si="26"/>
        <v>72725</v>
      </c>
      <c r="BP8" s="20">
        <f t="shared" si="42"/>
        <v>104.94217500000001</v>
      </c>
      <c r="BQ8" s="4">
        <v>1450</v>
      </c>
      <c r="BR8" s="4">
        <f t="shared" si="27"/>
        <v>74175</v>
      </c>
      <c r="BS8" s="20">
        <f t="shared" si="24"/>
        <v>107.034525</v>
      </c>
      <c r="BT8" s="4">
        <v>5150</v>
      </c>
      <c r="BU8" s="4">
        <f t="shared" si="28"/>
        <v>79325</v>
      </c>
      <c r="BV8" s="20">
        <f t="shared" si="25"/>
        <v>114.465975</v>
      </c>
    </row>
    <row r="9" spans="1:74" hidden="1" x14ac:dyDescent="0.25">
      <c r="A9" s="4" t="s">
        <v>39</v>
      </c>
      <c r="B9" s="4" t="s">
        <v>40</v>
      </c>
      <c r="C9" s="4" t="s">
        <v>15</v>
      </c>
      <c r="D9" s="4">
        <v>40</v>
      </c>
      <c r="E9" s="4">
        <v>20</v>
      </c>
      <c r="F9" s="4">
        <v>1.6</v>
      </c>
      <c r="G9" s="4" t="str">
        <f t="shared" si="0"/>
        <v>40-20-1.6</v>
      </c>
      <c r="H9" s="10">
        <v>1.3919999999999999</v>
      </c>
      <c r="I9" s="4">
        <v>69405</v>
      </c>
      <c r="J9" s="4">
        <v>500</v>
      </c>
      <c r="K9" s="4"/>
      <c r="L9" s="4"/>
      <c r="M9" s="4">
        <v>9800</v>
      </c>
      <c r="N9" s="4">
        <f t="shared" si="1"/>
        <v>79705</v>
      </c>
      <c r="O9" s="11">
        <f t="shared" si="2"/>
        <v>110.94935999999998</v>
      </c>
      <c r="P9" s="4">
        <v>6000</v>
      </c>
      <c r="Q9" s="4">
        <f t="shared" si="3"/>
        <v>85705</v>
      </c>
      <c r="R9" s="4">
        <f t="shared" si="4"/>
        <v>119.3</v>
      </c>
      <c r="S9" s="4">
        <v>4000</v>
      </c>
      <c r="T9" s="4">
        <f t="shared" si="5"/>
        <v>89705</v>
      </c>
      <c r="U9" s="4">
        <f t="shared" si="6"/>
        <v>124.87</v>
      </c>
      <c r="V9" s="4"/>
      <c r="W9" s="4"/>
      <c r="X9" s="4"/>
      <c r="Y9" s="4">
        <v>110.95</v>
      </c>
      <c r="Z9" s="4">
        <v>5700</v>
      </c>
      <c r="AA9" s="4">
        <f t="shared" si="29"/>
        <v>95405</v>
      </c>
      <c r="AB9" s="20">
        <f t="shared" si="30"/>
        <v>132.80375999999998</v>
      </c>
      <c r="AC9" s="4">
        <v>-11650</v>
      </c>
      <c r="AD9" s="4">
        <f t="shared" si="31"/>
        <v>83755</v>
      </c>
      <c r="AE9" s="4">
        <f t="shared" si="32"/>
        <v>116.59</v>
      </c>
      <c r="AF9" s="4">
        <v>-4200</v>
      </c>
      <c r="AG9" s="4">
        <f t="shared" si="33"/>
        <v>79555</v>
      </c>
      <c r="AH9" s="4">
        <f t="shared" si="34"/>
        <v>110.74</v>
      </c>
      <c r="AI9" s="30">
        <v>1950</v>
      </c>
      <c r="AJ9" s="4">
        <f t="shared" si="35"/>
        <v>81505</v>
      </c>
      <c r="AK9" s="4">
        <f t="shared" si="36"/>
        <v>113.45</v>
      </c>
      <c r="AL9" s="30">
        <v>-4825</v>
      </c>
      <c r="AM9" s="4">
        <f t="shared" si="37"/>
        <v>76680</v>
      </c>
      <c r="AN9" s="4">
        <f t="shared" si="38"/>
        <v>106.74</v>
      </c>
      <c r="AO9" s="4">
        <f>1920</f>
        <v>1920</v>
      </c>
      <c r="AP9" s="4">
        <f t="shared" si="39"/>
        <v>78600</v>
      </c>
      <c r="AQ9" s="4">
        <f t="shared" si="40"/>
        <v>109.41</v>
      </c>
      <c r="AR9" s="4">
        <v>-1200</v>
      </c>
      <c r="AS9" s="4">
        <f t="shared" si="12"/>
        <v>77400</v>
      </c>
      <c r="AT9" s="20">
        <f t="shared" si="13"/>
        <v>107.74079999999999</v>
      </c>
      <c r="AU9" s="4">
        <v>-2125</v>
      </c>
      <c r="AV9" s="4">
        <f t="shared" si="14"/>
        <v>75275</v>
      </c>
      <c r="AW9" s="20">
        <f t="shared" si="15"/>
        <v>104.78279999999999</v>
      </c>
      <c r="AX9" s="4">
        <v>200</v>
      </c>
      <c r="AY9" s="4">
        <f t="shared" si="16"/>
        <v>75475</v>
      </c>
      <c r="AZ9" s="20">
        <f t="shared" si="17"/>
        <v>105.0612</v>
      </c>
      <c r="BA9" s="4">
        <v>-4150</v>
      </c>
      <c r="BB9" s="4">
        <f t="shared" si="18"/>
        <v>71325</v>
      </c>
      <c r="BC9" s="20">
        <f t="shared" si="19"/>
        <v>99.284399999999991</v>
      </c>
      <c r="BD9" s="4">
        <v>0</v>
      </c>
      <c r="BE9" s="4">
        <f t="shared" si="20"/>
        <v>71325</v>
      </c>
      <c r="BF9" s="20">
        <f t="shared" si="21"/>
        <v>99.284399999999991</v>
      </c>
      <c r="BG9" s="4">
        <v>2600</v>
      </c>
      <c r="BH9" s="4">
        <f t="shared" si="22"/>
        <v>73925</v>
      </c>
      <c r="BI9" s="20">
        <f t="shared" si="23"/>
        <v>102.9036</v>
      </c>
      <c r="BJ9" s="4">
        <v>900</v>
      </c>
      <c r="BK9" s="4"/>
      <c r="BL9" s="4">
        <f t="shared" si="11"/>
        <v>74825</v>
      </c>
      <c r="BM9" s="20">
        <f t="shared" si="41"/>
        <v>104.15639999999999</v>
      </c>
      <c r="BN9" s="4">
        <v>-2100</v>
      </c>
      <c r="BO9" s="4">
        <f t="shared" si="26"/>
        <v>72725</v>
      </c>
      <c r="BP9" s="20">
        <f t="shared" si="42"/>
        <v>101.2332</v>
      </c>
      <c r="BQ9" s="4">
        <v>1450</v>
      </c>
      <c r="BR9" s="4">
        <f t="shared" si="27"/>
        <v>74175</v>
      </c>
      <c r="BS9" s="20">
        <f t="shared" si="24"/>
        <v>103.2516</v>
      </c>
      <c r="BT9" s="4">
        <v>5150</v>
      </c>
      <c r="BU9" s="4">
        <f t="shared" si="28"/>
        <v>79325</v>
      </c>
      <c r="BV9" s="20">
        <f t="shared" si="25"/>
        <v>110.4204</v>
      </c>
    </row>
    <row r="10" spans="1:74" hidden="1" x14ac:dyDescent="0.25">
      <c r="A10" s="4" t="s">
        <v>39</v>
      </c>
      <c r="B10" s="4" t="s">
        <v>40</v>
      </c>
      <c r="C10" s="4" t="s">
        <v>15</v>
      </c>
      <c r="D10" s="4">
        <v>40</v>
      </c>
      <c r="E10" s="4">
        <v>25</v>
      </c>
      <c r="F10" s="4">
        <v>1.6</v>
      </c>
      <c r="G10" s="4" t="str">
        <f t="shared" si="0"/>
        <v>40-25-1.6</v>
      </c>
      <c r="H10" s="10">
        <v>1.518</v>
      </c>
      <c r="I10" s="4">
        <v>69405</v>
      </c>
      <c r="J10" s="4">
        <v>500</v>
      </c>
      <c r="K10" s="4"/>
      <c r="L10" s="4"/>
      <c r="M10" s="4">
        <v>9800</v>
      </c>
      <c r="N10" s="4">
        <f t="shared" si="1"/>
        <v>79705</v>
      </c>
      <c r="O10" s="11">
        <f t="shared" si="2"/>
        <v>120.99219000000001</v>
      </c>
      <c r="P10" s="4">
        <v>6000</v>
      </c>
      <c r="Q10" s="4">
        <f t="shared" si="3"/>
        <v>85705</v>
      </c>
      <c r="R10" s="4">
        <f t="shared" si="4"/>
        <v>130.1</v>
      </c>
      <c r="S10" s="4">
        <v>4000</v>
      </c>
      <c r="T10" s="4">
        <f t="shared" si="5"/>
        <v>89705</v>
      </c>
      <c r="U10" s="4">
        <f t="shared" si="6"/>
        <v>136.16999999999999</v>
      </c>
      <c r="V10" s="4"/>
      <c r="W10" s="4"/>
      <c r="X10" s="4"/>
      <c r="Y10" s="4">
        <v>120.99</v>
      </c>
      <c r="Z10" s="4">
        <v>5700</v>
      </c>
      <c r="AA10" s="4">
        <f t="shared" si="29"/>
        <v>95405</v>
      </c>
      <c r="AB10" s="20">
        <f t="shared" si="30"/>
        <v>144.82479000000001</v>
      </c>
      <c r="AC10" s="4">
        <v>-11650</v>
      </c>
      <c r="AD10" s="4">
        <f t="shared" si="31"/>
        <v>83755</v>
      </c>
      <c r="AE10" s="4">
        <f t="shared" si="32"/>
        <v>127.14</v>
      </c>
      <c r="AF10" s="4">
        <v>-4200</v>
      </c>
      <c r="AG10" s="4">
        <f t="shared" si="33"/>
        <v>79555</v>
      </c>
      <c r="AH10" s="4">
        <f t="shared" si="34"/>
        <v>120.76</v>
      </c>
      <c r="AI10" s="30">
        <v>1950</v>
      </c>
      <c r="AJ10" s="4">
        <f t="shared" si="35"/>
        <v>81505</v>
      </c>
      <c r="AK10" s="4">
        <f t="shared" si="36"/>
        <v>123.72</v>
      </c>
      <c r="AL10" s="30">
        <v>-4825</v>
      </c>
      <c r="AM10" s="4">
        <f t="shared" si="37"/>
        <v>76680</v>
      </c>
      <c r="AN10" s="4">
        <f t="shared" si="38"/>
        <v>116.4</v>
      </c>
      <c r="AO10" s="4">
        <f>1920</f>
        <v>1920</v>
      </c>
      <c r="AP10" s="4">
        <f t="shared" si="39"/>
        <v>78600</v>
      </c>
      <c r="AQ10" s="4">
        <f t="shared" si="40"/>
        <v>119.31</v>
      </c>
      <c r="AR10" s="4">
        <v>-1200</v>
      </c>
      <c r="AS10" s="4">
        <f t="shared" si="12"/>
        <v>77400</v>
      </c>
      <c r="AT10" s="20">
        <f t="shared" si="13"/>
        <v>117.4932</v>
      </c>
      <c r="AU10" s="4">
        <v>-2125</v>
      </c>
      <c r="AV10" s="4">
        <f t="shared" si="14"/>
        <v>75275</v>
      </c>
      <c r="AW10" s="20">
        <f t="shared" si="15"/>
        <v>114.26745</v>
      </c>
      <c r="AX10" s="4">
        <v>200</v>
      </c>
      <c r="AY10" s="4">
        <f t="shared" si="16"/>
        <v>75475</v>
      </c>
      <c r="AZ10" s="20">
        <f t="shared" si="17"/>
        <v>114.57105</v>
      </c>
      <c r="BA10" s="4">
        <v>-4150</v>
      </c>
      <c r="BB10" s="4">
        <f t="shared" si="18"/>
        <v>71325</v>
      </c>
      <c r="BC10" s="20">
        <f t="shared" si="19"/>
        <v>108.27135000000001</v>
      </c>
      <c r="BD10" s="4">
        <v>0</v>
      </c>
      <c r="BE10" s="4">
        <f t="shared" si="20"/>
        <v>71325</v>
      </c>
      <c r="BF10" s="20">
        <f t="shared" si="21"/>
        <v>108.27135000000001</v>
      </c>
      <c r="BG10" s="4">
        <v>2600</v>
      </c>
      <c r="BH10" s="4">
        <f t="shared" si="22"/>
        <v>73925</v>
      </c>
      <c r="BI10" s="20">
        <f t="shared" si="23"/>
        <v>112.21814999999999</v>
      </c>
      <c r="BJ10" s="4">
        <v>900</v>
      </c>
      <c r="BK10" s="4"/>
      <c r="BL10" s="4">
        <f t="shared" si="11"/>
        <v>74825</v>
      </c>
      <c r="BM10" s="20">
        <f t="shared" si="41"/>
        <v>113.58435</v>
      </c>
      <c r="BN10" s="4">
        <v>-2100</v>
      </c>
      <c r="BO10" s="4">
        <f t="shared" si="26"/>
        <v>72725</v>
      </c>
      <c r="BP10" s="20">
        <f t="shared" si="42"/>
        <v>110.39655</v>
      </c>
      <c r="BQ10" s="4">
        <v>1450</v>
      </c>
      <c r="BR10" s="4">
        <f t="shared" si="27"/>
        <v>74175</v>
      </c>
      <c r="BS10" s="20">
        <f t="shared" si="24"/>
        <v>112.59764999999999</v>
      </c>
      <c r="BT10" s="4">
        <v>5150</v>
      </c>
      <c r="BU10" s="4">
        <f t="shared" si="28"/>
        <v>79325</v>
      </c>
      <c r="BV10" s="20">
        <f t="shared" si="25"/>
        <v>120.41535</v>
      </c>
    </row>
    <row r="11" spans="1:74" hidden="1" x14ac:dyDescent="0.25">
      <c r="A11" s="4" t="s">
        <v>39</v>
      </c>
      <c r="B11" s="4" t="s">
        <v>40</v>
      </c>
      <c r="C11" s="4" t="s">
        <v>18</v>
      </c>
      <c r="D11" s="4">
        <v>40</v>
      </c>
      <c r="E11" s="4">
        <v>25</v>
      </c>
      <c r="F11" s="4">
        <v>2</v>
      </c>
      <c r="G11" s="4" t="str">
        <f t="shared" si="0"/>
        <v>40-25-2</v>
      </c>
      <c r="H11" s="10">
        <v>1.861</v>
      </c>
      <c r="I11" s="4">
        <v>65875</v>
      </c>
      <c r="J11" s="4">
        <v>500</v>
      </c>
      <c r="K11" s="4"/>
      <c r="L11" s="4"/>
      <c r="M11" s="4">
        <v>7500</v>
      </c>
      <c r="N11" s="4">
        <f t="shared" si="1"/>
        <v>73875</v>
      </c>
      <c r="O11" s="11">
        <f t="shared" si="2"/>
        <v>137.48137500000001</v>
      </c>
      <c r="P11" s="4">
        <v>5600</v>
      </c>
      <c r="Q11" s="4">
        <f t="shared" si="3"/>
        <v>79475</v>
      </c>
      <c r="R11" s="4">
        <f t="shared" si="4"/>
        <v>147.9</v>
      </c>
      <c r="S11" s="4">
        <v>3900</v>
      </c>
      <c r="T11" s="4">
        <f t="shared" si="5"/>
        <v>83375</v>
      </c>
      <c r="U11" s="4">
        <f t="shared" si="6"/>
        <v>155.16</v>
      </c>
      <c r="V11" s="4"/>
      <c r="W11" s="4"/>
      <c r="X11" s="4"/>
      <c r="Y11" s="21">
        <v>137.47999999999999</v>
      </c>
      <c r="Z11" s="4">
        <v>6000</v>
      </c>
      <c r="AA11" s="4">
        <f>Z11+T11</f>
        <v>89375</v>
      </c>
      <c r="AB11" s="4">
        <f>ROUND(AA11*H11/1000,2)</f>
        <v>166.33</v>
      </c>
      <c r="AC11" s="4">
        <v>-10200</v>
      </c>
      <c r="AD11" s="4">
        <f t="shared" si="31"/>
        <v>79175</v>
      </c>
      <c r="AE11" s="4">
        <f t="shared" si="32"/>
        <v>147.34</v>
      </c>
      <c r="AF11" s="4">
        <v>-4900</v>
      </c>
      <c r="AG11" s="4">
        <f t="shared" si="33"/>
        <v>74275</v>
      </c>
      <c r="AH11" s="4">
        <f t="shared" si="34"/>
        <v>138.22999999999999</v>
      </c>
      <c r="AI11" s="30">
        <v>3300</v>
      </c>
      <c r="AJ11" s="4">
        <f t="shared" ref="AJ11:AJ17" si="43">AG11+AI11</f>
        <v>77575</v>
      </c>
      <c r="AK11" s="4">
        <f t="shared" ref="AK11:AK17" si="44">ROUND(AJ11*H11/1000,2)</f>
        <v>144.37</v>
      </c>
      <c r="AL11" s="30">
        <v>-3800</v>
      </c>
      <c r="AM11" s="4">
        <f t="shared" ref="AM11:AM17" si="45">AJ11+AL11</f>
        <v>73775</v>
      </c>
      <c r="AN11" s="4">
        <f t="shared" ref="AN11:AN17" si="46">ROUND(AM11*H11/1000,2)</f>
        <v>137.30000000000001</v>
      </c>
      <c r="AO11" s="4">
        <f>2000</f>
        <v>2000</v>
      </c>
      <c r="AP11" s="4">
        <f t="shared" ref="AP11:AP17" si="47">AM11+AO11</f>
        <v>75775</v>
      </c>
      <c r="AQ11" s="4">
        <f t="shared" ref="AQ11:AQ17" si="48">ROUND(AP11*H11/1000,2)</f>
        <v>141.02000000000001</v>
      </c>
      <c r="AR11" s="4">
        <v>-1950</v>
      </c>
      <c r="AS11" s="4">
        <f t="shared" si="12"/>
        <v>73825</v>
      </c>
      <c r="AT11" s="20">
        <f t="shared" si="13"/>
        <v>137.38832500000001</v>
      </c>
      <c r="AU11" s="4">
        <v>-2625</v>
      </c>
      <c r="AV11" s="4">
        <f t="shared" si="14"/>
        <v>71200</v>
      </c>
      <c r="AW11" s="20">
        <f t="shared" si="15"/>
        <v>132.50320000000002</v>
      </c>
      <c r="AX11" s="4">
        <v>500</v>
      </c>
      <c r="AY11" s="4">
        <f t="shared" si="16"/>
        <v>71700</v>
      </c>
      <c r="AZ11" s="20">
        <f t="shared" si="17"/>
        <v>133.43370000000002</v>
      </c>
      <c r="BA11" s="4">
        <v>-4750</v>
      </c>
      <c r="BB11" s="4">
        <f t="shared" si="18"/>
        <v>66950</v>
      </c>
      <c r="BC11" s="20">
        <f t="shared" si="19"/>
        <v>124.59394999999999</v>
      </c>
      <c r="BD11" s="4">
        <v>0</v>
      </c>
      <c r="BE11" s="4">
        <f t="shared" si="20"/>
        <v>66950</v>
      </c>
      <c r="BF11" s="20">
        <f t="shared" si="21"/>
        <v>124.59394999999999</v>
      </c>
      <c r="BG11" s="4">
        <v>2600</v>
      </c>
      <c r="BH11" s="4">
        <f t="shared" si="22"/>
        <v>69550</v>
      </c>
      <c r="BI11" s="20">
        <f t="shared" si="23"/>
        <v>129.43254999999999</v>
      </c>
      <c r="BJ11" s="4">
        <v>1000</v>
      </c>
      <c r="BK11" s="4"/>
      <c r="BL11" s="4">
        <f t="shared" si="11"/>
        <v>70550</v>
      </c>
      <c r="BM11" s="20">
        <f t="shared" ref="BM11:BM17" si="49">BL11*H11/1000</f>
        <v>131.29354999999998</v>
      </c>
      <c r="BN11" s="4">
        <v>-2150</v>
      </c>
      <c r="BO11" s="4">
        <f t="shared" ref="BO11" si="50">BL11+BN11</f>
        <v>68400</v>
      </c>
      <c r="BP11" s="20">
        <f t="shared" ref="BP11:BP17" si="51">BO11*H11/1000</f>
        <v>127.2924</v>
      </c>
      <c r="BQ11" s="4">
        <v>1500</v>
      </c>
      <c r="BR11" s="4">
        <f t="shared" si="27"/>
        <v>69900</v>
      </c>
      <c r="BS11" s="20">
        <f t="shared" si="24"/>
        <v>130.0839</v>
      </c>
      <c r="BT11" s="4">
        <v>5500</v>
      </c>
      <c r="BU11" s="4">
        <f t="shared" si="28"/>
        <v>75400</v>
      </c>
      <c r="BV11" s="20">
        <f t="shared" si="25"/>
        <v>140.3194</v>
      </c>
    </row>
    <row r="12" spans="1:74" hidden="1" x14ac:dyDescent="0.25">
      <c r="A12" s="4" t="s">
        <v>39</v>
      </c>
      <c r="B12" s="4" t="s">
        <v>40</v>
      </c>
      <c r="C12" s="4" t="s">
        <v>15</v>
      </c>
      <c r="D12" s="4">
        <v>40</v>
      </c>
      <c r="E12" s="4">
        <v>30</v>
      </c>
      <c r="F12" s="4">
        <v>1.6</v>
      </c>
      <c r="G12" s="4" t="str">
        <f t="shared" si="0"/>
        <v>40-30-1.6</v>
      </c>
      <c r="H12" s="10">
        <v>1.643</v>
      </c>
      <c r="I12" s="4">
        <v>69405</v>
      </c>
      <c r="J12" s="4">
        <v>500</v>
      </c>
      <c r="K12" s="4"/>
      <c r="L12" s="4"/>
      <c r="M12" s="4">
        <v>9800</v>
      </c>
      <c r="N12" s="4">
        <f t="shared" si="1"/>
        <v>79705</v>
      </c>
      <c r="O12" s="11">
        <f t="shared" si="2"/>
        <v>130.95531500000001</v>
      </c>
      <c r="P12" s="4">
        <v>6000</v>
      </c>
      <c r="Q12" s="4">
        <f t="shared" si="3"/>
        <v>85705</v>
      </c>
      <c r="R12" s="4">
        <f t="shared" si="4"/>
        <v>140.81</v>
      </c>
      <c r="S12" s="4">
        <v>4000</v>
      </c>
      <c r="T12" s="4">
        <f t="shared" si="5"/>
        <v>89705</v>
      </c>
      <c r="U12" s="4">
        <f t="shared" si="6"/>
        <v>147.38999999999999</v>
      </c>
      <c r="V12" s="4"/>
      <c r="W12" s="4"/>
      <c r="X12" s="4"/>
      <c r="Y12" s="4">
        <v>130.96</v>
      </c>
      <c r="Z12" s="4">
        <v>5700</v>
      </c>
      <c r="AA12" s="22">
        <f>T12+Z12</f>
        <v>95405</v>
      </c>
      <c r="AB12" s="23">
        <f>$H12*AA12/1000</f>
        <v>156.750415</v>
      </c>
      <c r="AC12" s="4">
        <v>-11650</v>
      </c>
      <c r="AD12" s="22">
        <f t="shared" si="31"/>
        <v>83755</v>
      </c>
      <c r="AE12" s="22">
        <f t="shared" si="32"/>
        <v>137.61000000000001</v>
      </c>
      <c r="AF12" s="4">
        <v>-4200</v>
      </c>
      <c r="AG12" s="4">
        <f t="shared" si="33"/>
        <v>79555</v>
      </c>
      <c r="AH12" s="4">
        <f t="shared" si="34"/>
        <v>130.71</v>
      </c>
      <c r="AI12" s="30">
        <v>1950</v>
      </c>
      <c r="AJ12" s="4">
        <f t="shared" si="43"/>
        <v>81505</v>
      </c>
      <c r="AK12" s="4">
        <f t="shared" si="44"/>
        <v>133.91</v>
      </c>
      <c r="AL12" s="30">
        <v>-4825</v>
      </c>
      <c r="AM12" s="4">
        <f t="shared" si="45"/>
        <v>76680</v>
      </c>
      <c r="AN12" s="4">
        <f t="shared" si="46"/>
        <v>125.99</v>
      </c>
      <c r="AO12" s="4">
        <f>1920</f>
        <v>1920</v>
      </c>
      <c r="AP12" s="4">
        <f t="shared" si="47"/>
        <v>78600</v>
      </c>
      <c r="AQ12" s="4">
        <f t="shared" si="48"/>
        <v>129.13999999999999</v>
      </c>
      <c r="AR12" s="4">
        <v>-1200</v>
      </c>
      <c r="AS12" s="4">
        <f t="shared" si="12"/>
        <v>77400</v>
      </c>
      <c r="AT12" s="20">
        <f t="shared" si="13"/>
        <v>127.1682</v>
      </c>
      <c r="AU12" s="4">
        <v>-2125</v>
      </c>
      <c r="AV12" s="4">
        <f t="shared" si="14"/>
        <v>75275</v>
      </c>
      <c r="AW12" s="20">
        <f t="shared" si="15"/>
        <v>123.67682499999999</v>
      </c>
      <c r="AX12" s="4">
        <v>200</v>
      </c>
      <c r="AY12" s="4">
        <f t="shared" si="16"/>
        <v>75475</v>
      </c>
      <c r="AZ12" s="20">
        <f t="shared" si="17"/>
        <v>124.005425</v>
      </c>
      <c r="BA12" s="4">
        <v>-4150</v>
      </c>
      <c r="BB12" s="4">
        <f t="shared" si="18"/>
        <v>71325</v>
      </c>
      <c r="BC12" s="20">
        <f t="shared" si="19"/>
        <v>117.186975</v>
      </c>
      <c r="BD12" s="4">
        <v>0</v>
      </c>
      <c r="BE12" s="4">
        <f t="shared" si="20"/>
        <v>71325</v>
      </c>
      <c r="BF12" s="20">
        <f t="shared" si="21"/>
        <v>117.186975</v>
      </c>
      <c r="BG12" s="4">
        <v>2600</v>
      </c>
      <c r="BH12" s="4">
        <f t="shared" si="22"/>
        <v>73925</v>
      </c>
      <c r="BI12" s="20">
        <f t="shared" si="23"/>
        <v>121.45877499999999</v>
      </c>
      <c r="BJ12" s="4">
        <v>900</v>
      </c>
      <c r="BK12" s="4"/>
      <c r="BL12" s="4">
        <f t="shared" si="11"/>
        <v>74825</v>
      </c>
      <c r="BM12" s="20">
        <f t="shared" si="49"/>
        <v>122.93747500000001</v>
      </c>
      <c r="BN12" s="4">
        <v>-2100</v>
      </c>
      <c r="BO12" s="4">
        <f>BL12+BN12</f>
        <v>72725</v>
      </c>
      <c r="BP12" s="20">
        <f t="shared" si="51"/>
        <v>119.48717500000001</v>
      </c>
      <c r="BQ12" s="4">
        <v>1450</v>
      </c>
      <c r="BR12" s="4">
        <f>BO12+BQ12</f>
        <v>74175</v>
      </c>
      <c r="BS12" s="20">
        <f t="shared" si="24"/>
        <v>121.869525</v>
      </c>
      <c r="BT12" s="4">
        <v>5150</v>
      </c>
      <c r="BU12" s="4">
        <f>BR12+BT12</f>
        <v>79325</v>
      </c>
      <c r="BV12" s="20">
        <f t="shared" si="25"/>
        <v>130.330975</v>
      </c>
    </row>
    <row r="13" spans="1:74" hidden="1" x14ac:dyDescent="0.25">
      <c r="A13" s="4" t="s">
        <v>39</v>
      </c>
      <c r="B13" s="4" t="s">
        <v>40</v>
      </c>
      <c r="C13" s="4" t="s">
        <v>18</v>
      </c>
      <c r="D13" s="4">
        <v>40</v>
      </c>
      <c r="E13" s="4">
        <v>30</v>
      </c>
      <c r="F13" s="4">
        <v>2</v>
      </c>
      <c r="G13" s="4" t="str">
        <f t="shared" si="0"/>
        <v>40-30-2</v>
      </c>
      <c r="H13" s="10">
        <v>2.0179999999999998</v>
      </c>
      <c r="I13" s="4">
        <v>65875</v>
      </c>
      <c r="J13" s="4">
        <v>500</v>
      </c>
      <c r="K13" s="4"/>
      <c r="L13" s="4"/>
      <c r="M13" s="4">
        <v>7500</v>
      </c>
      <c r="N13" s="4">
        <f t="shared" si="1"/>
        <v>73875</v>
      </c>
      <c r="O13" s="11">
        <f t="shared" si="2"/>
        <v>149.07974999999996</v>
      </c>
      <c r="P13" s="4">
        <v>5600</v>
      </c>
      <c r="Q13" s="4">
        <f t="shared" si="3"/>
        <v>79475</v>
      </c>
      <c r="R13" s="4">
        <f t="shared" si="4"/>
        <v>160.38</v>
      </c>
      <c r="S13" s="4">
        <v>3900</v>
      </c>
      <c r="T13" s="4">
        <f t="shared" si="5"/>
        <v>83375</v>
      </c>
      <c r="U13" s="4">
        <f t="shared" si="6"/>
        <v>168.25</v>
      </c>
      <c r="V13" s="4"/>
      <c r="W13" s="4"/>
      <c r="X13" s="4"/>
      <c r="Y13" s="21">
        <v>149.08000000000001</v>
      </c>
      <c r="Z13" s="4">
        <v>6000</v>
      </c>
      <c r="AA13" s="4">
        <f>Z13+T13</f>
        <v>89375</v>
      </c>
      <c r="AB13" s="4">
        <f>ROUND(AA13*H13/1000,2)</f>
        <v>180.36</v>
      </c>
      <c r="AC13" s="4">
        <v>-10200</v>
      </c>
      <c r="AD13" s="4">
        <f t="shared" si="31"/>
        <v>79175</v>
      </c>
      <c r="AE13" s="4">
        <f t="shared" si="32"/>
        <v>159.78</v>
      </c>
      <c r="AF13" s="4">
        <v>-4900</v>
      </c>
      <c r="AG13" s="4">
        <f t="shared" si="33"/>
        <v>74275</v>
      </c>
      <c r="AH13" s="4">
        <f t="shared" si="34"/>
        <v>149.88999999999999</v>
      </c>
      <c r="AI13" s="30">
        <v>3300</v>
      </c>
      <c r="AJ13" s="4">
        <f t="shared" si="43"/>
        <v>77575</v>
      </c>
      <c r="AK13" s="4">
        <f t="shared" si="44"/>
        <v>156.55000000000001</v>
      </c>
      <c r="AL13" s="30">
        <v>-3800</v>
      </c>
      <c r="AM13" s="4">
        <f t="shared" si="45"/>
        <v>73775</v>
      </c>
      <c r="AN13" s="4">
        <f t="shared" si="46"/>
        <v>148.88</v>
      </c>
      <c r="AO13" s="4">
        <f>2000</f>
        <v>2000</v>
      </c>
      <c r="AP13" s="4">
        <f t="shared" si="47"/>
        <v>75775</v>
      </c>
      <c r="AQ13" s="4">
        <f t="shared" si="48"/>
        <v>152.91</v>
      </c>
      <c r="AR13" s="4">
        <v>-1950</v>
      </c>
      <c r="AS13" s="4">
        <f t="shared" si="12"/>
        <v>73825</v>
      </c>
      <c r="AT13" s="20">
        <f t="shared" si="13"/>
        <v>148.97884999999997</v>
      </c>
      <c r="AU13" s="4">
        <v>-2625</v>
      </c>
      <c r="AV13" s="4">
        <f t="shared" si="14"/>
        <v>71200</v>
      </c>
      <c r="AW13" s="20">
        <f t="shared" si="15"/>
        <v>143.68159999999997</v>
      </c>
      <c r="AX13" s="4">
        <v>500</v>
      </c>
      <c r="AY13" s="4">
        <f t="shared" si="16"/>
        <v>71700</v>
      </c>
      <c r="AZ13" s="20">
        <f t="shared" si="17"/>
        <v>144.69059999999999</v>
      </c>
      <c r="BA13" s="4">
        <v>-4750</v>
      </c>
      <c r="BB13" s="4">
        <f t="shared" si="18"/>
        <v>66950</v>
      </c>
      <c r="BC13" s="20">
        <f t="shared" si="19"/>
        <v>135.10509999999996</v>
      </c>
      <c r="BD13" s="4">
        <v>0</v>
      </c>
      <c r="BE13" s="4">
        <f t="shared" si="20"/>
        <v>66950</v>
      </c>
      <c r="BF13" s="20">
        <f t="shared" si="21"/>
        <v>135.10509999999996</v>
      </c>
      <c r="BG13" s="4">
        <v>2600</v>
      </c>
      <c r="BH13" s="4">
        <f t="shared" si="22"/>
        <v>69550</v>
      </c>
      <c r="BI13" s="20">
        <f t="shared" si="23"/>
        <v>140.3519</v>
      </c>
      <c r="BJ13" s="4">
        <v>1000</v>
      </c>
      <c r="BK13" s="4"/>
      <c r="BL13" s="4">
        <f t="shared" si="11"/>
        <v>70550</v>
      </c>
      <c r="BM13" s="20">
        <f t="shared" si="49"/>
        <v>142.3699</v>
      </c>
      <c r="BN13" s="4">
        <v>-2150</v>
      </c>
      <c r="BO13" s="4">
        <f t="shared" ref="BO13" si="52">BL13+BN13</f>
        <v>68400</v>
      </c>
      <c r="BP13" s="20">
        <f t="shared" si="51"/>
        <v>138.03119999999998</v>
      </c>
      <c r="BQ13" s="4">
        <v>1500</v>
      </c>
      <c r="BR13" s="4">
        <f t="shared" ref="BR13" si="53">BO13+BQ13</f>
        <v>69900</v>
      </c>
      <c r="BS13" s="20">
        <f t="shared" si="24"/>
        <v>141.05819999999997</v>
      </c>
      <c r="BT13" s="4">
        <v>5500</v>
      </c>
      <c r="BU13" s="4">
        <f t="shared" ref="BU13" si="54">BR13+BT13</f>
        <v>75400</v>
      </c>
      <c r="BV13" s="20">
        <f t="shared" si="25"/>
        <v>152.15719999999999</v>
      </c>
    </row>
    <row r="14" spans="1:74" hidden="1" x14ac:dyDescent="0.25">
      <c r="A14" s="4" t="s">
        <v>39</v>
      </c>
      <c r="B14" s="4" t="s">
        <v>40</v>
      </c>
      <c r="C14" s="4" t="s">
        <v>15</v>
      </c>
      <c r="D14" s="4">
        <v>50</v>
      </c>
      <c r="E14" s="4">
        <v>30</v>
      </c>
      <c r="F14" s="4">
        <v>1.6</v>
      </c>
      <c r="G14" s="4" t="str">
        <f t="shared" si="0"/>
        <v>50-30-1.6</v>
      </c>
      <c r="H14" s="10">
        <v>1.895</v>
      </c>
      <c r="I14" s="4">
        <v>69405</v>
      </c>
      <c r="J14" s="4">
        <v>500</v>
      </c>
      <c r="K14" s="4"/>
      <c r="L14" s="4"/>
      <c r="M14" s="4">
        <v>9800</v>
      </c>
      <c r="N14" s="4">
        <f t="shared" si="1"/>
        <v>79705</v>
      </c>
      <c r="O14" s="11">
        <f t="shared" si="2"/>
        <v>151.040975</v>
      </c>
      <c r="P14" s="4">
        <v>6000</v>
      </c>
      <c r="Q14" s="4">
        <f t="shared" si="3"/>
        <v>85705</v>
      </c>
      <c r="R14" s="4">
        <f t="shared" si="4"/>
        <v>162.41</v>
      </c>
      <c r="S14" s="4">
        <v>4000</v>
      </c>
      <c r="T14" s="4">
        <f t="shared" si="5"/>
        <v>89705</v>
      </c>
      <c r="U14" s="4">
        <f t="shared" si="6"/>
        <v>169.99</v>
      </c>
      <c r="V14" s="4"/>
      <c r="W14" s="4"/>
      <c r="X14" s="4">
        <v>0.47</v>
      </c>
      <c r="Y14" s="4">
        <v>151.51</v>
      </c>
      <c r="Z14" s="4">
        <v>5700</v>
      </c>
      <c r="AA14" s="22">
        <f>T14+Z14</f>
        <v>95405</v>
      </c>
      <c r="AB14" s="23">
        <f>$H14*AA14/1000</f>
        <v>180.792475</v>
      </c>
      <c r="AC14" s="4">
        <v>-11650</v>
      </c>
      <c r="AD14" s="22">
        <f t="shared" si="31"/>
        <v>83755</v>
      </c>
      <c r="AE14" s="22">
        <f t="shared" si="32"/>
        <v>158.72</v>
      </c>
      <c r="AF14" s="4">
        <v>-4200</v>
      </c>
      <c r="AG14" s="4">
        <f t="shared" si="33"/>
        <v>79555</v>
      </c>
      <c r="AH14" s="4">
        <f t="shared" si="34"/>
        <v>150.76</v>
      </c>
      <c r="AI14" s="30">
        <v>1950</v>
      </c>
      <c r="AJ14" s="4">
        <f t="shared" si="43"/>
        <v>81505</v>
      </c>
      <c r="AK14" s="4">
        <f t="shared" si="44"/>
        <v>154.44999999999999</v>
      </c>
      <c r="AL14" s="30">
        <v>-4825</v>
      </c>
      <c r="AM14" s="4">
        <f t="shared" si="45"/>
        <v>76680</v>
      </c>
      <c r="AN14" s="4">
        <f t="shared" si="46"/>
        <v>145.31</v>
      </c>
      <c r="AO14" s="4">
        <f>1920</f>
        <v>1920</v>
      </c>
      <c r="AP14" s="4">
        <f t="shared" si="47"/>
        <v>78600</v>
      </c>
      <c r="AQ14" s="4">
        <f t="shared" si="48"/>
        <v>148.94999999999999</v>
      </c>
      <c r="AR14" s="4">
        <v>-1200</v>
      </c>
      <c r="AS14" s="4">
        <f t="shared" si="12"/>
        <v>77400</v>
      </c>
      <c r="AT14" s="20">
        <f t="shared" si="13"/>
        <v>146.673</v>
      </c>
      <c r="AU14" s="4">
        <v>-2125</v>
      </c>
      <c r="AV14" s="4">
        <f t="shared" si="14"/>
        <v>75275</v>
      </c>
      <c r="AW14" s="20">
        <f t="shared" si="15"/>
        <v>142.64612500000001</v>
      </c>
      <c r="AX14" s="4">
        <v>200</v>
      </c>
      <c r="AY14" s="4">
        <f t="shared" si="16"/>
        <v>75475</v>
      </c>
      <c r="AZ14" s="20">
        <f t="shared" si="17"/>
        <v>143.025125</v>
      </c>
      <c r="BA14" s="4">
        <v>-4150</v>
      </c>
      <c r="BB14" s="4">
        <f t="shared" si="18"/>
        <v>71325</v>
      </c>
      <c r="BC14" s="20">
        <f t="shared" si="19"/>
        <v>135.160875</v>
      </c>
      <c r="BD14" s="4">
        <v>0</v>
      </c>
      <c r="BE14" s="4">
        <f t="shared" si="20"/>
        <v>71325</v>
      </c>
      <c r="BF14" s="20">
        <f t="shared" si="21"/>
        <v>135.160875</v>
      </c>
      <c r="BG14" s="4">
        <v>2600</v>
      </c>
      <c r="BH14" s="4">
        <f t="shared" si="22"/>
        <v>73925</v>
      </c>
      <c r="BI14" s="20">
        <f t="shared" si="23"/>
        <v>140.087875</v>
      </c>
      <c r="BJ14" s="4">
        <v>900</v>
      </c>
      <c r="BK14" s="4"/>
      <c r="BL14" s="4">
        <f t="shared" si="11"/>
        <v>74825</v>
      </c>
      <c r="BM14" s="20">
        <f t="shared" si="49"/>
        <v>141.793375</v>
      </c>
      <c r="BN14" s="4">
        <v>-2100</v>
      </c>
      <c r="BO14" s="4">
        <f>BL14+BN14</f>
        <v>72725</v>
      </c>
      <c r="BP14" s="20">
        <f t="shared" si="51"/>
        <v>137.813875</v>
      </c>
      <c r="BQ14" s="4">
        <v>1450</v>
      </c>
      <c r="BR14" s="4">
        <f>BO14+BQ14</f>
        <v>74175</v>
      </c>
      <c r="BS14" s="20">
        <f t="shared" si="24"/>
        <v>140.56162499999999</v>
      </c>
      <c r="BT14" s="4">
        <v>5150</v>
      </c>
      <c r="BU14" s="4">
        <f>BR14+BT14</f>
        <v>79325</v>
      </c>
      <c r="BV14" s="20">
        <f t="shared" si="25"/>
        <v>150.320875</v>
      </c>
    </row>
    <row r="15" spans="1:74" hidden="1" x14ac:dyDescent="0.25">
      <c r="A15" s="4" t="s">
        <v>39</v>
      </c>
      <c r="B15" s="4" t="s">
        <v>40</v>
      </c>
      <c r="C15" s="4" t="s">
        <v>18</v>
      </c>
      <c r="D15" s="4">
        <v>50</v>
      </c>
      <c r="E15" s="4">
        <v>30</v>
      </c>
      <c r="F15" s="4">
        <v>2</v>
      </c>
      <c r="G15" s="4" t="str">
        <f t="shared" si="0"/>
        <v>50-30-2</v>
      </c>
      <c r="H15" s="10">
        <v>2.3319999999999999</v>
      </c>
      <c r="I15" s="4">
        <v>65875</v>
      </c>
      <c r="J15" s="4">
        <v>500</v>
      </c>
      <c r="K15" s="4"/>
      <c r="L15" s="4"/>
      <c r="M15" s="4">
        <v>7500</v>
      </c>
      <c r="N15" s="4">
        <f t="shared" si="1"/>
        <v>73875</v>
      </c>
      <c r="O15" s="11">
        <f t="shared" si="2"/>
        <v>172.2765</v>
      </c>
      <c r="P15" s="4">
        <v>5600</v>
      </c>
      <c r="Q15" s="4">
        <f t="shared" si="3"/>
        <v>79475</v>
      </c>
      <c r="R15" s="4">
        <f t="shared" si="4"/>
        <v>185.34</v>
      </c>
      <c r="S15" s="4">
        <v>3900</v>
      </c>
      <c r="T15" s="4">
        <f t="shared" si="5"/>
        <v>83375</v>
      </c>
      <c r="U15" s="4">
        <f t="shared" si="6"/>
        <v>194.43</v>
      </c>
      <c r="V15" s="4"/>
      <c r="W15" s="4"/>
      <c r="X15" s="4"/>
      <c r="Y15" s="21">
        <v>172.28</v>
      </c>
      <c r="Z15" s="4">
        <v>6000</v>
      </c>
      <c r="AA15" s="4">
        <f>Z15+T15</f>
        <v>89375</v>
      </c>
      <c r="AB15" s="4">
        <f>ROUND(AA15*H15/1000,2)</f>
        <v>208.42</v>
      </c>
      <c r="AC15" s="4">
        <v>-10200</v>
      </c>
      <c r="AD15" s="4">
        <f t="shared" si="31"/>
        <v>79175</v>
      </c>
      <c r="AE15" s="4">
        <f t="shared" si="32"/>
        <v>184.64</v>
      </c>
      <c r="AF15" s="4">
        <v>-4900</v>
      </c>
      <c r="AG15" s="4">
        <f t="shared" si="33"/>
        <v>74275</v>
      </c>
      <c r="AH15" s="4">
        <f t="shared" si="34"/>
        <v>173.21</v>
      </c>
      <c r="AI15" s="30">
        <v>3300</v>
      </c>
      <c r="AJ15" s="4">
        <f t="shared" si="43"/>
        <v>77575</v>
      </c>
      <c r="AK15" s="4">
        <f t="shared" si="44"/>
        <v>180.9</v>
      </c>
      <c r="AL15" s="30">
        <v>-3800</v>
      </c>
      <c r="AM15" s="4">
        <f t="shared" si="45"/>
        <v>73775</v>
      </c>
      <c r="AN15" s="4">
        <f t="shared" si="46"/>
        <v>172.04</v>
      </c>
      <c r="AO15" s="4">
        <f>2000</f>
        <v>2000</v>
      </c>
      <c r="AP15" s="4">
        <f t="shared" si="47"/>
        <v>75775</v>
      </c>
      <c r="AQ15" s="4">
        <f t="shared" si="48"/>
        <v>176.71</v>
      </c>
      <c r="AR15" s="4">
        <v>-1950</v>
      </c>
      <c r="AS15" s="4">
        <f t="shared" si="12"/>
        <v>73825</v>
      </c>
      <c r="AT15" s="20">
        <f t="shared" si="13"/>
        <v>172.15989999999999</v>
      </c>
      <c r="AU15" s="4">
        <v>-2625</v>
      </c>
      <c r="AV15" s="4">
        <f t="shared" si="14"/>
        <v>71200</v>
      </c>
      <c r="AW15" s="20">
        <f t="shared" si="15"/>
        <v>166.0384</v>
      </c>
      <c r="AX15" s="4">
        <v>500</v>
      </c>
      <c r="AY15" s="4">
        <f t="shared" si="16"/>
        <v>71700</v>
      </c>
      <c r="AZ15" s="20">
        <f t="shared" si="17"/>
        <v>167.20439999999999</v>
      </c>
      <c r="BA15" s="4">
        <v>-4750</v>
      </c>
      <c r="BB15" s="4">
        <f t="shared" si="18"/>
        <v>66950</v>
      </c>
      <c r="BC15" s="20">
        <f t="shared" si="19"/>
        <v>156.12739999999999</v>
      </c>
      <c r="BD15" s="4">
        <v>0</v>
      </c>
      <c r="BE15" s="4">
        <f t="shared" si="20"/>
        <v>66950</v>
      </c>
      <c r="BF15" s="20">
        <f t="shared" si="21"/>
        <v>156.12739999999999</v>
      </c>
      <c r="BG15" s="4">
        <v>2600</v>
      </c>
      <c r="BH15" s="4">
        <f t="shared" si="22"/>
        <v>69550</v>
      </c>
      <c r="BI15" s="20">
        <f t="shared" si="23"/>
        <v>162.19059999999999</v>
      </c>
      <c r="BJ15" s="4">
        <v>1000</v>
      </c>
      <c r="BK15" s="4"/>
      <c r="BL15" s="4">
        <f t="shared" si="11"/>
        <v>70550</v>
      </c>
      <c r="BM15" s="20">
        <f t="shared" si="49"/>
        <v>164.52259999999998</v>
      </c>
      <c r="BN15" s="4">
        <v>-2150</v>
      </c>
      <c r="BO15" s="4">
        <f t="shared" ref="BO15" si="55">BL15+BN15</f>
        <v>68400</v>
      </c>
      <c r="BP15" s="20">
        <f t="shared" si="51"/>
        <v>159.50879999999998</v>
      </c>
      <c r="BQ15" s="4">
        <v>1500</v>
      </c>
      <c r="BR15" s="4">
        <f t="shared" ref="BR15" si="56">BO15+BQ15</f>
        <v>69900</v>
      </c>
      <c r="BS15" s="20">
        <f t="shared" si="24"/>
        <v>163.0068</v>
      </c>
      <c r="BT15" s="4">
        <v>5500</v>
      </c>
      <c r="BU15" s="4">
        <f t="shared" ref="BU15" si="57">BR15+BT15</f>
        <v>75400</v>
      </c>
      <c r="BV15" s="20">
        <f t="shared" si="25"/>
        <v>175.83279999999999</v>
      </c>
    </row>
    <row r="16" spans="1:74" hidden="1" x14ac:dyDescent="0.25">
      <c r="A16" s="4" t="s">
        <v>39</v>
      </c>
      <c r="B16" s="4" t="s">
        <v>40</v>
      </c>
      <c r="C16" s="4" t="s">
        <v>15</v>
      </c>
      <c r="D16" s="4">
        <v>50</v>
      </c>
      <c r="E16" s="4">
        <v>50</v>
      </c>
      <c r="F16" s="4">
        <v>1.6</v>
      </c>
      <c r="G16" s="4" t="str">
        <f t="shared" si="0"/>
        <v>50-50-1.6</v>
      </c>
      <c r="H16" s="10">
        <v>2.3969999999999998</v>
      </c>
      <c r="I16" s="4">
        <v>69405</v>
      </c>
      <c r="J16" s="4">
        <v>500</v>
      </c>
      <c r="K16" s="4"/>
      <c r="L16" s="4"/>
      <c r="M16" s="4">
        <v>9800</v>
      </c>
      <c r="N16" s="4">
        <f t="shared" si="1"/>
        <v>79705</v>
      </c>
      <c r="O16" s="11">
        <f t="shared" si="2"/>
        <v>191.05288499999997</v>
      </c>
      <c r="P16" s="4">
        <v>6000</v>
      </c>
      <c r="Q16" s="4">
        <f t="shared" si="3"/>
        <v>85705</v>
      </c>
      <c r="R16" s="4">
        <f t="shared" si="4"/>
        <v>205.43</v>
      </c>
      <c r="S16" s="4">
        <v>4000</v>
      </c>
      <c r="T16" s="4">
        <f t="shared" si="5"/>
        <v>89705</v>
      </c>
      <c r="U16" s="4">
        <f t="shared" si="6"/>
        <v>215.02</v>
      </c>
      <c r="V16" s="4"/>
      <c r="W16" s="4"/>
      <c r="X16" s="4"/>
      <c r="Y16" s="4">
        <v>191.05</v>
      </c>
      <c r="Z16" s="4">
        <v>5700</v>
      </c>
      <c r="AA16" s="22">
        <f>T16+Z16</f>
        <v>95405</v>
      </c>
      <c r="AB16" s="23">
        <f>$H16*AA16/1000</f>
        <v>228.68578499999998</v>
      </c>
      <c r="AC16" s="4">
        <v>-11650</v>
      </c>
      <c r="AD16" s="22">
        <f t="shared" si="31"/>
        <v>83755</v>
      </c>
      <c r="AE16" s="22">
        <f t="shared" si="32"/>
        <v>200.76</v>
      </c>
      <c r="AF16" s="4">
        <v>-4200</v>
      </c>
      <c r="AG16" s="4">
        <f t="shared" si="33"/>
        <v>79555</v>
      </c>
      <c r="AH16" s="4">
        <f t="shared" si="34"/>
        <v>190.69</v>
      </c>
      <c r="AI16" s="30">
        <v>1950</v>
      </c>
      <c r="AJ16" s="4">
        <f t="shared" si="43"/>
        <v>81505</v>
      </c>
      <c r="AK16" s="4">
        <f t="shared" si="44"/>
        <v>195.37</v>
      </c>
      <c r="AL16" s="30">
        <v>-4825</v>
      </c>
      <c r="AM16" s="4">
        <f t="shared" si="45"/>
        <v>76680</v>
      </c>
      <c r="AN16" s="4">
        <f t="shared" si="46"/>
        <v>183.8</v>
      </c>
      <c r="AO16" s="4">
        <f>1920</f>
        <v>1920</v>
      </c>
      <c r="AP16" s="4">
        <f t="shared" si="47"/>
        <v>78600</v>
      </c>
      <c r="AQ16" s="4">
        <f t="shared" si="48"/>
        <v>188.4</v>
      </c>
      <c r="AR16" s="4">
        <v>-1200</v>
      </c>
      <c r="AS16" s="4">
        <f t="shared" si="12"/>
        <v>77400</v>
      </c>
      <c r="AT16" s="20">
        <f t="shared" si="13"/>
        <v>185.52779999999998</v>
      </c>
      <c r="AU16" s="4">
        <v>-2125</v>
      </c>
      <c r="AV16" s="4">
        <f t="shared" si="14"/>
        <v>75275</v>
      </c>
      <c r="AW16" s="20">
        <f t="shared" si="15"/>
        <v>180.43417499999998</v>
      </c>
      <c r="AX16" s="4">
        <v>200</v>
      </c>
      <c r="AY16" s="4">
        <f t="shared" si="16"/>
        <v>75475</v>
      </c>
      <c r="AZ16" s="20">
        <f t="shared" si="17"/>
        <v>180.91357499999998</v>
      </c>
      <c r="BA16" s="4">
        <v>-4150</v>
      </c>
      <c r="BB16" s="4">
        <f t="shared" si="18"/>
        <v>71325</v>
      </c>
      <c r="BC16" s="20">
        <f t="shared" si="19"/>
        <v>170.966025</v>
      </c>
      <c r="BD16" s="4">
        <v>0</v>
      </c>
      <c r="BE16" s="4">
        <f t="shared" si="20"/>
        <v>71325</v>
      </c>
      <c r="BF16" s="20">
        <f t="shared" si="21"/>
        <v>170.966025</v>
      </c>
      <c r="BG16" s="4">
        <v>2600</v>
      </c>
      <c r="BH16" s="4">
        <f t="shared" si="22"/>
        <v>73925</v>
      </c>
      <c r="BI16" s="20">
        <f t="shared" si="23"/>
        <v>177.19822499999998</v>
      </c>
      <c r="BJ16" s="4">
        <v>900</v>
      </c>
      <c r="BK16" s="4"/>
      <c r="BL16" s="4">
        <f t="shared" si="11"/>
        <v>74825</v>
      </c>
      <c r="BM16" s="20">
        <f t="shared" si="49"/>
        <v>179.355525</v>
      </c>
      <c r="BN16" s="4">
        <v>-2100</v>
      </c>
      <c r="BO16" s="4">
        <f>BL16+BN16</f>
        <v>72725</v>
      </c>
      <c r="BP16" s="20">
        <f t="shared" si="51"/>
        <v>174.32182499999999</v>
      </c>
      <c r="BQ16" s="4">
        <v>1450</v>
      </c>
      <c r="BR16" s="4">
        <f>BO16+BQ16</f>
        <v>74175</v>
      </c>
      <c r="BS16" s="20">
        <f t="shared" si="24"/>
        <v>177.79747499999996</v>
      </c>
      <c r="BT16" s="4">
        <v>5150</v>
      </c>
      <c r="BU16" s="4">
        <f>BR16+BT16</f>
        <v>79325</v>
      </c>
      <c r="BV16" s="20">
        <f t="shared" si="25"/>
        <v>190.14202499999999</v>
      </c>
    </row>
    <row r="17" spans="1:74" hidden="1" x14ac:dyDescent="0.25">
      <c r="A17" s="4" t="s">
        <v>39</v>
      </c>
      <c r="B17" s="4" t="s">
        <v>40</v>
      </c>
      <c r="C17" s="4" t="s">
        <v>18</v>
      </c>
      <c r="D17" s="4">
        <v>50</v>
      </c>
      <c r="E17" s="4">
        <v>50</v>
      </c>
      <c r="F17" s="4">
        <v>2.5</v>
      </c>
      <c r="G17" s="4" t="str">
        <f t="shared" si="0"/>
        <v>50-50-2.5</v>
      </c>
      <c r="H17" s="10">
        <v>3.6440000000000001</v>
      </c>
      <c r="I17" s="4">
        <v>65875</v>
      </c>
      <c r="J17" s="4">
        <v>500</v>
      </c>
      <c r="K17" s="4"/>
      <c r="L17" s="4"/>
      <c r="M17" s="4">
        <v>7500</v>
      </c>
      <c r="N17" s="4">
        <f t="shared" si="1"/>
        <v>73875</v>
      </c>
      <c r="O17" s="11">
        <f t="shared" si="2"/>
        <v>269.20049999999998</v>
      </c>
      <c r="P17" s="4">
        <v>5600</v>
      </c>
      <c r="Q17" s="4">
        <f t="shared" si="3"/>
        <v>79475</v>
      </c>
      <c r="R17" s="4">
        <f t="shared" si="4"/>
        <v>289.61</v>
      </c>
      <c r="S17" s="4">
        <v>3900</v>
      </c>
      <c r="T17" s="4">
        <f t="shared" si="5"/>
        <v>83375</v>
      </c>
      <c r="U17" s="4">
        <f t="shared" si="6"/>
        <v>303.82</v>
      </c>
      <c r="V17" s="4"/>
      <c r="W17" s="4"/>
      <c r="X17" s="4">
        <v>0.91</v>
      </c>
      <c r="Y17" s="21">
        <v>270.11</v>
      </c>
      <c r="Z17" s="4">
        <v>6000</v>
      </c>
      <c r="AA17" s="4">
        <f>Z17+T17</f>
        <v>89375</v>
      </c>
      <c r="AB17" s="4">
        <f>ROUND(AA17*H17/1000,2)</f>
        <v>325.68</v>
      </c>
      <c r="AC17" s="4">
        <v>-10200</v>
      </c>
      <c r="AD17" s="4">
        <f t="shared" si="31"/>
        <v>79175</v>
      </c>
      <c r="AE17" s="4">
        <f t="shared" si="32"/>
        <v>288.51</v>
      </c>
      <c r="AF17" s="4">
        <v>-4900</v>
      </c>
      <c r="AG17" s="4">
        <f t="shared" si="33"/>
        <v>74275</v>
      </c>
      <c r="AH17" s="4">
        <f t="shared" si="34"/>
        <v>270.66000000000003</v>
      </c>
      <c r="AI17" s="30">
        <v>3300</v>
      </c>
      <c r="AJ17" s="4">
        <f t="shared" si="43"/>
        <v>77575</v>
      </c>
      <c r="AK17" s="4">
        <f t="shared" si="44"/>
        <v>282.68</v>
      </c>
      <c r="AL17" s="30">
        <v>-3800</v>
      </c>
      <c r="AM17" s="4">
        <f t="shared" si="45"/>
        <v>73775</v>
      </c>
      <c r="AN17" s="4">
        <f t="shared" si="46"/>
        <v>268.83999999999997</v>
      </c>
      <c r="AO17" s="4">
        <f>2000</f>
        <v>2000</v>
      </c>
      <c r="AP17" s="4">
        <f t="shared" si="47"/>
        <v>75775</v>
      </c>
      <c r="AQ17" s="4">
        <f t="shared" si="48"/>
        <v>276.12</v>
      </c>
      <c r="AR17" s="4">
        <v>-1950</v>
      </c>
      <c r="AS17" s="4">
        <f t="shared" si="12"/>
        <v>73825</v>
      </c>
      <c r="AT17" s="20">
        <f t="shared" si="13"/>
        <v>269.01830000000001</v>
      </c>
      <c r="AU17" s="4">
        <v>-2625</v>
      </c>
      <c r="AV17" s="4">
        <f t="shared" si="14"/>
        <v>71200</v>
      </c>
      <c r="AW17" s="20">
        <f t="shared" si="15"/>
        <v>259.45280000000002</v>
      </c>
      <c r="AX17" s="4">
        <v>500</v>
      </c>
      <c r="AY17" s="4">
        <f t="shared" si="16"/>
        <v>71700</v>
      </c>
      <c r="AZ17" s="20">
        <f t="shared" si="17"/>
        <v>261.27480000000003</v>
      </c>
      <c r="BA17" s="4">
        <v>-4750</v>
      </c>
      <c r="BB17" s="4">
        <f t="shared" si="18"/>
        <v>66950</v>
      </c>
      <c r="BC17" s="20">
        <f t="shared" si="19"/>
        <v>243.96580000000003</v>
      </c>
      <c r="BD17" s="4">
        <v>0</v>
      </c>
      <c r="BE17" s="4">
        <f t="shared" si="20"/>
        <v>66950</v>
      </c>
      <c r="BF17" s="20">
        <f t="shared" si="21"/>
        <v>243.96580000000003</v>
      </c>
      <c r="BG17" s="4">
        <v>2600</v>
      </c>
      <c r="BH17" s="4">
        <f t="shared" si="22"/>
        <v>69550</v>
      </c>
      <c r="BI17" s="20">
        <f t="shared" si="23"/>
        <v>253.4402</v>
      </c>
      <c r="BJ17" s="4">
        <v>1000</v>
      </c>
      <c r="BK17" s="4"/>
      <c r="BL17" s="4">
        <f t="shared" si="11"/>
        <v>70550</v>
      </c>
      <c r="BM17" s="20">
        <f t="shared" si="49"/>
        <v>257.08420000000001</v>
      </c>
      <c r="BN17" s="4">
        <v>-2150</v>
      </c>
      <c r="BO17" s="4">
        <f t="shared" ref="BO17:BO25" si="58">BL17+BN17</f>
        <v>68400</v>
      </c>
      <c r="BP17" s="20">
        <f t="shared" si="51"/>
        <v>249.24960000000002</v>
      </c>
      <c r="BQ17" s="4">
        <v>1500</v>
      </c>
      <c r="BR17" s="4">
        <f t="shared" ref="BR17:BR54" si="59">BO17+BQ17</f>
        <v>69900</v>
      </c>
      <c r="BS17" s="20">
        <f t="shared" si="24"/>
        <v>254.71559999999999</v>
      </c>
      <c r="BT17" s="4">
        <v>5500</v>
      </c>
      <c r="BU17" s="4">
        <f t="shared" ref="BU17:BU54" si="60">BR17+BT17</f>
        <v>75400</v>
      </c>
      <c r="BV17" s="20">
        <f t="shared" si="25"/>
        <v>274.75760000000002</v>
      </c>
    </row>
    <row r="18" spans="1:74" hidden="1" x14ac:dyDescent="0.25">
      <c r="A18" s="4" t="s">
        <v>39</v>
      </c>
      <c r="B18" s="4" t="s">
        <v>109</v>
      </c>
      <c r="C18" s="4" t="s">
        <v>15</v>
      </c>
      <c r="D18" s="4">
        <v>59</v>
      </c>
      <c r="E18" s="4">
        <v>30</v>
      </c>
      <c r="F18" s="4">
        <v>1.6</v>
      </c>
      <c r="G18" s="4" t="str">
        <f t="shared" si="0"/>
        <v>59-30-1.6</v>
      </c>
      <c r="H18" s="10">
        <v>1.895</v>
      </c>
      <c r="I18" s="4">
        <v>69405</v>
      </c>
      <c r="J18" s="4">
        <v>500</v>
      </c>
      <c r="K18" s="4"/>
      <c r="L18" s="4"/>
      <c r="M18" s="4">
        <v>9800</v>
      </c>
      <c r="N18" s="4">
        <f t="shared" si="1"/>
        <v>79705</v>
      </c>
      <c r="O18" s="11">
        <f t="shared" si="2"/>
        <v>151.040975</v>
      </c>
      <c r="P18" s="4">
        <v>6000</v>
      </c>
      <c r="Q18" s="4">
        <f t="shared" si="3"/>
        <v>85705</v>
      </c>
      <c r="R18" s="4">
        <f t="shared" si="4"/>
        <v>162.41</v>
      </c>
      <c r="S18" s="4">
        <v>4000</v>
      </c>
      <c r="T18" s="4">
        <f t="shared" si="5"/>
        <v>89705</v>
      </c>
      <c r="U18" s="4">
        <f t="shared" si="6"/>
        <v>169.99</v>
      </c>
      <c r="V18" s="4"/>
      <c r="W18" s="4"/>
      <c r="X18" s="4"/>
      <c r="Y18" s="4">
        <v>151.04</v>
      </c>
      <c r="Z18" s="4">
        <v>5700</v>
      </c>
      <c r="AA18" s="4">
        <f t="shared" ref="AA18:AA25" si="61">T18+Z18</f>
        <v>95405</v>
      </c>
      <c r="AB18" s="20">
        <f t="shared" ref="AB18:AB25" si="62">$H18*AA18/1000</f>
        <v>180.792475</v>
      </c>
      <c r="AC18" s="4">
        <v>-11650</v>
      </c>
      <c r="AD18" s="4">
        <f t="shared" si="31"/>
        <v>83755</v>
      </c>
      <c r="AE18" s="4">
        <f t="shared" si="32"/>
        <v>158.72</v>
      </c>
      <c r="AF18" s="4">
        <v>-4200</v>
      </c>
      <c r="AG18" s="4">
        <f t="shared" si="33"/>
        <v>79555</v>
      </c>
      <c r="AH18" s="4">
        <f t="shared" si="34"/>
        <v>150.76</v>
      </c>
      <c r="AI18" s="30">
        <v>1950</v>
      </c>
      <c r="AJ18" s="4">
        <f t="shared" ref="AJ18:AJ25" si="63">AG18+AI18</f>
        <v>81505</v>
      </c>
      <c r="AK18" s="4">
        <f t="shared" ref="AK18:AK25" si="64">ROUND(AJ18*H18/1000,2)</f>
        <v>154.44999999999999</v>
      </c>
      <c r="AL18" s="30">
        <v>-4825</v>
      </c>
      <c r="AM18" s="4">
        <f t="shared" ref="AM18:AM25" si="65">AJ18+AL18</f>
        <v>76680</v>
      </c>
      <c r="AN18" s="4">
        <f t="shared" ref="AN18:AN25" si="66">ROUND(AM18*H18/1000,2)</f>
        <v>145.31</v>
      </c>
      <c r="AO18" s="4">
        <f>1920</f>
        <v>1920</v>
      </c>
      <c r="AP18" s="4">
        <f t="shared" ref="AP18:AP25" si="67">AM18+AO18</f>
        <v>78600</v>
      </c>
      <c r="AQ18" s="4">
        <f t="shared" ref="AQ18:AQ25" si="68">ROUND(AP18*H18/1000,2)</f>
        <v>148.94999999999999</v>
      </c>
      <c r="AR18" s="4">
        <v>-1200</v>
      </c>
      <c r="AS18" s="4">
        <f t="shared" si="12"/>
        <v>77400</v>
      </c>
      <c r="AT18" s="20">
        <f t="shared" si="13"/>
        <v>146.673</v>
      </c>
      <c r="AU18" s="4">
        <v>-2125</v>
      </c>
      <c r="AV18" s="4">
        <f t="shared" si="14"/>
        <v>75275</v>
      </c>
      <c r="AW18" s="20">
        <f t="shared" si="15"/>
        <v>142.64612500000001</v>
      </c>
      <c r="AX18" s="4">
        <v>200</v>
      </c>
      <c r="AY18" s="4">
        <f t="shared" si="16"/>
        <v>75475</v>
      </c>
      <c r="AZ18" s="20">
        <f t="shared" si="17"/>
        <v>143.025125</v>
      </c>
      <c r="BA18" s="4">
        <v>-4150</v>
      </c>
      <c r="BB18" s="4">
        <f t="shared" si="18"/>
        <v>71325</v>
      </c>
      <c r="BC18" s="20">
        <f t="shared" si="19"/>
        <v>135.160875</v>
      </c>
      <c r="BD18" s="4">
        <v>0</v>
      </c>
      <c r="BE18" s="4">
        <f t="shared" si="20"/>
        <v>71325</v>
      </c>
      <c r="BF18" s="20">
        <f t="shared" si="21"/>
        <v>135.160875</v>
      </c>
      <c r="BG18" s="4">
        <v>2600</v>
      </c>
      <c r="BH18" s="4">
        <f t="shared" si="22"/>
        <v>73925</v>
      </c>
      <c r="BI18" s="20">
        <f t="shared" si="23"/>
        <v>140.087875</v>
      </c>
      <c r="BJ18" s="4">
        <v>900</v>
      </c>
      <c r="BK18" s="4"/>
      <c r="BL18" s="4">
        <f t="shared" si="11"/>
        <v>74825</v>
      </c>
      <c r="BM18" s="20">
        <f t="shared" ref="BM18:BM25" si="69">BL18*H18/1000</f>
        <v>141.793375</v>
      </c>
      <c r="BN18" s="4">
        <v>-2100</v>
      </c>
      <c r="BO18" s="4">
        <f t="shared" si="58"/>
        <v>72725</v>
      </c>
      <c r="BP18" s="20">
        <f t="shared" ref="BP18:BP25" si="70">BO18*H18/1000</f>
        <v>137.813875</v>
      </c>
      <c r="BQ18" s="4">
        <v>1450</v>
      </c>
      <c r="BR18" s="4">
        <f t="shared" si="59"/>
        <v>74175</v>
      </c>
      <c r="BS18" s="20">
        <f t="shared" si="24"/>
        <v>140.56162499999999</v>
      </c>
      <c r="BT18" s="4">
        <v>5150</v>
      </c>
      <c r="BU18" s="4">
        <f t="shared" si="60"/>
        <v>79325</v>
      </c>
      <c r="BV18" s="20">
        <f t="shared" si="25"/>
        <v>150.320875</v>
      </c>
    </row>
    <row r="19" spans="1:74" hidden="1" x14ac:dyDescent="0.25">
      <c r="A19" s="4" t="s">
        <v>39</v>
      </c>
      <c r="B19" s="4" t="s">
        <v>14</v>
      </c>
      <c r="C19" s="4" t="s">
        <v>15</v>
      </c>
      <c r="D19" s="4">
        <v>9.91</v>
      </c>
      <c r="E19" s="4"/>
      <c r="F19" s="4">
        <v>1</v>
      </c>
      <c r="G19" s="4" t="str">
        <f t="shared" si="0"/>
        <v>9.91--1</v>
      </c>
      <c r="H19" s="10">
        <v>0.21965823000000001</v>
      </c>
      <c r="I19" s="4">
        <v>69405</v>
      </c>
      <c r="J19" s="4"/>
      <c r="K19" s="4">
        <v>4000</v>
      </c>
      <c r="L19" s="4"/>
      <c r="M19" s="4">
        <v>9800</v>
      </c>
      <c r="N19" s="4">
        <f t="shared" si="1"/>
        <v>83205</v>
      </c>
      <c r="O19" s="11">
        <f t="shared" si="2"/>
        <v>18.276663027150001</v>
      </c>
      <c r="P19" s="4">
        <v>6000</v>
      </c>
      <c r="Q19" s="4">
        <f t="shared" si="3"/>
        <v>89205</v>
      </c>
      <c r="R19" s="4">
        <f t="shared" si="4"/>
        <v>19.59</v>
      </c>
      <c r="S19" s="4">
        <v>4000</v>
      </c>
      <c r="T19" s="4">
        <f t="shared" si="5"/>
        <v>93205</v>
      </c>
      <c r="U19" s="4">
        <f t="shared" si="6"/>
        <v>20.47</v>
      </c>
      <c r="V19" s="4"/>
      <c r="W19" s="4"/>
      <c r="X19" s="4"/>
      <c r="Y19" s="4">
        <v>18.28</v>
      </c>
      <c r="Z19" s="4">
        <v>5700</v>
      </c>
      <c r="AA19" s="4">
        <f t="shared" si="61"/>
        <v>98905</v>
      </c>
      <c r="AB19" s="20">
        <f t="shared" si="62"/>
        <v>21.725297238149999</v>
      </c>
      <c r="AC19" s="4">
        <v>-11650</v>
      </c>
      <c r="AD19" s="4">
        <f t="shared" si="31"/>
        <v>87255</v>
      </c>
      <c r="AE19" s="4">
        <f t="shared" si="32"/>
        <v>19.170000000000002</v>
      </c>
      <c r="AF19" s="4">
        <v>-4200</v>
      </c>
      <c r="AG19" s="4">
        <f t="shared" si="33"/>
        <v>83055</v>
      </c>
      <c r="AH19" s="4">
        <f t="shared" si="34"/>
        <v>18.239999999999998</v>
      </c>
      <c r="AI19" s="30">
        <v>1950</v>
      </c>
      <c r="AJ19" s="4">
        <f t="shared" si="63"/>
        <v>85005</v>
      </c>
      <c r="AK19" s="4">
        <f t="shared" si="64"/>
        <v>18.670000000000002</v>
      </c>
      <c r="AL19" s="30">
        <v>-4825</v>
      </c>
      <c r="AM19" s="4">
        <f t="shared" si="65"/>
        <v>80180</v>
      </c>
      <c r="AN19" s="4">
        <f t="shared" si="66"/>
        <v>17.61</v>
      </c>
      <c r="AO19" s="4">
        <f>1920</f>
        <v>1920</v>
      </c>
      <c r="AP19" s="4">
        <f t="shared" si="67"/>
        <v>82100</v>
      </c>
      <c r="AQ19" s="4">
        <f t="shared" si="68"/>
        <v>18.03</v>
      </c>
      <c r="AR19" s="4">
        <v>-1200</v>
      </c>
      <c r="AS19" s="4">
        <f t="shared" si="12"/>
        <v>80900</v>
      </c>
      <c r="AT19" s="20">
        <f t="shared" si="13"/>
        <v>17.770350807000003</v>
      </c>
      <c r="AU19" s="4">
        <v>-2125</v>
      </c>
      <c r="AV19" s="4">
        <f t="shared" si="14"/>
        <v>78775</v>
      </c>
      <c r="AW19" s="20">
        <f t="shared" si="15"/>
        <v>17.30357706825</v>
      </c>
      <c r="AX19" s="4">
        <v>200</v>
      </c>
      <c r="AY19" s="4">
        <f t="shared" si="16"/>
        <v>78975</v>
      </c>
      <c r="AZ19" s="20">
        <f t="shared" si="17"/>
        <v>17.347508714250001</v>
      </c>
      <c r="BA19" s="4">
        <v>-4150</v>
      </c>
      <c r="BB19" s="4">
        <f t="shared" si="18"/>
        <v>74825</v>
      </c>
      <c r="BC19" s="20">
        <f t="shared" si="19"/>
        <v>16.43592705975</v>
      </c>
      <c r="BD19" s="4">
        <v>0</v>
      </c>
      <c r="BE19" s="4">
        <f t="shared" si="20"/>
        <v>74825</v>
      </c>
      <c r="BF19" s="20">
        <f t="shared" si="21"/>
        <v>16.43592705975</v>
      </c>
      <c r="BG19" s="4">
        <v>2600</v>
      </c>
      <c r="BH19" s="4">
        <f t="shared" si="22"/>
        <v>77425</v>
      </c>
      <c r="BI19" s="20">
        <f t="shared" si="23"/>
        <v>17.007038457749999</v>
      </c>
      <c r="BJ19" s="4">
        <v>900</v>
      </c>
      <c r="BK19" s="4"/>
      <c r="BL19" s="4">
        <f t="shared" si="11"/>
        <v>78325</v>
      </c>
      <c r="BM19" s="20">
        <f t="shared" si="69"/>
        <v>17.204730864750001</v>
      </c>
      <c r="BN19" s="4">
        <v>-2100</v>
      </c>
      <c r="BO19" s="4">
        <f t="shared" si="58"/>
        <v>76225</v>
      </c>
      <c r="BP19" s="20">
        <f t="shared" si="70"/>
        <v>16.743448581749998</v>
      </c>
      <c r="BQ19" s="4">
        <v>1450</v>
      </c>
      <c r="BR19" s="4">
        <f t="shared" si="59"/>
        <v>77675</v>
      </c>
      <c r="BS19" s="20">
        <f t="shared" si="24"/>
        <v>17.061953015250001</v>
      </c>
      <c r="BT19" s="4">
        <v>5150</v>
      </c>
      <c r="BU19" s="4">
        <f t="shared" si="60"/>
        <v>82825</v>
      </c>
      <c r="BV19" s="20">
        <f t="shared" si="25"/>
        <v>18.193192899749999</v>
      </c>
    </row>
    <row r="20" spans="1:74" hidden="1" x14ac:dyDescent="0.25">
      <c r="A20" s="4" t="s">
        <v>39</v>
      </c>
      <c r="B20" s="4" t="s">
        <v>14</v>
      </c>
      <c r="C20" s="4" t="s">
        <v>15</v>
      </c>
      <c r="D20" s="4">
        <v>12.7</v>
      </c>
      <c r="E20" s="4"/>
      <c r="F20" s="4">
        <v>1.2</v>
      </c>
      <c r="G20" s="4" t="str">
        <f t="shared" si="0"/>
        <v>12.7--1.2</v>
      </c>
      <c r="H20" s="10">
        <v>0.3402114</v>
      </c>
      <c r="I20" s="4">
        <v>69405</v>
      </c>
      <c r="J20" s="4"/>
      <c r="K20" s="4">
        <v>4000</v>
      </c>
      <c r="L20" s="4"/>
      <c r="M20" s="4">
        <v>9800</v>
      </c>
      <c r="N20" s="4">
        <f t="shared" si="1"/>
        <v>83205</v>
      </c>
      <c r="O20" s="11">
        <f t="shared" si="2"/>
        <v>28.307289536999999</v>
      </c>
      <c r="P20" s="4">
        <v>6000</v>
      </c>
      <c r="Q20" s="4">
        <f t="shared" si="3"/>
        <v>89205</v>
      </c>
      <c r="R20" s="4">
        <f t="shared" si="4"/>
        <v>30.35</v>
      </c>
      <c r="S20" s="4">
        <v>4000</v>
      </c>
      <c r="T20" s="4">
        <f t="shared" si="5"/>
        <v>93205</v>
      </c>
      <c r="U20" s="4">
        <f t="shared" si="6"/>
        <v>31.71</v>
      </c>
      <c r="V20" s="4"/>
      <c r="W20" s="4"/>
      <c r="X20" s="4"/>
      <c r="Y20" s="4">
        <v>28.31</v>
      </c>
      <c r="Z20" s="4">
        <v>5700</v>
      </c>
      <c r="AA20" s="4">
        <f t="shared" si="61"/>
        <v>98905</v>
      </c>
      <c r="AB20" s="20">
        <f t="shared" si="62"/>
        <v>33.648608517</v>
      </c>
      <c r="AC20" s="4">
        <v>-11650</v>
      </c>
      <c r="AD20" s="4">
        <f t="shared" si="31"/>
        <v>87255</v>
      </c>
      <c r="AE20" s="4">
        <f t="shared" si="32"/>
        <v>29.69</v>
      </c>
      <c r="AF20" s="4">
        <v>-4200</v>
      </c>
      <c r="AG20" s="4">
        <f t="shared" si="33"/>
        <v>83055</v>
      </c>
      <c r="AH20" s="4">
        <f t="shared" si="34"/>
        <v>28.26</v>
      </c>
      <c r="AI20" s="30">
        <v>1950</v>
      </c>
      <c r="AJ20" s="4">
        <f t="shared" si="63"/>
        <v>85005</v>
      </c>
      <c r="AK20" s="4">
        <f t="shared" si="64"/>
        <v>28.92</v>
      </c>
      <c r="AL20" s="30">
        <v>-4825</v>
      </c>
      <c r="AM20" s="4">
        <f t="shared" si="65"/>
        <v>80180</v>
      </c>
      <c r="AN20" s="4">
        <f t="shared" si="66"/>
        <v>27.28</v>
      </c>
      <c r="AO20" s="4">
        <f>1920</f>
        <v>1920</v>
      </c>
      <c r="AP20" s="4">
        <f t="shared" si="67"/>
        <v>82100</v>
      </c>
      <c r="AQ20" s="4">
        <f t="shared" si="68"/>
        <v>27.93</v>
      </c>
      <c r="AR20" s="4">
        <v>-1200</v>
      </c>
      <c r="AS20" s="4">
        <f t="shared" si="12"/>
        <v>80900</v>
      </c>
      <c r="AT20" s="20">
        <f t="shared" si="13"/>
        <v>27.523102259999998</v>
      </c>
      <c r="AU20" s="4">
        <v>-2125</v>
      </c>
      <c r="AV20" s="4">
        <f t="shared" si="14"/>
        <v>78775</v>
      </c>
      <c r="AW20" s="20">
        <f t="shared" si="15"/>
        <v>26.800153035000001</v>
      </c>
      <c r="AX20" s="4">
        <v>200</v>
      </c>
      <c r="AY20" s="4">
        <f t="shared" si="16"/>
        <v>78975</v>
      </c>
      <c r="AZ20" s="20">
        <f t="shared" si="17"/>
        <v>26.868195315000001</v>
      </c>
      <c r="BA20" s="4">
        <v>-4150</v>
      </c>
      <c r="BB20" s="4">
        <f t="shared" si="18"/>
        <v>74825</v>
      </c>
      <c r="BC20" s="20">
        <f t="shared" si="19"/>
        <v>25.456318005</v>
      </c>
      <c r="BD20" s="4">
        <v>0</v>
      </c>
      <c r="BE20" s="4">
        <f t="shared" si="20"/>
        <v>74825</v>
      </c>
      <c r="BF20" s="20">
        <f t="shared" si="21"/>
        <v>25.456318005</v>
      </c>
      <c r="BG20" s="4">
        <v>2600</v>
      </c>
      <c r="BH20" s="4">
        <f t="shared" si="22"/>
        <v>77425</v>
      </c>
      <c r="BI20" s="20">
        <f t="shared" si="23"/>
        <v>26.340867644999999</v>
      </c>
      <c r="BJ20" s="4">
        <v>900</v>
      </c>
      <c r="BK20" s="4"/>
      <c r="BL20" s="4">
        <f t="shared" si="11"/>
        <v>78325</v>
      </c>
      <c r="BM20" s="20">
        <f t="shared" si="69"/>
        <v>26.647057905</v>
      </c>
      <c r="BN20" s="4">
        <v>-2100</v>
      </c>
      <c r="BO20" s="4">
        <f t="shared" si="58"/>
        <v>76225</v>
      </c>
      <c r="BP20" s="20">
        <f t="shared" si="70"/>
        <v>25.932613965000002</v>
      </c>
      <c r="BQ20" s="4">
        <v>1450</v>
      </c>
      <c r="BR20" s="4">
        <f t="shared" si="59"/>
        <v>77675</v>
      </c>
      <c r="BS20" s="20">
        <f t="shared" si="24"/>
        <v>26.425920495</v>
      </c>
      <c r="BT20" s="4">
        <v>5150</v>
      </c>
      <c r="BU20" s="4">
        <f t="shared" si="60"/>
        <v>82825</v>
      </c>
      <c r="BV20" s="20">
        <f t="shared" si="25"/>
        <v>28.178009204999999</v>
      </c>
    </row>
    <row r="21" spans="1:74" hidden="1" x14ac:dyDescent="0.25">
      <c r="A21" s="4" t="s">
        <v>39</v>
      </c>
      <c r="B21" s="4" t="s">
        <v>14</v>
      </c>
      <c r="C21" s="4" t="s">
        <v>15</v>
      </c>
      <c r="D21" s="4">
        <v>12.7</v>
      </c>
      <c r="E21" s="4"/>
      <c r="F21" s="4">
        <v>1.6</v>
      </c>
      <c r="G21" s="4" t="str">
        <f t="shared" si="0"/>
        <v>12.7--1.6</v>
      </c>
      <c r="H21" s="10">
        <v>0.43783728000000005</v>
      </c>
      <c r="I21" s="4">
        <v>69405</v>
      </c>
      <c r="J21" s="4"/>
      <c r="K21" s="4">
        <v>4000</v>
      </c>
      <c r="L21" s="4"/>
      <c r="M21" s="4">
        <v>9800</v>
      </c>
      <c r="N21" s="4">
        <f t="shared" si="1"/>
        <v>83205</v>
      </c>
      <c r="O21" s="11">
        <f t="shared" si="2"/>
        <v>36.430250882400003</v>
      </c>
      <c r="P21" s="4">
        <v>6000</v>
      </c>
      <c r="Q21" s="4">
        <f t="shared" si="3"/>
        <v>89205</v>
      </c>
      <c r="R21" s="4">
        <f t="shared" si="4"/>
        <v>39.06</v>
      </c>
      <c r="S21" s="4">
        <v>4000</v>
      </c>
      <c r="T21" s="4">
        <f t="shared" si="5"/>
        <v>93205</v>
      </c>
      <c r="U21" s="4">
        <f t="shared" si="6"/>
        <v>40.81</v>
      </c>
      <c r="V21" s="4"/>
      <c r="W21" s="4"/>
      <c r="X21" s="4"/>
      <c r="Y21" s="4">
        <v>36.43</v>
      </c>
      <c r="Z21" s="4">
        <v>5700</v>
      </c>
      <c r="AA21" s="4">
        <f t="shared" si="61"/>
        <v>98905</v>
      </c>
      <c r="AB21" s="20">
        <f t="shared" si="62"/>
        <v>43.304296178400008</v>
      </c>
      <c r="AC21" s="4">
        <v>-11650</v>
      </c>
      <c r="AD21" s="4">
        <f t="shared" si="31"/>
        <v>87255</v>
      </c>
      <c r="AE21" s="4">
        <f t="shared" si="32"/>
        <v>38.200000000000003</v>
      </c>
      <c r="AF21" s="4">
        <v>-4200</v>
      </c>
      <c r="AG21" s="4">
        <f t="shared" si="33"/>
        <v>83055</v>
      </c>
      <c r="AH21" s="4">
        <f t="shared" si="34"/>
        <v>36.36</v>
      </c>
      <c r="AI21" s="30">
        <v>1950</v>
      </c>
      <c r="AJ21" s="4">
        <f t="shared" si="63"/>
        <v>85005</v>
      </c>
      <c r="AK21" s="4">
        <f t="shared" si="64"/>
        <v>37.22</v>
      </c>
      <c r="AL21" s="30">
        <v>-4825</v>
      </c>
      <c r="AM21" s="4">
        <f t="shared" si="65"/>
        <v>80180</v>
      </c>
      <c r="AN21" s="4">
        <f t="shared" si="66"/>
        <v>35.11</v>
      </c>
      <c r="AO21" s="4">
        <f>1920</f>
        <v>1920</v>
      </c>
      <c r="AP21" s="4">
        <f t="shared" si="67"/>
        <v>82100</v>
      </c>
      <c r="AQ21" s="4">
        <f t="shared" si="68"/>
        <v>35.950000000000003</v>
      </c>
      <c r="AR21" s="4">
        <v>-1200</v>
      </c>
      <c r="AS21" s="4">
        <f t="shared" si="12"/>
        <v>80900</v>
      </c>
      <c r="AT21" s="20">
        <f t="shared" si="13"/>
        <v>35.421035952000004</v>
      </c>
      <c r="AU21" s="4">
        <v>-2125</v>
      </c>
      <c r="AV21" s="4">
        <f t="shared" si="14"/>
        <v>78775</v>
      </c>
      <c r="AW21" s="20">
        <f t="shared" si="15"/>
        <v>34.490631732000004</v>
      </c>
      <c r="AX21" s="4">
        <v>200</v>
      </c>
      <c r="AY21" s="4">
        <f t="shared" si="16"/>
        <v>78975</v>
      </c>
      <c r="AZ21" s="20">
        <f t="shared" si="17"/>
        <v>34.578199188000006</v>
      </c>
      <c r="BA21" s="4">
        <v>-4150</v>
      </c>
      <c r="BB21" s="4">
        <f t="shared" si="18"/>
        <v>74825</v>
      </c>
      <c r="BC21" s="20">
        <f t="shared" si="19"/>
        <v>32.761174476000001</v>
      </c>
      <c r="BD21" s="4">
        <v>0</v>
      </c>
      <c r="BE21" s="4">
        <f t="shared" si="20"/>
        <v>74825</v>
      </c>
      <c r="BF21" s="20">
        <f t="shared" si="21"/>
        <v>32.761174476000001</v>
      </c>
      <c r="BG21" s="4">
        <v>2600</v>
      </c>
      <c r="BH21" s="4">
        <f t="shared" si="22"/>
        <v>77425</v>
      </c>
      <c r="BI21" s="20">
        <f t="shared" si="23"/>
        <v>33.899551404000007</v>
      </c>
      <c r="BJ21" s="4">
        <v>900</v>
      </c>
      <c r="BK21" s="4"/>
      <c r="BL21" s="4">
        <f t="shared" si="11"/>
        <v>78325</v>
      </c>
      <c r="BM21" s="20">
        <f t="shared" si="69"/>
        <v>34.293604956000003</v>
      </c>
      <c r="BN21" s="4">
        <v>-2100</v>
      </c>
      <c r="BO21" s="4">
        <f t="shared" si="58"/>
        <v>76225</v>
      </c>
      <c r="BP21" s="20">
        <f t="shared" si="70"/>
        <v>33.374146668000002</v>
      </c>
      <c r="BQ21" s="4">
        <v>1450</v>
      </c>
      <c r="BR21" s="4">
        <f t="shared" si="59"/>
        <v>77675</v>
      </c>
      <c r="BS21" s="20">
        <f t="shared" si="24"/>
        <v>34.009010724000007</v>
      </c>
      <c r="BT21" s="4">
        <v>5150</v>
      </c>
      <c r="BU21" s="4">
        <f t="shared" si="60"/>
        <v>82825</v>
      </c>
      <c r="BV21" s="20">
        <f t="shared" si="25"/>
        <v>36.263872716000009</v>
      </c>
    </row>
    <row r="22" spans="1:74" hidden="1" x14ac:dyDescent="0.25">
      <c r="A22" s="4" t="s">
        <v>39</v>
      </c>
      <c r="B22" s="4" t="s">
        <v>14</v>
      </c>
      <c r="C22" s="4" t="s">
        <v>15</v>
      </c>
      <c r="D22" s="4">
        <v>12.7</v>
      </c>
      <c r="E22" s="4"/>
      <c r="F22" s="4">
        <v>1.9</v>
      </c>
      <c r="G22" s="4" t="str">
        <f t="shared" si="0"/>
        <v>12.7--1.9</v>
      </c>
      <c r="H22" s="10">
        <v>0.50587955999999989</v>
      </c>
      <c r="I22" s="4">
        <v>69405</v>
      </c>
      <c r="J22" s="4"/>
      <c r="K22" s="4">
        <v>4000</v>
      </c>
      <c r="L22" s="4"/>
      <c r="M22" s="4">
        <v>9800</v>
      </c>
      <c r="N22" s="4">
        <f t="shared" si="1"/>
        <v>83205</v>
      </c>
      <c r="O22" s="11">
        <f t="shared" si="2"/>
        <v>42.091708789799988</v>
      </c>
      <c r="P22" s="4">
        <v>6000</v>
      </c>
      <c r="Q22" s="4">
        <f t="shared" si="3"/>
        <v>89205</v>
      </c>
      <c r="R22" s="4">
        <f t="shared" si="4"/>
        <v>45.13</v>
      </c>
      <c r="S22" s="4">
        <v>4000</v>
      </c>
      <c r="T22" s="4">
        <f t="shared" si="5"/>
        <v>93205</v>
      </c>
      <c r="U22" s="4">
        <f t="shared" si="6"/>
        <v>47.15</v>
      </c>
      <c r="V22" s="4">
        <v>0.51</v>
      </c>
      <c r="W22" s="4"/>
      <c r="X22" s="4"/>
      <c r="Y22" s="4">
        <v>42.6</v>
      </c>
      <c r="Z22" s="4">
        <v>5700</v>
      </c>
      <c r="AA22" s="4">
        <f t="shared" si="61"/>
        <v>98905</v>
      </c>
      <c r="AB22" s="20">
        <f t="shared" si="62"/>
        <v>50.03401788179999</v>
      </c>
      <c r="AC22" s="4">
        <v>-11650</v>
      </c>
      <c r="AD22" s="4">
        <f t="shared" si="31"/>
        <v>87255</v>
      </c>
      <c r="AE22" s="4">
        <f t="shared" si="32"/>
        <v>44.14</v>
      </c>
      <c r="AF22" s="4">
        <v>-4200</v>
      </c>
      <c r="AG22" s="4">
        <f t="shared" si="33"/>
        <v>83055</v>
      </c>
      <c r="AH22" s="4">
        <f t="shared" si="34"/>
        <v>42.02</v>
      </c>
      <c r="AI22" s="30">
        <v>1950</v>
      </c>
      <c r="AJ22" s="4">
        <f t="shared" si="63"/>
        <v>85005</v>
      </c>
      <c r="AK22" s="4">
        <f t="shared" si="64"/>
        <v>43</v>
      </c>
      <c r="AL22" s="30">
        <v>-4825</v>
      </c>
      <c r="AM22" s="4">
        <f t="shared" si="65"/>
        <v>80180</v>
      </c>
      <c r="AN22" s="4">
        <f t="shared" si="66"/>
        <v>40.56</v>
      </c>
      <c r="AO22" s="4">
        <f>1920</f>
        <v>1920</v>
      </c>
      <c r="AP22" s="4">
        <f t="shared" si="67"/>
        <v>82100</v>
      </c>
      <c r="AQ22" s="4">
        <f t="shared" si="68"/>
        <v>41.53</v>
      </c>
      <c r="AR22" s="4">
        <v>-1200</v>
      </c>
      <c r="AS22" s="4">
        <f t="shared" si="12"/>
        <v>80900</v>
      </c>
      <c r="AT22" s="20">
        <f t="shared" si="13"/>
        <v>40.925656403999994</v>
      </c>
      <c r="AU22" s="4">
        <v>-2125</v>
      </c>
      <c r="AV22" s="4">
        <f t="shared" si="14"/>
        <v>78775</v>
      </c>
      <c r="AW22" s="20">
        <f t="shared" si="15"/>
        <v>39.850662338999996</v>
      </c>
      <c r="AX22" s="4">
        <v>200</v>
      </c>
      <c r="AY22" s="4">
        <f t="shared" si="16"/>
        <v>78975</v>
      </c>
      <c r="AZ22" s="20">
        <f t="shared" si="17"/>
        <v>39.951838250999991</v>
      </c>
      <c r="BA22" s="4">
        <v>-4150</v>
      </c>
      <c r="BB22" s="4">
        <f t="shared" si="18"/>
        <v>74825</v>
      </c>
      <c r="BC22" s="20">
        <f t="shared" si="19"/>
        <v>37.852438076999995</v>
      </c>
      <c r="BD22" s="4">
        <v>0</v>
      </c>
      <c r="BE22" s="4">
        <f t="shared" si="20"/>
        <v>74825</v>
      </c>
      <c r="BF22" s="20">
        <f t="shared" si="21"/>
        <v>37.852438076999995</v>
      </c>
      <c r="BG22" s="4">
        <v>2600</v>
      </c>
      <c r="BH22" s="4">
        <f t="shared" si="22"/>
        <v>77425</v>
      </c>
      <c r="BI22" s="41">
        <f t="shared" si="23"/>
        <v>39.167724932999988</v>
      </c>
      <c r="BJ22" s="4">
        <v>900</v>
      </c>
      <c r="BK22" s="4"/>
      <c r="BL22" s="4">
        <f t="shared" si="11"/>
        <v>78325</v>
      </c>
      <c r="BM22" s="41">
        <f t="shared" si="69"/>
        <v>39.623016536999991</v>
      </c>
      <c r="BN22" s="4">
        <v>-2100</v>
      </c>
      <c r="BO22" s="4">
        <f t="shared" si="58"/>
        <v>76225</v>
      </c>
      <c r="BP22" s="41">
        <f t="shared" si="70"/>
        <v>38.560669460999989</v>
      </c>
      <c r="BQ22" s="4">
        <v>1450</v>
      </c>
      <c r="BR22" s="4">
        <f t="shared" si="59"/>
        <v>77675</v>
      </c>
      <c r="BS22" s="20">
        <f t="shared" si="24"/>
        <v>39.294194822999991</v>
      </c>
      <c r="BT22" s="4">
        <v>5150</v>
      </c>
      <c r="BU22" s="4">
        <f t="shared" si="60"/>
        <v>82825</v>
      </c>
      <c r="BV22" s="20">
        <f t="shared" si="25"/>
        <v>41.899474556999991</v>
      </c>
    </row>
    <row r="23" spans="1:74" hidden="1" x14ac:dyDescent="0.25">
      <c r="A23" s="4" t="s">
        <v>39</v>
      </c>
      <c r="B23" s="4" t="s">
        <v>14</v>
      </c>
      <c r="C23" s="4" t="s">
        <v>15</v>
      </c>
      <c r="D23" s="4">
        <v>15.88</v>
      </c>
      <c r="E23" s="4"/>
      <c r="F23" s="4">
        <v>1</v>
      </c>
      <c r="G23" s="4" t="str">
        <f t="shared" si="0"/>
        <v>15.88--1</v>
      </c>
      <c r="H23" s="10">
        <v>0.36683664000000005</v>
      </c>
      <c r="I23" s="4">
        <v>69405</v>
      </c>
      <c r="J23" s="4"/>
      <c r="K23" s="4">
        <v>1000</v>
      </c>
      <c r="L23" s="4"/>
      <c r="M23" s="4">
        <v>9800</v>
      </c>
      <c r="N23" s="4">
        <f t="shared" si="1"/>
        <v>80205</v>
      </c>
      <c r="O23" s="11">
        <f t="shared" si="2"/>
        <v>29.422132711200003</v>
      </c>
      <c r="P23" s="4">
        <v>6000</v>
      </c>
      <c r="Q23" s="4">
        <f t="shared" si="3"/>
        <v>86205</v>
      </c>
      <c r="R23" s="4">
        <f t="shared" si="4"/>
        <v>31.62</v>
      </c>
      <c r="S23" s="4">
        <v>4000</v>
      </c>
      <c r="T23" s="4">
        <f t="shared" si="5"/>
        <v>90205</v>
      </c>
      <c r="U23" s="4">
        <f t="shared" si="6"/>
        <v>33.090000000000003</v>
      </c>
      <c r="V23" s="4"/>
      <c r="W23" s="4"/>
      <c r="X23" s="4"/>
      <c r="Y23" s="4">
        <v>29.42</v>
      </c>
      <c r="Z23" s="4">
        <v>5700</v>
      </c>
      <c r="AA23" s="4">
        <f t="shared" si="61"/>
        <v>95905</v>
      </c>
      <c r="AB23" s="20">
        <f t="shared" si="62"/>
        <v>35.181467959200006</v>
      </c>
      <c r="AC23" s="4">
        <v>-11650</v>
      </c>
      <c r="AD23" s="4">
        <f t="shared" si="31"/>
        <v>84255</v>
      </c>
      <c r="AE23" s="4">
        <f t="shared" si="32"/>
        <v>30.91</v>
      </c>
      <c r="AF23" s="4">
        <v>-4200</v>
      </c>
      <c r="AG23" s="4">
        <f t="shared" si="33"/>
        <v>80055</v>
      </c>
      <c r="AH23" s="4">
        <f t="shared" si="34"/>
        <v>29.37</v>
      </c>
      <c r="AI23" s="30">
        <v>1950</v>
      </c>
      <c r="AJ23" s="4">
        <f t="shared" si="63"/>
        <v>82005</v>
      </c>
      <c r="AK23" s="4">
        <f t="shared" si="64"/>
        <v>30.08</v>
      </c>
      <c r="AL23" s="30">
        <v>-4825</v>
      </c>
      <c r="AM23" s="4">
        <f t="shared" si="65"/>
        <v>77180</v>
      </c>
      <c r="AN23" s="4">
        <f t="shared" si="66"/>
        <v>28.31</v>
      </c>
      <c r="AO23" s="4">
        <f>1920</f>
        <v>1920</v>
      </c>
      <c r="AP23" s="4">
        <f t="shared" si="67"/>
        <v>79100</v>
      </c>
      <c r="AQ23" s="4">
        <f t="shared" si="68"/>
        <v>29.02</v>
      </c>
      <c r="AR23" s="4">
        <v>-1200</v>
      </c>
      <c r="AS23" s="4">
        <f t="shared" si="12"/>
        <v>77900</v>
      </c>
      <c r="AT23" s="20">
        <f t="shared" si="13"/>
        <v>28.576574256000004</v>
      </c>
      <c r="AU23" s="4">
        <v>-2125</v>
      </c>
      <c r="AV23" s="4">
        <f t="shared" si="14"/>
        <v>75775</v>
      </c>
      <c r="AW23" s="20">
        <f t="shared" si="15"/>
        <v>27.797046396000006</v>
      </c>
      <c r="AX23" s="4">
        <v>200</v>
      </c>
      <c r="AY23" s="4">
        <f t="shared" si="16"/>
        <v>75975</v>
      </c>
      <c r="AZ23" s="20">
        <f t="shared" si="17"/>
        <v>27.870413724000002</v>
      </c>
      <c r="BA23" s="4">
        <v>-4150</v>
      </c>
      <c r="BB23" s="4">
        <f t="shared" si="18"/>
        <v>71825</v>
      </c>
      <c r="BC23" s="20">
        <f t="shared" si="19"/>
        <v>26.348041668</v>
      </c>
      <c r="BD23" s="4">
        <v>0</v>
      </c>
      <c r="BE23" s="4">
        <f t="shared" si="20"/>
        <v>71825</v>
      </c>
      <c r="BF23" s="20">
        <f t="shared" si="21"/>
        <v>26.348041668</v>
      </c>
      <c r="BG23" s="4">
        <v>2600</v>
      </c>
      <c r="BH23" s="4">
        <f t="shared" si="22"/>
        <v>74425</v>
      </c>
      <c r="BI23" s="20">
        <f t="shared" si="23"/>
        <v>27.301816932000005</v>
      </c>
      <c r="BJ23" s="4">
        <v>900</v>
      </c>
      <c r="BK23" s="4"/>
      <c r="BL23" s="4">
        <f t="shared" si="11"/>
        <v>75325</v>
      </c>
      <c r="BM23" s="20">
        <f t="shared" si="69"/>
        <v>27.631969908000002</v>
      </c>
      <c r="BN23" s="4">
        <v>-2100</v>
      </c>
      <c r="BO23" s="4">
        <f t="shared" si="58"/>
        <v>73225</v>
      </c>
      <c r="BP23" s="20">
        <f t="shared" si="70"/>
        <v>26.861612964000003</v>
      </c>
      <c r="BQ23" s="4">
        <v>1450</v>
      </c>
      <c r="BR23" s="4">
        <f t="shared" si="59"/>
        <v>74675</v>
      </c>
      <c r="BS23" s="20">
        <f t="shared" si="24"/>
        <v>27.393526092000005</v>
      </c>
      <c r="BT23" s="4">
        <v>5150</v>
      </c>
      <c r="BU23" s="4">
        <f t="shared" si="60"/>
        <v>79825</v>
      </c>
      <c r="BV23" s="20">
        <f t="shared" si="25"/>
        <v>29.282734788000006</v>
      </c>
    </row>
    <row r="24" spans="1:74" hidden="1" x14ac:dyDescent="0.25">
      <c r="A24" s="4" t="s">
        <v>39</v>
      </c>
      <c r="B24" s="4" t="s">
        <v>14</v>
      </c>
      <c r="C24" s="4" t="s">
        <v>15</v>
      </c>
      <c r="D24" s="4">
        <v>15.88</v>
      </c>
      <c r="E24" s="4"/>
      <c r="F24" s="4">
        <v>1.2</v>
      </c>
      <c r="G24" s="4" t="str">
        <f t="shared" si="0"/>
        <v>15.88--1.2</v>
      </c>
      <c r="H24" s="10">
        <v>0.43428724800000001</v>
      </c>
      <c r="I24" s="4">
        <v>69405</v>
      </c>
      <c r="J24" s="4"/>
      <c r="K24" s="4">
        <v>1000</v>
      </c>
      <c r="L24" s="4"/>
      <c r="M24" s="4">
        <v>9800</v>
      </c>
      <c r="N24" s="4">
        <f t="shared" si="1"/>
        <v>80205</v>
      </c>
      <c r="O24" s="11">
        <f t="shared" si="2"/>
        <v>34.832008725840005</v>
      </c>
      <c r="P24" s="4">
        <v>6000</v>
      </c>
      <c r="Q24" s="4">
        <f t="shared" si="3"/>
        <v>86205</v>
      </c>
      <c r="R24" s="4">
        <f t="shared" si="4"/>
        <v>37.44</v>
      </c>
      <c r="S24" s="4">
        <v>4000</v>
      </c>
      <c r="T24" s="4">
        <f t="shared" si="5"/>
        <v>90205</v>
      </c>
      <c r="U24" s="4">
        <f t="shared" si="6"/>
        <v>39.17</v>
      </c>
      <c r="V24" s="4"/>
      <c r="W24" s="4"/>
      <c r="X24" s="4"/>
      <c r="Y24" s="4">
        <v>34.83</v>
      </c>
      <c r="Z24" s="4">
        <v>5700</v>
      </c>
      <c r="AA24" s="4">
        <f t="shared" si="61"/>
        <v>95905</v>
      </c>
      <c r="AB24" s="20">
        <f t="shared" si="62"/>
        <v>41.650318519439999</v>
      </c>
      <c r="AC24" s="4">
        <v>-11650</v>
      </c>
      <c r="AD24" s="4">
        <f t="shared" si="31"/>
        <v>84255</v>
      </c>
      <c r="AE24" s="4">
        <f t="shared" si="32"/>
        <v>36.590000000000003</v>
      </c>
      <c r="AF24" s="4">
        <v>-4200</v>
      </c>
      <c r="AG24" s="4">
        <f t="shared" si="33"/>
        <v>80055</v>
      </c>
      <c r="AH24" s="4">
        <f t="shared" si="34"/>
        <v>34.770000000000003</v>
      </c>
      <c r="AI24" s="30">
        <v>1950</v>
      </c>
      <c r="AJ24" s="4">
        <f t="shared" si="63"/>
        <v>82005</v>
      </c>
      <c r="AK24" s="4">
        <f t="shared" si="64"/>
        <v>35.61</v>
      </c>
      <c r="AL24" s="30">
        <v>-4825</v>
      </c>
      <c r="AM24" s="4">
        <f t="shared" si="65"/>
        <v>77180</v>
      </c>
      <c r="AN24" s="4">
        <f t="shared" si="66"/>
        <v>33.520000000000003</v>
      </c>
      <c r="AO24" s="4">
        <f>1920</f>
        <v>1920</v>
      </c>
      <c r="AP24" s="4">
        <f t="shared" si="67"/>
        <v>79100</v>
      </c>
      <c r="AQ24" s="4">
        <f t="shared" si="68"/>
        <v>34.35</v>
      </c>
      <c r="AR24" s="4">
        <v>-1200</v>
      </c>
      <c r="AS24" s="4">
        <f t="shared" si="12"/>
        <v>77900</v>
      </c>
      <c r="AT24" s="20">
        <f t="shared" si="13"/>
        <v>33.830976619200001</v>
      </c>
      <c r="AU24" s="4">
        <v>-2125</v>
      </c>
      <c r="AV24" s="4">
        <f t="shared" si="14"/>
        <v>75775</v>
      </c>
      <c r="AW24" s="20">
        <f t="shared" si="15"/>
        <v>32.908116217200003</v>
      </c>
      <c r="AX24" s="4">
        <v>200</v>
      </c>
      <c r="AY24" s="4">
        <f t="shared" si="16"/>
        <v>75975</v>
      </c>
      <c r="AZ24" s="20">
        <f t="shared" si="17"/>
        <v>32.994973666800007</v>
      </c>
      <c r="BA24" s="4">
        <v>-4150</v>
      </c>
      <c r="BB24" s="4">
        <f t="shared" si="18"/>
        <v>71825</v>
      </c>
      <c r="BC24" s="20">
        <f t="shared" si="19"/>
        <v>31.192681587599999</v>
      </c>
      <c r="BD24" s="4">
        <v>0</v>
      </c>
      <c r="BE24" s="4">
        <f t="shared" si="20"/>
        <v>71825</v>
      </c>
      <c r="BF24" s="20">
        <f t="shared" si="21"/>
        <v>31.192681587599999</v>
      </c>
      <c r="BG24" s="4">
        <v>2600</v>
      </c>
      <c r="BH24" s="4">
        <f t="shared" si="22"/>
        <v>74425</v>
      </c>
      <c r="BI24" s="20">
        <f t="shared" si="23"/>
        <v>32.321828432400004</v>
      </c>
      <c r="BJ24" s="4">
        <v>900</v>
      </c>
      <c r="BK24" s="4"/>
      <c r="BL24" s="4">
        <f t="shared" si="11"/>
        <v>75325</v>
      </c>
      <c r="BM24" s="20">
        <f t="shared" si="69"/>
        <v>32.712686955599999</v>
      </c>
      <c r="BN24" s="4">
        <v>-2100</v>
      </c>
      <c r="BO24" s="4">
        <f t="shared" si="58"/>
        <v>73225</v>
      </c>
      <c r="BP24" s="20">
        <f t="shared" si="70"/>
        <v>31.8006837348</v>
      </c>
      <c r="BQ24" s="4">
        <v>1450</v>
      </c>
      <c r="BR24" s="4">
        <f t="shared" si="59"/>
        <v>74675</v>
      </c>
      <c r="BS24" s="20">
        <f t="shared" si="24"/>
        <v>32.430400244399998</v>
      </c>
      <c r="BT24" s="4">
        <v>5150</v>
      </c>
      <c r="BU24" s="4">
        <f t="shared" si="60"/>
        <v>79825</v>
      </c>
      <c r="BV24" s="20">
        <f t="shared" si="25"/>
        <v>34.666979571600002</v>
      </c>
    </row>
    <row r="25" spans="1:74" hidden="1" x14ac:dyDescent="0.25">
      <c r="A25" s="4" t="s">
        <v>39</v>
      </c>
      <c r="B25" s="4" t="s">
        <v>14</v>
      </c>
      <c r="C25" s="4" t="s">
        <v>15</v>
      </c>
      <c r="D25" s="4">
        <v>15.88</v>
      </c>
      <c r="E25" s="4"/>
      <c r="F25" s="4">
        <v>1.6</v>
      </c>
      <c r="G25" s="4" t="str">
        <f t="shared" si="0"/>
        <v>15.88--1.6</v>
      </c>
      <c r="H25" s="10">
        <v>0.56327174400000013</v>
      </c>
      <c r="I25" s="4">
        <v>69405</v>
      </c>
      <c r="J25" s="4"/>
      <c r="K25" s="4">
        <v>1000</v>
      </c>
      <c r="L25" s="4"/>
      <c r="M25" s="4">
        <v>9800</v>
      </c>
      <c r="N25" s="4">
        <f t="shared" si="1"/>
        <v>80205</v>
      </c>
      <c r="O25" s="11">
        <f t="shared" si="2"/>
        <v>45.177210227520007</v>
      </c>
      <c r="P25" s="4">
        <v>6000</v>
      </c>
      <c r="Q25" s="4">
        <f t="shared" si="3"/>
        <v>86205</v>
      </c>
      <c r="R25" s="4">
        <f t="shared" si="4"/>
        <v>48.56</v>
      </c>
      <c r="S25" s="4">
        <v>4000</v>
      </c>
      <c r="T25" s="4">
        <f t="shared" si="5"/>
        <v>90205</v>
      </c>
      <c r="U25" s="4">
        <f t="shared" si="6"/>
        <v>50.81</v>
      </c>
      <c r="V25" s="4"/>
      <c r="W25" s="4"/>
      <c r="X25" s="4"/>
      <c r="Y25" s="4">
        <v>45.18</v>
      </c>
      <c r="Z25" s="4">
        <v>5700</v>
      </c>
      <c r="AA25" s="4">
        <f t="shared" si="61"/>
        <v>95905</v>
      </c>
      <c r="AB25" s="20">
        <f t="shared" si="62"/>
        <v>54.020576608320013</v>
      </c>
      <c r="AC25" s="4">
        <v>-11650</v>
      </c>
      <c r="AD25" s="4">
        <f t="shared" si="31"/>
        <v>84255</v>
      </c>
      <c r="AE25" s="4">
        <f t="shared" si="32"/>
        <v>47.46</v>
      </c>
      <c r="AF25" s="4">
        <v>-4200</v>
      </c>
      <c r="AG25" s="4">
        <f t="shared" si="33"/>
        <v>80055</v>
      </c>
      <c r="AH25" s="4">
        <f t="shared" si="34"/>
        <v>45.09</v>
      </c>
      <c r="AI25" s="30">
        <v>1950</v>
      </c>
      <c r="AJ25" s="4">
        <f t="shared" si="63"/>
        <v>82005</v>
      </c>
      <c r="AK25" s="4">
        <f t="shared" si="64"/>
        <v>46.19</v>
      </c>
      <c r="AL25" s="30">
        <v>-4825</v>
      </c>
      <c r="AM25" s="4">
        <f t="shared" si="65"/>
        <v>77180</v>
      </c>
      <c r="AN25" s="4">
        <f t="shared" si="66"/>
        <v>43.47</v>
      </c>
      <c r="AO25" s="4">
        <f>1920</f>
        <v>1920</v>
      </c>
      <c r="AP25" s="4">
        <f t="shared" si="67"/>
        <v>79100</v>
      </c>
      <c r="AQ25" s="4">
        <f t="shared" si="68"/>
        <v>44.55</v>
      </c>
      <c r="AR25" s="4">
        <v>-1200</v>
      </c>
      <c r="AS25" s="4">
        <f t="shared" si="12"/>
        <v>77900</v>
      </c>
      <c r="AT25" s="20">
        <f t="shared" si="13"/>
        <v>43.878868857600011</v>
      </c>
      <c r="AU25" s="4">
        <v>-2125</v>
      </c>
      <c r="AV25" s="4">
        <f t="shared" si="14"/>
        <v>75775</v>
      </c>
      <c r="AW25" s="20">
        <f t="shared" si="15"/>
        <v>42.681916401600006</v>
      </c>
      <c r="AX25" s="4">
        <v>200</v>
      </c>
      <c r="AY25" s="4">
        <f t="shared" si="16"/>
        <v>75975</v>
      </c>
      <c r="AZ25" s="20">
        <f t="shared" si="17"/>
        <v>42.794570750400013</v>
      </c>
      <c r="BA25" s="4">
        <v>-4150</v>
      </c>
      <c r="BB25" s="4">
        <f t="shared" si="18"/>
        <v>71825</v>
      </c>
      <c r="BC25" s="20">
        <f t="shared" si="19"/>
        <v>40.456993012800012</v>
      </c>
      <c r="BD25" s="4">
        <v>0</v>
      </c>
      <c r="BE25" s="4">
        <f t="shared" si="20"/>
        <v>71825</v>
      </c>
      <c r="BF25" s="20">
        <f t="shared" si="21"/>
        <v>40.456993012800012</v>
      </c>
      <c r="BG25" s="4">
        <v>2600</v>
      </c>
      <c r="BH25" s="4">
        <f t="shared" si="22"/>
        <v>74425</v>
      </c>
      <c r="BI25" s="20">
        <f t="shared" si="23"/>
        <v>41.921499547200007</v>
      </c>
      <c r="BJ25" s="4">
        <v>900</v>
      </c>
      <c r="BK25" s="4"/>
      <c r="BL25" s="4">
        <f t="shared" si="11"/>
        <v>75325</v>
      </c>
      <c r="BM25" s="20">
        <f t="shared" si="69"/>
        <v>42.428444116800009</v>
      </c>
      <c r="BN25" s="4">
        <v>-2100</v>
      </c>
      <c r="BO25" s="4">
        <f t="shared" si="58"/>
        <v>73225</v>
      </c>
      <c r="BP25" s="20">
        <f t="shared" si="70"/>
        <v>41.245573454400009</v>
      </c>
      <c r="BQ25" s="4">
        <v>1450</v>
      </c>
      <c r="BR25" s="4">
        <f t="shared" si="59"/>
        <v>74675</v>
      </c>
      <c r="BS25" s="20">
        <f t="shared" si="24"/>
        <v>42.062317483200005</v>
      </c>
      <c r="BT25" s="4">
        <v>5150</v>
      </c>
      <c r="BU25" s="4">
        <f t="shared" si="60"/>
        <v>79825</v>
      </c>
      <c r="BV25" s="20">
        <f t="shared" si="25"/>
        <v>44.96316696480001</v>
      </c>
    </row>
    <row r="26" spans="1:74" hidden="1" x14ac:dyDescent="0.25">
      <c r="A26" s="4" t="s">
        <v>39</v>
      </c>
      <c r="B26" s="4" t="s">
        <v>14</v>
      </c>
      <c r="C26" s="4" t="s">
        <v>18</v>
      </c>
      <c r="D26" s="4">
        <v>15.88</v>
      </c>
      <c r="E26" s="4"/>
      <c r="F26" s="4">
        <v>2</v>
      </c>
      <c r="G26" s="4" t="str">
        <f t="shared" si="0"/>
        <v>15.88--2</v>
      </c>
      <c r="H26" s="10">
        <v>0.68436728000000002</v>
      </c>
      <c r="I26" s="4">
        <v>65875</v>
      </c>
      <c r="J26" s="4"/>
      <c r="K26" s="4">
        <v>1000</v>
      </c>
      <c r="L26" s="4"/>
      <c r="M26" s="4">
        <v>7500</v>
      </c>
      <c r="N26" s="4">
        <f t="shared" si="1"/>
        <v>74375</v>
      </c>
      <c r="O26" s="11">
        <f t="shared" si="2"/>
        <v>50.899816449999996</v>
      </c>
      <c r="P26" s="4">
        <v>5600</v>
      </c>
      <c r="Q26" s="4">
        <f t="shared" si="3"/>
        <v>79975</v>
      </c>
      <c r="R26" s="4">
        <f t="shared" si="4"/>
        <v>54.73</v>
      </c>
      <c r="S26" s="4">
        <v>3900</v>
      </c>
      <c r="T26" s="4">
        <f t="shared" si="5"/>
        <v>83875</v>
      </c>
      <c r="U26" s="4">
        <f t="shared" si="6"/>
        <v>57.4</v>
      </c>
      <c r="V26" s="4"/>
      <c r="W26" s="4"/>
      <c r="X26" s="4"/>
      <c r="Y26" s="21">
        <v>50.9</v>
      </c>
      <c r="Z26" s="4">
        <v>6000</v>
      </c>
      <c r="AA26" s="4">
        <f>Z26+T26</f>
        <v>89875</v>
      </c>
      <c r="AB26" s="4">
        <f>ROUND(AA26*H26/1000,2)</f>
        <v>61.51</v>
      </c>
      <c r="AC26" s="4">
        <v>-10200</v>
      </c>
      <c r="AD26" s="4">
        <f>AC26+AA26</f>
        <v>79675</v>
      </c>
      <c r="AE26" s="4">
        <f>ROUND(AD26*H26/1000,2)</f>
        <v>54.53</v>
      </c>
      <c r="AF26" s="4">
        <v>-4900</v>
      </c>
      <c r="AG26" s="4">
        <f>AD26+AF26</f>
        <v>74775</v>
      </c>
      <c r="AH26" s="4">
        <f>ROUND(AG26*H26/1000,2)</f>
        <v>51.17</v>
      </c>
      <c r="AI26" s="30">
        <v>3300</v>
      </c>
      <c r="AJ26" s="4">
        <f>AG26+AI26</f>
        <v>78075</v>
      </c>
      <c r="AK26" s="4">
        <f>ROUND(AJ26*H26/1000,2)</f>
        <v>53.43</v>
      </c>
      <c r="AL26" s="30">
        <v>-3800</v>
      </c>
      <c r="AM26" s="4">
        <f>AJ26+AL26</f>
        <v>74275</v>
      </c>
      <c r="AN26" s="4">
        <f>ROUND(AM26*H26/1000,2)</f>
        <v>50.83</v>
      </c>
      <c r="AO26" s="4">
        <f>2000</f>
        <v>2000</v>
      </c>
      <c r="AP26" s="4">
        <f>AM26+AO26</f>
        <v>76275</v>
      </c>
      <c r="AQ26" s="4">
        <f>ROUND(AP26*H26/1000,2)</f>
        <v>52.2</v>
      </c>
      <c r="AR26" s="4">
        <v>-1950</v>
      </c>
      <c r="AS26" s="4">
        <f t="shared" si="12"/>
        <v>74325</v>
      </c>
      <c r="AT26" s="20">
        <f t="shared" si="13"/>
        <v>50.865598085999999</v>
      </c>
      <c r="AU26" s="4">
        <v>-2625</v>
      </c>
      <c r="AV26" s="4">
        <f t="shared" si="14"/>
        <v>71700</v>
      </c>
      <c r="AW26" s="20">
        <f t="shared" si="15"/>
        <v>49.069133976000003</v>
      </c>
      <c r="AX26" s="4">
        <v>500</v>
      </c>
      <c r="AY26" s="4">
        <f t="shared" si="16"/>
        <v>72200</v>
      </c>
      <c r="AZ26" s="20">
        <f t="shared" si="17"/>
        <v>49.411317615999998</v>
      </c>
      <c r="BA26" s="4">
        <v>-4750</v>
      </c>
      <c r="BB26" s="4">
        <f t="shared" si="18"/>
        <v>67450</v>
      </c>
      <c r="BC26" s="20">
        <f t="shared" si="19"/>
        <v>46.160573036000002</v>
      </c>
      <c r="BD26" s="4">
        <v>0</v>
      </c>
      <c r="BE26" s="4">
        <f t="shared" si="20"/>
        <v>67450</v>
      </c>
      <c r="BF26" s="20">
        <f t="shared" si="21"/>
        <v>46.160573036000002</v>
      </c>
      <c r="BG26" s="4">
        <v>2600</v>
      </c>
      <c r="BH26" s="4">
        <f t="shared" si="22"/>
        <v>70050</v>
      </c>
      <c r="BI26" s="20">
        <f t="shared" si="23"/>
        <v>47.939927963999999</v>
      </c>
      <c r="BJ26" s="4">
        <v>1000</v>
      </c>
      <c r="BK26" s="4"/>
      <c r="BL26" s="4">
        <f t="shared" si="11"/>
        <v>71050</v>
      </c>
      <c r="BM26" s="20">
        <f>BL26*H26/1000</f>
        <v>48.624295244000002</v>
      </c>
      <c r="BN26" s="4">
        <v>-2150</v>
      </c>
      <c r="BO26" s="4">
        <f t="shared" ref="BO26:BO31" si="71">BL26+BN26</f>
        <v>68900</v>
      </c>
      <c r="BP26" s="20">
        <f>BO26*H26/1000</f>
        <v>47.152905592000003</v>
      </c>
      <c r="BQ26" s="4">
        <v>1500</v>
      </c>
      <c r="BR26" s="4">
        <f t="shared" si="59"/>
        <v>70400</v>
      </c>
      <c r="BS26" s="20">
        <f t="shared" si="24"/>
        <v>48.179456512000002</v>
      </c>
      <c r="BT26" s="4">
        <v>5500</v>
      </c>
      <c r="BU26" s="4">
        <f t="shared" si="60"/>
        <v>75900</v>
      </c>
      <c r="BV26" s="20">
        <f t="shared" si="25"/>
        <v>51.943476552</v>
      </c>
    </row>
    <row r="27" spans="1:74" hidden="1" x14ac:dyDescent="0.25">
      <c r="A27" s="4" t="s">
        <v>39</v>
      </c>
      <c r="B27" s="4" t="s">
        <v>14</v>
      </c>
      <c r="C27" s="4" t="s">
        <v>15</v>
      </c>
      <c r="D27" s="4">
        <v>17.3</v>
      </c>
      <c r="E27" s="4"/>
      <c r="F27" s="4">
        <v>1.2</v>
      </c>
      <c r="G27" s="4" t="str">
        <f t="shared" si="0"/>
        <v>17.3--1.2</v>
      </c>
      <c r="H27" s="10">
        <v>0.47629596000000002</v>
      </c>
      <c r="I27" s="4">
        <v>69405</v>
      </c>
      <c r="J27" s="4"/>
      <c r="K27" s="4">
        <v>1000</v>
      </c>
      <c r="L27" s="4"/>
      <c r="M27" s="4">
        <v>9800</v>
      </c>
      <c r="N27" s="4">
        <f t="shared" si="1"/>
        <v>80205</v>
      </c>
      <c r="O27" s="11">
        <f t="shared" si="2"/>
        <v>38.201317471800003</v>
      </c>
      <c r="P27" s="4">
        <v>6000</v>
      </c>
      <c r="Q27" s="4">
        <f t="shared" si="3"/>
        <v>86205</v>
      </c>
      <c r="R27" s="4">
        <f t="shared" si="4"/>
        <v>41.06</v>
      </c>
      <c r="S27" s="4">
        <v>4000</v>
      </c>
      <c r="T27" s="4">
        <f t="shared" si="5"/>
        <v>90205</v>
      </c>
      <c r="U27" s="4">
        <f t="shared" si="6"/>
        <v>42.96</v>
      </c>
      <c r="V27" s="4"/>
      <c r="W27" s="4"/>
      <c r="X27" s="4"/>
      <c r="Y27" s="4">
        <v>38.200000000000003</v>
      </c>
      <c r="Z27" s="4">
        <v>5700</v>
      </c>
      <c r="AA27" s="22">
        <f t="shared" ref="AA27:AA31" si="72">T27+Z27</f>
        <v>95905</v>
      </c>
      <c r="AB27" s="23">
        <f t="shared" ref="AB27:AB31" si="73">$H27*AA27/1000</f>
        <v>45.6791640438</v>
      </c>
      <c r="AC27" s="4">
        <v>-11650</v>
      </c>
      <c r="AD27" s="22">
        <f t="shared" ref="AD27:AD45" si="74">AC27+AA27</f>
        <v>84255</v>
      </c>
      <c r="AE27" s="22">
        <f t="shared" ref="AE27:AE45" si="75">ROUND(AD27*H27/1000,2)</f>
        <v>40.130000000000003</v>
      </c>
      <c r="AF27" s="4">
        <v>-4200</v>
      </c>
      <c r="AG27" s="4">
        <f t="shared" ref="AG27:AG45" si="76">AD27+AF27</f>
        <v>80055</v>
      </c>
      <c r="AH27" s="4">
        <f t="shared" ref="AH27:AH45" si="77">ROUND(AG27*H27/1000,2)</f>
        <v>38.130000000000003</v>
      </c>
      <c r="AI27" s="30">
        <v>1950</v>
      </c>
      <c r="AJ27" s="4">
        <f t="shared" ref="AJ27:AJ34" si="78">AG27+AI27</f>
        <v>82005</v>
      </c>
      <c r="AK27" s="4">
        <f t="shared" ref="AK27:AK34" si="79">ROUND(AJ27*H27/1000,2)</f>
        <v>39.06</v>
      </c>
      <c r="AL27" s="30">
        <v>-4825</v>
      </c>
      <c r="AM27" s="4">
        <f t="shared" ref="AM27:AM34" si="80">AJ27+AL27</f>
        <v>77180</v>
      </c>
      <c r="AN27" s="4">
        <f t="shared" ref="AN27:AN34" si="81">ROUND(AM27*H27/1000,2)</f>
        <v>36.76</v>
      </c>
      <c r="AO27" s="4">
        <f>1920</f>
        <v>1920</v>
      </c>
      <c r="AP27" s="4">
        <f t="shared" ref="AP27:AP34" si="82">AM27+AO27</f>
        <v>79100</v>
      </c>
      <c r="AQ27" s="4">
        <f t="shared" ref="AQ27:AQ34" si="83">ROUND(AP27*H27/1000,2)</f>
        <v>37.68</v>
      </c>
      <c r="AR27" s="4">
        <v>-1200</v>
      </c>
      <c r="AS27" s="4">
        <f t="shared" si="12"/>
        <v>77900</v>
      </c>
      <c r="AT27" s="20">
        <f t="shared" si="13"/>
        <v>37.103455284000006</v>
      </c>
      <c r="AU27" s="4">
        <v>-2125</v>
      </c>
      <c r="AV27" s="4">
        <f t="shared" si="14"/>
        <v>75775</v>
      </c>
      <c r="AW27" s="20">
        <f t="shared" si="15"/>
        <v>36.091326369000001</v>
      </c>
      <c r="AX27" s="4">
        <v>200</v>
      </c>
      <c r="AY27" s="4">
        <f t="shared" si="16"/>
        <v>75975</v>
      </c>
      <c r="AZ27" s="20">
        <f t="shared" si="17"/>
        <v>36.186585561000001</v>
      </c>
      <c r="BA27" s="4">
        <v>-4150</v>
      </c>
      <c r="BB27" s="4">
        <f t="shared" si="18"/>
        <v>71825</v>
      </c>
      <c r="BC27" s="20">
        <f t="shared" si="19"/>
        <v>34.209957327000005</v>
      </c>
      <c r="BD27" s="4">
        <v>0</v>
      </c>
      <c r="BE27" s="4">
        <f t="shared" si="20"/>
        <v>71825</v>
      </c>
      <c r="BF27" s="20">
        <f t="shared" si="21"/>
        <v>34.209957327000005</v>
      </c>
      <c r="BG27" s="4">
        <v>2600</v>
      </c>
      <c r="BH27" s="4">
        <f t="shared" si="22"/>
        <v>74425</v>
      </c>
      <c r="BI27" s="20">
        <f t="shared" si="23"/>
        <v>35.448326823000002</v>
      </c>
      <c r="BJ27" s="4">
        <v>900</v>
      </c>
      <c r="BK27" s="4"/>
      <c r="BL27" s="4">
        <f t="shared" si="11"/>
        <v>75325</v>
      </c>
      <c r="BM27" s="20">
        <f t="shared" ref="BM27:BM31" si="84">BL27*H27/1000</f>
        <v>35.876993186999997</v>
      </c>
      <c r="BN27" s="4">
        <v>-2100</v>
      </c>
      <c r="BO27" s="4">
        <f t="shared" si="71"/>
        <v>73225</v>
      </c>
      <c r="BP27" s="20">
        <f t="shared" ref="BP27:BP31" si="85">BO27*H27/1000</f>
        <v>34.876771671</v>
      </c>
      <c r="BQ27" s="4">
        <v>1450</v>
      </c>
      <c r="BR27" s="4">
        <f t="shared" si="59"/>
        <v>74675</v>
      </c>
      <c r="BS27" s="20">
        <f t="shared" si="24"/>
        <v>35.567400812999999</v>
      </c>
      <c r="BT27" s="4">
        <v>5150</v>
      </c>
      <c r="BU27" s="4">
        <f t="shared" si="60"/>
        <v>79825</v>
      </c>
      <c r="BV27" s="20">
        <f t="shared" si="25"/>
        <v>38.020325006999997</v>
      </c>
    </row>
    <row r="28" spans="1:74" hidden="1" x14ac:dyDescent="0.25">
      <c r="A28" s="4" t="s">
        <v>39</v>
      </c>
      <c r="B28" s="4" t="s">
        <v>14</v>
      </c>
      <c r="C28" s="4" t="s">
        <v>15</v>
      </c>
      <c r="D28" s="4">
        <v>17.3</v>
      </c>
      <c r="E28" s="4"/>
      <c r="F28" s="4">
        <v>1.6</v>
      </c>
      <c r="G28" s="4" t="str">
        <f t="shared" si="0"/>
        <v>17.3--1.6</v>
      </c>
      <c r="H28" s="10">
        <v>0.61928336000000017</v>
      </c>
      <c r="I28" s="4">
        <v>69405</v>
      </c>
      <c r="J28" s="4"/>
      <c r="K28" s="4">
        <v>1000</v>
      </c>
      <c r="L28" s="4"/>
      <c r="M28" s="4">
        <v>9800</v>
      </c>
      <c r="N28" s="4">
        <f t="shared" si="1"/>
        <v>80205</v>
      </c>
      <c r="O28" s="11">
        <f t="shared" si="2"/>
        <v>49.669621888800016</v>
      </c>
      <c r="P28" s="4">
        <v>6000</v>
      </c>
      <c r="Q28" s="4">
        <f t="shared" si="3"/>
        <v>86205</v>
      </c>
      <c r="R28" s="4">
        <f t="shared" si="4"/>
        <v>53.39</v>
      </c>
      <c r="S28" s="4">
        <v>4000</v>
      </c>
      <c r="T28" s="4">
        <f t="shared" si="5"/>
        <v>90205</v>
      </c>
      <c r="U28" s="4">
        <f t="shared" si="6"/>
        <v>55.86</v>
      </c>
      <c r="V28" s="4"/>
      <c r="W28" s="4"/>
      <c r="X28" s="4"/>
      <c r="Y28" s="4">
        <v>49.67</v>
      </c>
      <c r="Z28" s="4">
        <v>5700</v>
      </c>
      <c r="AA28" s="4">
        <f t="shared" si="72"/>
        <v>95905</v>
      </c>
      <c r="AB28" s="20">
        <f t="shared" si="73"/>
        <v>59.392370640800017</v>
      </c>
      <c r="AC28" s="4">
        <v>-11650</v>
      </c>
      <c r="AD28" s="4">
        <f t="shared" si="74"/>
        <v>84255</v>
      </c>
      <c r="AE28" s="4">
        <f t="shared" si="75"/>
        <v>52.18</v>
      </c>
      <c r="AF28" s="4">
        <v>-4200</v>
      </c>
      <c r="AG28" s="4">
        <f t="shared" si="76"/>
        <v>80055</v>
      </c>
      <c r="AH28" s="4">
        <f t="shared" si="77"/>
        <v>49.58</v>
      </c>
      <c r="AI28" s="30">
        <v>1950</v>
      </c>
      <c r="AJ28" s="4">
        <f t="shared" si="78"/>
        <v>82005</v>
      </c>
      <c r="AK28" s="4">
        <f t="shared" si="79"/>
        <v>50.78</v>
      </c>
      <c r="AL28" s="30">
        <v>-4825</v>
      </c>
      <c r="AM28" s="4">
        <f t="shared" si="80"/>
        <v>77180</v>
      </c>
      <c r="AN28" s="4">
        <f t="shared" si="81"/>
        <v>47.8</v>
      </c>
      <c r="AO28" s="4">
        <f>1920</f>
        <v>1920</v>
      </c>
      <c r="AP28" s="4">
        <f t="shared" si="82"/>
        <v>79100</v>
      </c>
      <c r="AQ28" s="4">
        <f t="shared" si="83"/>
        <v>48.99</v>
      </c>
      <c r="AR28" s="4">
        <v>-1200</v>
      </c>
      <c r="AS28" s="4">
        <f t="shared" si="12"/>
        <v>77900</v>
      </c>
      <c r="AT28" s="20">
        <f t="shared" si="13"/>
        <v>48.242173744000013</v>
      </c>
      <c r="AU28" s="4">
        <v>-2125</v>
      </c>
      <c r="AV28" s="4">
        <f t="shared" si="14"/>
        <v>75775</v>
      </c>
      <c r="AW28" s="20">
        <f t="shared" si="15"/>
        <v>46.926196604000012</v>
      </c>
      <c r="AX28" s="4">
        <v>200</v>
      </c>
      <c r="AY28" s="4">
        <f t="shared" si="16"/>
        <v>75975</v>
      </c>
      <c r="AZ28" s="20">
        <f t="shared" si="17"/>
        <v>47.050053276000014</v>
      </c>
      <c r="BA28" s="4">
        <v>-4150</v>
      </c>
      <c r="BB28" s="4">
        <f t="shared" si="18"/>
        <v>71825</v>
      </c>
      <c r="BC28" s="20">
        <f t="shared" si="19"/>
        <v>44.480027332000013</v>
      </c>
      <c r="BD28" s="4">
        <v>0</v>
      </c>
      <c r="BE28" s="4">
        <f t="shared" si="20"/>
        <v>71825</v>
      </c>
      <c r="BF28" s="20">
        <f t="shared" si="21"/>
        <v>44.480027332000013</v>
      </c>
      <c r="BG28" s="4">
        <v>2600</v>
      </c>
      <c r="BH28" s="4">
        <f t="shared" si="22"/>
        <v>74425</v>
      </c>
      <c r="BI28" s="20">
        <f t="shared" si="23"/>
        <v>46.090164068000014</v>
      </c>
      <c r="BJ28" s="4">
        <v>900</v>
      </c>
      <c r="BK28" s="4"/>
      <c r="BL28" s="4">
        <f t="shared" si="11"/>
        <v>75325</v>
      </c>
      <c r="BM28" s="20">
        <f t="shared" si="84"/>
        <v>46.64751909200001</v>
      </c>
      <c r="BN28" s="4">
        <v>-2100</v>
      </c>
      <c r="BO28" s="4">
        <f t="shared" si="71"/>
        <v>73225</v>
      </c>
      <c r="BP28" s="20">
        <f t="shared" si="85"/>
        <v>45.347024036000008</v>
      </c>
      <c r="BQ28" s="4">
        <v>1450</v>
      </c>
      <c r="BR28" s="4">
        <f t="shared" si="59"/>
        <v>74675</v>
      </c>
      <c r="BS28" s="20">
        <f t="shared" si="24"/>
        <v>46.244984908000013</v>
      </c>
      <c r="BT28" s="4">
        <v>5150</v>
      </c>
      <c r="BU28" s="4">
        <f t="shared" si="60"/>
        <v>79825</v>
      </c>
      <c r="BV28" s="20">
        <f t="shared" si="25"/>
        <v>49.434294212000012</v>
      </c>
    </row>
    <row r="29" spans="1:74" hidden="1" x14ac:dyDescent="0.25">
      <c r="A29" s="4" t="s">
        <v>39</v>
      </c>
      <c r="B29" s="4" t="s">
        <v>14</v>
      </c>
      <c r="C29" s="4" t="s">
        <v>15</v>
      </c>
      <c r="D29" s="4">
        <v>18.2</v>
      </c>
      <c r="E29" s="4"/>
      <c r="F29" s="4">
        <v>1</v>
      </c>
      <c r="G29" s="4" t="str">
        <f t="shared" si="0"/>
        <v>18.2--1</v>
      </c>
      <c r="H29" s="10">
        <v>0.42403160000000001</v>
      </c>
      <c r="I29" s="4">
        <v>69405</v>
      </c>
      <c r="J29" s="4"/>
      <c r="K29" s="4">
        <v>250</v>
      </c>
      <c r="L29" s="4"/>
      <c r="M29" s="4">
        <v>9800</v>
      </c>
      <c r="N29" s="4">
        <f t="shared" si="1"/>
        <v>79455</v>
      </c>
      <c r="O29" s="11">
        <f t="shared" si="2"/>
        <v>33.691430778000004</v>
      </c>
      <c r="P29" s="4">
        <v>6000</v>
      </c>
      <c r="Q29" s="4">
        <f t="shared" si="3"/>
        <v>85455</v>
      </c>
      <c r="R29" s="4">
        <f t="shared" si="4"/>
        <v>36.24</v>
      </c>
      <c r="S29" s="4">
        <v>4000</v>
      </c>
      <c r="T29" s="4">
        <f t="shared" si="5"/>
        <v>89455</v>
      </c>
      <c r="U29" s="4">
        <f t="shared" si="6"/>
        <v>37.93</v>
      </c>
      <c r="V29" s="4"/>
      <c r="W29" s="4"/>
      <c r="X29" s="4"/>
      <c r="Y29" s="4">
        <v>33.69</v>
      </c>
      <c r="Z29" s="4">
        <v>5700</v>
      </c>
      <c r="AA29" s="4">
        <f t="shared" si="72"/>
        <v>95155</v>
      </c>
      <c r="AB29" s="20">
        <f t="shared" si="73"/>
        <v>40.348726898000002</v>
      </c>
      <c r="AC29" s="4">
        <v>-11650</v>
      </c>
      <c r="AD29" s="4">
        <f t="shared" si="74"/>
        <v>83505</v>
      </c>
      <c r="AE29" s="4">
        <f t="shared" si="75"/>
        <v>35.409999999999997</v>
      </c>
      <c r="AF29" s="4">
        <v>-4200</v>
      </c>
      <c r="AG29" s="4">
        <f t="shared" si="76"/>
        <v>79305</v>
      </c>
      <c r="AH29" s="4">
        <f t="shared" si="77"/>
        <v>33.630000000000003</v>
      </c>
      <c r="AI29" s="30">
        <v>1950</v>
      </c>
      <c r="AJ29" s="4">
        <f t="shared" si="78"/>
        <v>81255</v>
      </c>
      <c r="AK29" s="4">
        <f t="shared" si="79"/>
        <v>34.450000000000003</v>
      </c>
      <c r="AL29" s="30">
        <v>-4825</v>
      </c>
      <c r="AM29" s="4">
        <f t="shared" si="80"/>
        <v>76430</v>
      </c>
      <c r="AN29" s="4">
        <f t="shared" si="81"/>
        <v>32.409999999999997</v>
      </c>
      <c r="AO29" s="4">
        <f>1920</f>
        <v>1920</v>
      </c>
      <c r="AP29" s="4">
        <f t="shared" si="82"/>
        <v>78350</v>
      </c>
      <c r="AQ29" s="4">
        <f t="shared" si="83"/>
        <v>33.22</v>
      </c>
      <c r="AR29" s="4">
        <v>-1200</v>
      </c>
      <c r="AS29" s="4">
        <f t="shared" si="12"/>
        <v>77150</v>
      </c>
      <c r="AT29" s="20">
        <f t="shared" si="13"/>
        <v>32.714037940000004</v>
      </c>
      <c r="AU29" s="4">
        <v>-2125</v>
      </c>
      <c r="AV29" s="4">
        <f t="shared" si="14"/>
        <v>75025</v>
      </c>
      <c r="AW29" s="20">
        <f t="shared" si="15"/>
        <v>31.812970789999998</v>
      </c>
      <c r="AX29" s="4">
        <v>200</v>
      </c>
      <c r="AY29" s="4">
        <f t="shared" si="16"/>
        <v>75225</v>
      </c>
      <c r="AZ29" s="20">
        <f t="shared" si="17"/>
        <v>31.89777711</v>
      </c>
      <c r="BA29" s="4">
        <v>-4150</v>
      </c>
      <c r="BB29" s="4">
        <f t="shared" si="18"/>
        <v>71075</v>
      </c>
      <c r="BC29" s="20">
        <f t="shared" si="19"/>
        <v>30.13804597</v>
      </c>
      <c r="BD29" s="4">
        <v>0</v>
      </c>
      <c r="BE29" s="4">
        <f t="shared" si="20"/>
        <v>71075</v>
      </c>
      <c r="BF29" s="20">
        <f t="shared" si="21"/>
        <v>30.13804597</v>
      </c>
      <c r="BG29" s="4">
        <v>2600</v>
      </c>
      <c r="BH29" s="4">
        <f t="shared" si="22"/>
        <v>73675</v>
      </c>
      <c r="BI29" s="20">
        <f t="shared" si="23"/>
        <v>31.240528130000001</v>
      </c>
      <c r="BJ29" s="4">
        <v>900</v>
      </c>
      <c r="BK29" s="4"/>
      <c r="BL29" s="4">
        <f t="shared" si="11"/>
        <v>74575</v>
      </c>
      <c r="BM29" s="20">
        <f t="shared" si="84"/>
        <v>31.622156569999998</v>
      </c>
      <c r="BN29" s="4">
        <v>-2100</v>
      </c>
      <c r="BO29" s="4">
        <f t="shared" si="71"/>
        <v>72475</v>
      </c>
      <c r="BP29" s="20">
        <f t="shared" si="85"/>
        <v>30.73169021</v>
      </c>
      <c r="BQ29" s="4">
        <v>1450</v>
      </c>
      <c r="BR29" s="4">
        <f t="shared" si="59"/>
        <v>73925</v>
      </c>
      <c r="BS29" s="20">
        <f t="shared" si="24"/>
        <v>31.346536029999999</v>
      </c>
      <c r="BT29" s="4">
        <v>5150</v>
      </c>
      <c r="BU29" s="4">
        <f t="shared" si="60"/>
        <v>79075</v>
      </c>
      <c r="BV29" s="20">
        <f t="shared" si="25"/>
        <v>33.530298770000002</v>
      </c>
    </row>
    <row r="30" spans="1:74" hidden="1" x14ac:dyDescent="0.25">
      <c r="A30" s="4" t="s">
        <v>39</v>
      </c>
      <c r="B30" s="4" t="s">
        <v>14</v>
      </c>
      <c r="C30" s="4" t="s">
        <v>15</v>
      </c>
      <c r="D30" s="4">
        <v>19.05</v>
      </c>
      <c r="E30" s="4"/>
      <c r="F30" s="4">
        <v>1.2</v>
      </c>
      <c r="G30" s="4" t="str">
        <f t="shared" si="0"/>
        <v>19.05--1.2</v>
      </c>
      <c r="H30" s="10">
        <v>0.52806726000000004</v>
      </c>
      <c r="I30" s="4">
        <v>69405</v>
      </c>
      <c r="J30" s="4"/>
      <c r="K30" s="4">
        <v>250</v>
      </c>
      <c r="L30" s="4"/>
      <c r="M30" s="4">
        <v>9800</v>
      </c>
      <c r="N30" s="4">
        <f t="shared" si="1"/>
        <v>79455</v>
      </c>
      <c r="O30" s="11">
        <f t="shared" si="2"/>
        <v>41.957584143300004</v>
      </c>
      <c r="P30" s="4">
        <v>6000</v>
      </c>
      <c r="Q30" s="4">
        <f t="shared" si="3"/>
        <v>85455</v>
      </c>
      <c r="R30" s="4">
        <f t="shared" si="4"/>
        <v>45.13</v>
      </c>
      <c r="S30" s="4">
        <v>4000</v>
      </c>
      <c r="T30" s="4">
        <f t="shared" si="5"/>
        <v>89455</v>
      </c>
      <c r="U30" s="4">
        <f t="shared" si="6"/>
        <v>47.24</v>
      </c>
      <c r="V30" s="4"/>
      <c r="W30" s="4"/>
      <c r="X30" s="4"/>
      <c r="Y30" s="4">
        <v>41.96</v>
      </c>
      <c r="Z30" s="4">
        <v>5700</v>
      </c>
      <c r="AA30" s="4">
        <f t="shared" si="72"/>
        <v>95155</v>
      </c>
      <c r="AB30" s="20">
        <f t="shared" si="73"/>
        <v>50.248240125300008</v>
      </c>
      <c r="AC30" s="4">
        <v>-11650</v>
      </c>
      <c r="AD30" s="4">
        <f t="shared" si="74"/>
        <v>83505</v>
      </c>
      <c r="AE30" s="4">
        <f t="shared" si="75"/>
        <v>44.1</v>
      </c>
      <c r="AF30" s="4">
        <v>-4200</v>
      </c>
      <c r="AG30" s="4">
        <f t="shared" si="76"/>
        <v>79305</v>
      </c>
      <c r="AH30" s="4">
        <f t="shared" si="77"/>
        <v>41.88</v>
      </c>
      <c r="AI30" s="30">
        <v>1950</v>
      </c>
      <c r="AJ30" s="4">
        <f t="shared" si="78"/>
        <v>81255</v>
      </c>
      <c r="AK30" s="4">
        <f t="shared" si="79"/>
        <v>42.91</v>
      </c>
      <c r="AL30" s="30">
        <v>-4825</v>
      </c>
      <c r="AM30" s="4">
        <f t="shared" si="80"/>
        <v>76430</v>
      </c>
      <c r="AN30" s="4">
        <f t="shared" si="81"/>
        <v>40.36</v>
      </c>
      <c r="AO30" s="4">
        <f>1920</f>
        <v>1920</v>
      </c>
      <c r="AP30" s="4">
        <f t="shared" si="82"/>
        <v>78350</v>
      </c>
      <c r="AQ30" s="4">
        <f t="shared" si="83"/>
        <v>41.37</v>
      </c>
      <c r="AR30" s="4">
        <v>-1200</v>
      </c>
      <c r="AS30" s="4">
        <f t="shared" si="12"/>
        <v>77150</v>
      </c>
      <c r="AT30" s="20">
        <f t="shared" si="13"/>
        <v>40.740389109000006</v>
      </c>
      <c r="AU30" s="4">
        <v>-2125</v>
      </c>
      <c r="AV30" s="4">
        <f t="shared" si="14"/>
        <v>75025</v>
      </c>
      <c r="AW30" s="20">
        <f t="shared" si="15"/>
        <v>39.618246181500005</v>
      </c>
      <c r="AX30" s="4">
        <v>200</v>
      </c>
      <c r="AY30" s="4">
        <f t="shared" si="16"/>
        <v>75225</v>
      </c>
      <c r="AZ30" s="20">
        <f t="shared" si="17"/>
        <v>39.723859633500005</v>
      </c>
      <c r="BA30" s="4">
        <v>-4150</v>
      </c>
      <c r="BB30" s="4">
        <f t="shared" si="18"/>
        <v>71075</v>
      </c>
      <c r="BC30" s="20">
        <f t="shared" si="19"/>
        <v>37.532380504500004</v>
      </c>
      <c r="BD30" s="4">
        <v>0</v>
      </c>
      <c r="BE30" s="4">
        <f t="shared" si="20"/>
        <v>71075</v>
      </c>
      <c r="BF30" s="20">
        <f t="shared" si="21"/>
        <v>37.532380504500004</v>
      </c>
      <c r="BG30" s="4">
        <v>2600</v>
      </c>
      <c r="BH30" s="4">
        <f t="shared" si="22"/>
        <v>73675</v>
      </c>
      <c r="BI30" s="20">
        <f t="shared" si="23"/>
        <v>38.905355380500005</v>
      </c>
      <c r="BJ30" s="4">
        <v>900</v>
      </c>
      <c r="BK30" s="4"/>
      <c r="BL30" s="4">
        <f t="shared" si="11"/>
        <v>74575</v>
      </c>
      <c r="BM30" s="20">
        <f t="shared" si="84"/>
        <v>39.380615914500005</v>
      </c>
      <c r="BN30" s="4">
        <v>-2100</v>
      </c>
      <c r="BO30" s="4">
        <f t="shared" si="71"/>
        <v>72475</v>
      </c>
      <c r="BP30" s="20">
        <f t="shared" si="85"/>
        <v>38.271674668500005</v>
      </c>
      <c r="BQ30" s="4">
        <v>1450</v>
      </c>
      <c r="BR30" s="4">
        <f t="shared" si="59"/>
        <v>73925</v>
      </c>
      <c r="BS30" s="20">
        <f t="shared" si="24"/>
        <v>39.037372195499998</v>
      </c>
      <c r="BT30" s="4">
        <v>5150</v>
      </c>
      <c r="BU30" s="4">
        <f t="shared" si="60"/>
        <v>79075</v>
      </c>
      <c r="BV30" s="20">
        <f t="shared" si="25"/>
        <v>41.756918584500006</v>
      </c>
    </row>
    <row r="31" spans="1:74" hidden="1" x14ac:dyDescent="0.25">
      <c r="A31" s="4" t="s">
        <v>39</v>
      </c>
      <c r="B31" s="4" t="s">
        <v>14</v>
      </c>
      <c r="C31" s="4" t="s">
        <v>15</v>
      </c>
      <c r="D31" s="4">
        <v>19.05</v>
      </c>
      <c r="E31" s="4"/>
      <c r="F31" s="4">
        <v>1.6</v>
      </c>
      <c r="G31" s="4" t="str">
        <f t="shared" si="0"/>
        <v>19.05--1.6</v>
      </c>
      <c r="H31" s="10">
        <v>0.68831176000000005</v>
      </c>
      <c r="I31" s="4">
        <v>69405</v>
      </c>
      <c r="J31" s="4"/>
      <c r="K31" s="4">
        <v>250</v>
      </c>
      <c r="L31" s="4"/>
      <c r="M31" s="4">
        <v>9800</v>
      </c>
      <c r="N31" s="4">
        <f t="shared" si="1"/>
        <v>79455</v>
      </c>
      <c r="O31" s="11">
        <f t="shared" si="2"/>
        <v>54.689810890800004</v>
      </c>
      <c r="P31" s="4">
        <v>6000</v>
      </c>
      <c r="Q31" s="4">
        <f t="shared" si="3"/>
        <v>85455</v>
      </c>
      <c r="R31" s="4">
        <f t="shared" si="4"/>
        <v>58.82</v>
      </c>
      <c r="S31" s="4">
        <v>4000</v>
      </c>
      <c r="T31" s="4">
        <f t="shared" si="5"/>
        <v>89455</v>
      </c>
      <c r="U31" s="4">
        <f t="shared" si="6"/>
        <v>61.57</v>
      </c>
      <c r="V31" s="4"/>
      <c r="W31" s="4"/>
      <c r="X31" s="4"/>
      <c r="Y31" s="4">
        <v>54.69</v>
      </c>
      <c r="Z31" s="4">
        <v>5700</v>
      </c>
      <c r="AA31" s="4">
        <f t="shared" si="72"/>
        <v>95155</v>
      </c>
      <c r="AB31" s="20">
        <f t="shared" si="73"/>
        <v>65.4963055228</v>
      </c>
      <c r="AC31" s="4">
        <v>-11650</v>
      </c>
      <c r="AD31" s="4">
        <f t="shared" si="74"/>
        <v>83505</v>
      </c>
      <c r="AE31" s="4">
        <f t="shared" si="75"/>
        <v>57.48</v>
      </c>
      <c r="AF31" s="4">
        <v>-4200</v>
      </c>
      <c r="AG31" s="4">
        <f t="shared" si="76"/>
        <v>79305</v>
      </c>
      <c r="AH31" s="4">
        <f t="shared" si="77"/>
        <v>54.59</v>
      </c>
      <c r="AI31" s="30">
        <v>1950</v>
      </c>
      <c r="AJ31" s="4">
        <f t="shared" si="78"/>
        <v>81255</v>
      </c>
      <c r="AK31" s="4">
        <f t="shared" si="79"/>
        <v>55.93</v>
      </c>
      <c r="AL31" s="30">
        <v>-4825</v>
      </c>
      <c r="AM31" s="4">
        <f t="shared" si="80"/>
        <v>76430</v>
      </c>
      <c r="AN31" s="4">
        <f t="shared" si="81"/>
        <v>52.61</v>
      </c>
      <c r="AO31" s="4">
        <f>1920</f>
        <v>1920</v>
      </c>
      <c r="AP31" s="4">
        <f t="shared" si="82"/>
        <v>78350</v>
      </c>
      <c r="AQ31" s="4">
        <f t="shared" si="83"/>
        <v>53.93</v>
      </c>
      <c r="AR31" s="4">
        <v>-1200</v>
      </c>
      <c r="AS31" s="4">
        <f t="shared" si="12"/>
        <v>77150</v>
      </c>
      <c r="AT31" s="20">
        <f t="shared" si="13"/>
        <v>53.103252284</v>
      </c>
      <c r="AU31" s="4">
        <v>-2125</v>
      </c>
      <c r="AV31" s="4">
        <f t="shared" si="14"/>
        <v>75025</v>
      </c>
      <c r="AW31" s="20">
        <f t="shared" si="15"/>
        <v>51.640589794000007</v>
      </c>
      <c r="AX31" s="4">
        <v>200</v>
      </c>
      <c r="AY31" s="4">
        <f t="shared" si="16"/>
        <v>75225</v>
      </c>
      <c r="AZ31" s="20">
        <f t="shared" si="17"/>
        <v>51.778252146000007</v>
      </c>
      <c r="BA31" s="4">
        <v>-4150</v>
      </c>
      <c r="BB31" s="4">
        <f t="shared" si="18"/>
        <v>71075</v>
      </c>
      <c r="BC31" s="20">
        <f t="shared" si="19"/>
        <v>48.921758342000004</v>
      </c>
      <c r="BD31" s="4">
        <v>0</v>
      </c>
      <c r="BE31" s="4">
        <f t="shared" si="20"/>
        <v>71075</v>
      </c>
      <c r="BF31" s="20">
        <f t="shared" si="21"/>
        <v>48.921758342000004</v>
      </c>
      <c r="BG31" s="4">
        <v>2600</v>
      </c>
      <c r="BH31" s="4">
        <f t="shared" si="22"/>
        <v>73675</v>
      </c>
      <c r="BI31" s="20">
        <f t="shared" si="23"/>
        <v>50.711368917999998</v>
      </c>
      <c r="BJ31" s="4">
        <v>900</v>
      </c>
      <c r="BK31" s="4"/>
      <c r="BL31" s="4">
        <f t="shared" si="11"/>
        <v>74575</v>
      </c>
      <c r="BM31" s="20">
        <f t="shared" si="84"/>
        <v>51.330849502000007</v>
      </c>
      <c r="BN31" s="4">
        <v>-2100</v>
      </c>
      <c r="BO31" s="4">
        <f t="shared" si="71"/>
        <v>72475</v>
      </c>
      <c r="BP31" s="20">
        <f t="shared" si="85"/>
        <v>49.885394806000001</v>
      </c>
      <c r="BQ31" s="4">
        <v>1450</v>
      </c>
      <c r="BR31" s="4">
        <f t="shared" si="59"/>
        <v>73925</v>
      </c>
      <c r="BS31" s="20">
        <f t="shared" si="24"/>
        <v>50.883446858000006</v>
      </c>
      <c r="BT31" s="4">
        <v>5150</v>
      </c>
      <c r="BU31" s="4">
        <f t="shared" si="60"/>
        <v>79075</v>
      </c>
      <c r="BV31" s="20">
        <f t="shared" si="25"/>
        <v>54.428252422000007</v>
      </c>
    </row>
    <row r="32" spans="1:74" hidden="1" x14ac:dyDescent="0.25">
      <c r="A32" s="4" t="s">
        <v>39</v>
      </c>
      <c r="B32" s="4" t="s">
        <v>14</v>
      </c>
      <c r="C32" s="4" t="s">
        <v>18</v>
      </c>
      <c r="D32" s="4">
        <v>19.05</v>
      </c>
      <c r="E32" s="4"/>
      <c r="F32" s="4">
        <v>2</v>
      </c>
      <c r="G32" s="4" t="str">
        <f t="shared" si="0"/>
        <v>19.05--2</v>
      </c>
      <c r="H32" s="10">
        <v>0.84066730000000012</v>
      </c>
      <c r="I32" s="4">
        <v>65875</v>
      </c>
      <c r="J32" s="4"/>
      <c r="K32" s="4">
        <v>250</v>
      </c>
      <c r="L32" s="4"/>
      <c r="M32" s="4">
        <v>7500</v>
      </c>
      <c r="N32" s="4">
        <f t="shared" si="1"/>
        <v>73625</v>
      </c>
      <c r="O32" s="11">
        <f t="shared" si="2"/>
        <v>61.89412996250001</v>
      </c>
      <c r="P32" s="4">
        <v>5600</v>
      </c>
      <c r="Q32" s="4">
        <f t="shared" si="3"/>
        <v>79225</v>
      </c>
      <c r="R32" s="4">
        <f t="shared" si="4"/>
        <v>66.599999999999994</v>
      </c>
      <c r="S32" s="4">
        <v>3900</v>
      </c>
      <c r="T32" s="4">
        <f t="shared" si="5"/>
        <v>83125</v>
      </c>
      <c r="U32" s="4">
        <f t="shared" si="6"/>
        <v>69.88</v>
      </c>
      <c r="V32" s="4"/>
      <c r="W32" s="4"/>
      <c r="X32" s="4"/>
      <c r="Y32" s="21">
        <v>61.89</v>
      </c>
      <c r="Z32" s="4">
        <v>6000</v>
      </c>
      <c r="AA32" s="4">
        <f t="shared" ref="AA32:AA34" si="86">Z32+T32</f>
        <v>89125</v>
      </c>
      <c r="AB32" s="4">
        <f t="shared" ref="AB32:AB34" si="87">ROUND(AA32*H32/1000,2)</f>
        <v>74.92</v>
      </c>
      <c r="AC32" s="4">
        <v>-10200</v>
      </c>
      <c r="AD32" s="4">
        <f t="shared" si="74"/>
        <v>78925</v>
      </c>
      <c r="AE32" s="4">
        <f t="shared" si="75"/>
        <v>66.349999999999994</v>
      </c>
      <c r="AF32" s="4">
        <v>-4900</v>
      </c>
      <c r="AG32" s="4">
        <f t="shared" si="76"/>
        <v>74025</v>
      </c>
      <c r="AH32" s="4">
        <f t="shared" si="77"/>
        <v>62.23</v>
      </c>
      <c r="AI32" s="30">
        <v>3300</v>
      </c>
      <c r="AJ32" s="4">
        <f t="shared" si="78"/>
        <v>77325</v>
      </c>
      <c r="AK32" s="4">
        <f t="shared" si="79"/>
        <v>65</v>
      </c>
      <c r="AL32" s="30">
        <v>-3800</v>
      </c>
      <c r="AM32" s="4">
        <f t="shared" si="80"/>
        <v>73525</v>
      </c>
      <c r="AN32" s="4">
        <f t="shared" si="81"/>
        <v>61.81</v>
      </c>
      <c r="AO32" s="4">
        <f>2000</f>
        <v>2000</v>
      </c>
      <c r="AP32" s="4">
        <f t="shared" si="82"/>
        <v>75525</v>
      </c>
      <c r="AQ32" s="4">
        <f t="shared" si="83"/>
        <v>63.49</v>
      </c>
      <c r="AR32" s="4">
        <v>-1950</v>
      </c>
      <c r="AS32" s="4">
        <f t="shared" si="12"/>
        <v>73575</v>
      </c>
      <c r="AT32" s="20">
        <f t="shared" si="13"/>
        <v>61.852096597500008</v>
      </c>
      <c r="AU32" s="4">
        <v>-2625</v>
      </c>
      <c r="AV32" s="4">
        <f t="shared" si="14"/>
        <v>70950</v>
      </c>
      <c r="AW32" s="20">
        <f t="shared" si="15"/>
        <v>59.645344935000011</v>
      </c>
      <c r="AX32" s="4">
        <v>500</v>
      </c>
      <c r="AY32" s="4">
        <f t="shared" si="16"/>
        <v>71450</v>
      </c>
      <c r="AZ32" s="20">
        <f t="shared" si="17"/>
        <v>60.065678585000008</v>
      </c>
      <c r="BA32" s="4">
        <v>-4750</v>
      </c>
      <c r="BB32" s="4">
        <f t="shared" si="18"/>
        <v>66700</v>
      </c>
      <c r="BC32" s="20">
        <f t="shared" si="19"/>
        <v>56.07250891000001</v>
      </c>
      <c r="BD32" s="4">
        <v>0</v>
      </c>
      <c r="BE32" s="4">
        <f>BB32+BD32</f>
        <v>66700</v>
      </c>
      <c r="BF32" s="20">
        <f t="shared" si="21"/>
        <v>56.07250891000001</v>
      </c>
      <c r="BG32" s="4">
        <v>2600</v>
      </c>
      <c r="BH32" s="4">
        <f t="shared" si="22"/>
        <v>69300</v>
      </c>
      <c r="BI32" s="20">
        <f t="shared" si="23"/>
        <v>58.258243890000003</v>
      </c>
      <c r="BJ32" s="4">
        <v>1000</v>
      </c>
      <c r="BK32" s="4"/>
      <c r="BL32" s="4">
        <f t="shared" si="11"/>
        <v>70300</v>
      </c>
      <c r="BM32" s="20">
        <f t="shared" ref="BM32:BM36" si="88">BL32*H32/1000</f>
        <v>59.09891119000001</v>
      </c>
      <c r="BN32" s="4">
        <v>-2150</v>
      </c>
      <c r="BO32" s="4">
        <f t="shared" ref="BO32:BO36" si="89">BL32+BN32</f>
        <v>68150</v>
      </c>
      <c r="BP32" s="20">
        <f t="shared" ref="BP32:BP36" si="90">BO32*H32/1000</f>
        <v>57.291476495000012</v>
      </c>
      <c r="BQ32" s="4">
        <v>1500</v>
      </c>
      <c r="BR32" s="4">
        <f t="shared" si="59"/>
        <v>69650</v>
      </c>
      <c r="BS32" s="20">
        <f t="shared" si="24"/>
        <v>58.552477445000008</v>
      </c>
      <c r="BT32" s="4">
        <v>5500</v>
      </c>
      <c r="BU32" s="4">
        <f t="shared" si="60"/>
        <v>75150</v>
      </c>
      <c r="BV32" s="20">
        <f t="shared" si="25"/>
        <v>63.17614759500001</v>
      </c>
    </row>
    <row r="33" spans="1:74" hidden="1" x14ac:dyDescent="0.25">
      <c r="A33" s="4" t="s">
        <v>39</v>
      </c>
      <c r="B33" s="4" t="s">
        <v>14</v>
      </c>
      <c r="C33" s="4" t="s">
        <v>18</v>
      </c>
      <c r="D33" s="4">
        <v>19.05</v>
      </c>
      <c r="E33" s="4"/>
      <c r="F33" s="4">
        <v>2.2999999999999998</v>
      </c>
      <c r="G33" s="4" t="str">
        <f t="shared" si="0"/>
        <v>19.05--2.3</v>
      </c>
      <c r="H33" s="10">
        <v>0.94975682500000003</v>
      </c>
      <c r="I33" s="4">
        <v>65875</v>
      </c>
      <c r="J33" s="4"/>
      <c r="K33" s="4">
        <v>250</v>
      </c>
      <c r="L33" s="4"/>
      <c r="M33" s="4">
        <v>7500</v>
      </c>
      <c r="N33" s="4">
        <f t="shared" si="1"/>
        <v>73625</v>
      </c>
      <c r="O33" s="11">
        <f t="shared" si="2"/>
        <v>69.925846240625006</v>
      </c>
      <c r="P33" s="4">
        <v>5600</v>
      </c>
      <c r="Q33" s="4">
        <f t="shared" si="3"/>
        <v>79225</v>
      </c>
      <c r="R33" s="4">
        <f t="shared" si="4"/>
        <v>75.239999999999995</v>
      </c>
      <c r="S33" s="4">
        <v>3900</v>
      </c>
      <c r="T33" s="4">
        <f t="shared" si="5"/>
        <v>83125</v>
      </c>
      <c r="U33" s="4">
        <f t="shared" si="6"/>
        <v>78.95</v>
      </c>
      <c r="V33" s="4"/>
      <c r="W33" s="4"/>
      <c r="X33" s="4"/>
      <c r="Y33" s="21">
        <v>69.930000000000007</v>
      </c>
      <c r="Z33" s="4">
        <v>6000</v>
      </c>
      <c r="AA33" s="4">
        <f t="shared" si="86"/>
        <v>89125</v>
      </c>
      <c r="AB33" s="4">
        <f t="shared" si="87"/>
        <v>84.65</v>
      </c>
      <c r="AC33" s="4">
        <v>-10200</v>
      </c>
      <c r="AD33" s="4">
        <f t="shared" si="74"/>
        <v>78925</v>
      </c>
      <c r="AE33" s="4">
        <f t="shared" si="75"/>
        <v>74.959999999999994</v>
      </c>
      <c r="AF33" s="4">
        <v>-4900</v>
      </c>
      <c r="AG33" s="4">
        <f t="shared" si="76"/>
        <v>74025</v>
      </c>
      <c r="AH33" s="4">
        <f t="shared" si="77"/>
        <v>70.31</v>
      </c>
      <c r="AI33" s="30">
        <v>3300</v>
      </c>
      <c r="AJ33" s="4">
        <f t="shared" si="78"/>
        <v>77325</v>
      </c>
      <c r="AK33" s="4">
        <f t="shared" si="79"/>
        <v>73.44</v>
      </c>
      <c r="AL33" s="30">
        <v>-3800</v>
      </c>
      <c r="AM33" s="4">
        <f t="shared" si="80"/>
        <v>73525</v>
      </c>
      <c r="AN33" s="4">
        <f t="shared" si="81"/>
        <v>69.83</v>
      </c>
      <c r="AO33" s="4">
        <f>2000</f>
        <v>2000</v>
      </c>
      <c r="AP33" s="4">
        <f t="shared" si="82"/>
        <v>75525</v>
      </c>
      <c r="AQ33" s="4">
        <f t="shared" si="83"/>
        <v>71.73</v>
      </c>
      <c r="AR33" s="4">
        <v>-1950</v>
      </c>
      <c r="AS33" s="4">
        <f t="shared" si="12"/>
        <v>73575</v>
      </c>
      <c r="AT33" s="20">
        <f t="shared" si="13"/>
        <v>69.878358399375003</v>
      </c>
      <c r="AU33" s="4">
        <v>-2625</v>
      </c>
      <c r="AV33" s="4">
        <f t="shared" si="14"/>
        <v>70950</v>
      </c>
      <c r="AW33" s="20">
        <f t="shared" si="15"/>
        <v>67.385246733749995</v>
      </c>
      <c r="AX33" s="4">
        <v>500</v>
      </c>
      <c r="AY33" s="4">
        <f t="shared" si="16"/>
        <v>71450</v>
      </c>
      <c r="AZ33" s="20">
        <f t="shared" si="17"/>
        <v>67.860125146250013</v>
      </c>
      <c r="BA33" s="4">
        <v>-4750</v>
      </c>
      <c r="BB33" s="4">
        <f t="shared" si="18"/>
        <v>66700</v>
      </c>
      <c r="BC33" s="20">
        <f t="shared" si="19"/>
        <v>63.348780227500001</v>
      </c>
      <c r="BD33" s="4">
        <v>0</v>
      </c>
      <c r="BE33" s="4">
        <f t="shared" si="20"/>
        <v>66700</v>
      </c>
      <c r="BF33" s="20">
        <f t="shared" si="21"/>
        <v>63.348780227500001</v>
      </c>
      <c r="BG33" s="4">
        <v>2600</v>
      </c>
      <c r="BH33" s="4">
        <f t="shared" si="22"/>
        <v>69300</v>
      </c>
      <c r="BI33" s="20">
        <f t="shared" si="23"/>
        <v>65.8181479725</v>
      </c>
      <c r="BJ33" s="4">
        <v>1000</v>
      </c>
      <c r="BK33" s="4"/>
      <c r="BL33" s="4">
        <f t="shared" si="11"/>
        <v>70300</v>
      </c>
      <c r="BM33" s="20">
        <f t="shared" si="88"/>
        <v>66.767904797499995</v>
      </c>
      <c r="BN33" s="4">
        <v>-2150</v>
      </c>
      <c r="BO33" s="4">
        <f t="shared" si="89"/>
        <v>68150</v>
      </c>
      <c r="BP33" s="20">
        <f t="shared" si="90"/>
        <v>64.725927623749996</v>
      </c>
      <c r="BQ33" s="4">
        <v>1500</v>
      </c>
      <c r="BR33" s="4">
        <f t="shared" si="59"/>
        <v>69650</v>
      </c>
      <c r="BS33" s="20">
        <f t="shared" si="24"/>
        <v>66.150562861249995</v>
      </c>
      <c r="BT33" s="4">
        <v>5500</v>
      </c>
      <c r="BU33" s="4">
        <f t="shared" si="60"/>
        <v>75150</v>
      </c>
      <c r="BV33" s="20">
        <f t="shared" si="25"/>
        <v>71.374225398749999</v>
      </c>
    </row>
    <row r="34" spans="1:74" hidden="1" x14ac:dyDescent="0.25">
      <c r="A34" s="4" t="s">
        <v>39</v>
      </c>
      <c r="B34" s="4" t="s">
        <v>14</v>
      </c>
      <c r="C34" s="4" t="s">
        <v>18</v>
      </c>
      <c r="D34" s="4">
        <v>21.4</v>
      </c>
      <c r="E34" s="4"/>
      <c r="F34" s="4">
        <v>2</v>
      </c>
      <c r="G34" s="4" t="str">
        <f t="shared" si="0"/>
        <v>21.4--2</v>
      </c>
      <c r="H34" s="10">
        <v>0.95653639999999995</v>
      </c>
      <c r="I34" s="4">
        <v>65875</v>
      </c>
      <c r="J34" s="4"/>
      <c r="K34" s="4"/>
      <c r="L34" s="4"/>
      <c r="M34" s="4">
        <v>7500</v>
      </c>
      <c r="N34" s="4">
        <f t="shared" si="1"/>
        <v>73375</v>
      </c>
      <c r="O34" s="11">
        <f t="shared" si="2"/>
        <v>70.18585834999999</v>
      </c>
      <c r="P34" s="4">
        <v>5600</v>
      </c>
      <c r="Q34" s="4">
        <f t="shared" si="3"/>
        <v>78975</v>
      </c>
      <c r="R34" s="4">
        <f t="shared" si="4"/>
        <v>75.540000000000006</v>
      </c>
      <c r="S34" s="4">
        <v>3900</v>
      </c>
      <c r="T34" s="4">
        <f t="shared" si="5"/>
        <v>82875</v>
      </c>
      <c r="U34" s="4">
        <f t="shared" si="6"/>
        <v>79.27</v>
      </c>
      <c r="V34" s="4"/>
      <c r="W34" s="4"/>
      <c r="X34" s="4"/>
      <c r="Y34" s="21">
        <v>70.19</v>
      </c>
      <c r="Z34" s="4">
        <v>6000</v>
      </c>
      <c r="AA34" s="4">
        <f t="shared" si="86"/>
        <v>88875</v>
      </c>
      <c r="AB34" s="4">
        <f t="shared" si="87"/>
        <v>85.01</v>
      </c>
      <c r="AC34" s="4">
        <v>-10200</v>
      </c>
      <c r="AD34" s="4">
        <f t="shared" si="74"/>
        <v>78675</v>
      </c>
      <c r="AE34" s="4">
        <f t="shared" si="75"/>
        <v>75.260000000000005</v>
      </c>
      <c r="AF34" s="4">
        <v>-4900</v>
      </c>
      <c r="AG34" s="4">
        <f t="shared" si="76"/>
        <v>73775</v>
      </c>
      <c r="AH34" s="4">
        <f t="shared" si="77"/>
        <v>70.569999999999993</v>
      </c>
      <c r="AI34" s="30">
        <v>3300</v>
      </c>
      <c r="AJ34" s="4">
        <f t="shared" si="78"/>
        <v>77075</v>
      </c>
      <c r="AK34" s="4">
        <f t="shared" si="79"/>
        <v>73.73</v>
      </c>
      <c r="AL34" s="30">
        <v>-3800</v>
      </c>
      <c r="AM34" s="4">
        <f t="shared" si="80"/>
        <v>73275</v>
      </c>
      <c r="AN34" s="4">
        <f t="shared" si="81"/>
        <v>70.09</v>
      </c>
      <c r="AO34" s="4">
        <f>2000</f>
        <v>2000</v>
      </c>
      <c r="AP34" s="4">
        <f t="shared" si="82"/>
        <v>75275</v>
      </c>
      <c r="AQ34" s="4">
        <f t="shared" si="83"/>
        <v>72</v>
      </c>
      <c r="AR34" s="4">
        <v>-1950</v>
      </c>
      <c r="AS34" s="4">
        <f t="shared" si="12"/>
        <v>73325</v>
      </c>
      <c r="AT34" s="20">
        <f t="shared" si="13"/>
        <v>70.138031529999992</v>
      </c>
      <c r="AU34" s="4">
        <v>-2625</v>
      </c>
      <c r="AV34" s="4">
        <f t="shared" si="14"/>
        <v>70700</v>
      </c>
      <c r="AW34" s="20">
        <f t="shared" si="15"/>
        <v>67.627123479999995</v>
      </c>
      <c r="AX34" s="4">
        <v>500</v>
      </c>
      <c r="AY34" s="4">
        <f t="shared" si="16"/>
        <v>71200</v>
      </c>
      <c r="AZ34" s="20">
        <f t="shared" si="17"/>
        <v>68.105391679999997</v>
      </c>
      <c r="BA34" s="4">
        <v>-4750</v>
      </c>
      <c r="BB34" s="4">
        <f t="shared" si="18"/>
        <v>66450</v>
      </c>
      <c r="BC34" s="20">
        <f t="shared" si="19"/>
        <v>63.561843779999997</v>
      </c>
      <c r="BD34" s="4">
        <v>0</v>
      </c>
      <c r="BE34" s="4">
        <f t="shared" si="20"/>
        <v>66450</v>
      </c>
      <c r="BF34" s="20">
        <f t="shared" si="21"/>
        <v>63.561843779999997</v>
      </c>
      <c r="BG34" s="4">
        <v>2600</v>
      </c>
      <c r="BH34" s="4">
        <f t="shared" si="22"/>
        <v>69050</v>
      </c>
      <c r="BI34" s="20">
        <f t="shared" si="23"/>
        <v>66.048838419999996</v>
      </c>
      <c r="BJ34" s="4">
        <v>1000</v>
      </c>
      <c r="BK34" s="4"/>
      <c r="BL34" s="4">
        <f t="shared" si="11"/>
        <v>70050</v>
      </c>
      <c r="BM34" s="20">
        <f t="shared" si="88"/>
        <v>67.00537482</v>
      </c>
      <c r="BN34" s="4">
        <v>-2150</v>
      </c>
      <c r="BO34" s="4">
        <f t="shared" si="89"/>
        <v>67900</v>
      </c>
      <c r="BP34" s="20">
        <f t="shared" si="90"/>
        <v>64.948821559999999</v>
      </c>
      <c r="BQ34" s="4">
        <v>1500</v>
      </c>
      <c r="BR34" s="4">
        <f t="shared" si="59"/>
        <v>69400</v>
      </c>
      <c r="BS34" s="20">
        <f t="shared" si="24"/>
        <v>66.383626160000006</v>
      </c>
      <c r="BT34" s="4">
        <v>5500</v>
      </c>
      <c r="BU34" s="4">
        <f t="shared" si="60"/>
        <v>74900</v>
      </c>
      <c r="BV34" s="20">
        <f t="shared" si="25"/>
        <v>71.644576359999988</v>
      </c>
    </row>
    <row r="35" spans="1:74" hidden="1" x14ac:dyDescent="0.25">
      <c r="A35" s="4" t="s">
        <v>39</v>
      </c>
      <c r="B35" s="4" t="s">
        <v>14</v>
      </c>
      <c r="C35" s="4" t="s">
        <v>15</v>
      </c>
      <c r="D35" s="4">
        <v>22.23</v>
      </c>
      <c r="E35" s="4"/>
      <c r="F35" s="4">
        <v>1.2</v>
      </c>
      <c r="G35" s="4" t="str">
        <f t="shared" si="0"/>
        <v>22.23--1.2</v>
      </c>
      <c r="H35" s="10">
        <v>0.62214310800000006</v>
      </c>
      <c r="I35" s="4">
        <v>69405</v>
      </c>
      <c r="J35" s="4"/>
      <c r="K35" s="4"/>
      <c r="L35" s="4"/>
      <c r="M35" s="4">
        <v>9800</v>
      </c>
      <c r="N35" s="4">
        <f t="shared" si="1"/>
        <v>79205</v>
      </c>
      <c r="O35" s="11">
        <f t="shared" si="2"/>
        <v>49.276844869140007</v>
      </c>
      <c r="P35" s="4">
        <v>6000</v>
      </c>
      <c r="Q35" s="4">
        <f t="shared" si="3"/>
        <v>85205</v>
      </c>
      <c r="R35" s="4">
        <f t="shared" si="4"/>
        <v>53.01</v>
      </c>
      <c r="S35" s="4">
        <v>4000</v>
      </c>
      <c r="T35" s="4">
        <f t="shared" si="5"/>
        <v>89205</v>
      </c>
      <c r="U35" s="4">
        <f t="shared" si="6"/>
        <v>55.5</v>
      </c>
      <c r="V35" s="4"/>
      <c r="W35" s="4"/>
      <c r="X35" s="4"/>
      <c r="Y35" s="4">
        <v>49.28</v>
      </c>
      <c r="Z35" s="4">
        <v>5700</v>
      </c>
      <c r="AA35" s="22">
        <f t="shared" ref="AA35:AA36" si="91">T35+Z35</f>
        <v>94905</v>
      </c>
      <c r="AB35" s="23">
        <f t="shared" ref="AB35:AB36" si="92">$H35*AA35/1000</f>
        <v>59.044491664740001</v>
      </c>
      <c r="AC35" s="4">
        <v>-11650</v>
      </c>
      <c r="AD35" s="22">
        <f t="shared" si="74"/>
        <v>83255</v>
      </c>
      <c r="AE35" s="22">
        <f t="shared" si="75"/>
        <v>51.8</v>
      </c>
      <c r="AF35" s="4">
        <v>-4200</v>
      </c>
      <c r="AG35" s="4">
        <f t="shared" si="76"/>
        <v>79055</v>
      </c>
      <c r="AH35" s="4">
        <f t="shared" si="77"/>
        <v>49.18</v>
      </c>
      <c r="AI35" s="30">
        <v>1950</v>
      </c>
      <c r="AJ35" s="4">
        <f t="shared" ref="AJ35:AJ38" si="93">AG35+AI35</f>
        <v>81005</v>
      </c>
      <c r="AK35" s="4">
        <f t="shared" ref="AK35:AK38" si="94">ROUND(AJ35*H35/1000,2)</f>
        <v>50.4</v>
      </c>
      <c r="AL35" s="30">
        <v>-4825</v>
      </c>
      <c r="AM35" s="4">
        <f t="shared" ref="AM35:AM38" si="95">AJ35+AL35</f>
        <v>76180</v>
      </c>
      <c r="AN35" s="4">
        <f t="shared" ref="AN35:AN38" si="96">ROUND(AM35*H35/1000,2)</f>
        <v>47.39</v>
      </c>
      <c r="AO35" s="4">
        <f>1920</f>
        <v>1920</v>
      </c>
      <c r="AP35" s="4">
        <f t="shared" ref="AP35:AP38" si="97">AM35+AO35</f>
        <v>78100</v>
      </c>
      <c r="AQ35" s="4">
        <f t="shared" ref="AQ35:AQ38" si="98">ROUND(AP35*H35/1000,2)</f>
        <v>48.59</v>
      </c>
      <c r="AR35" s="4">
        <v>-1200</v>
      </c>
      <c r="AS35" s="4">
        <f t="shared" si="12"/>
        <v>76900</v>
      </c>
      <c r="AT35" s="20">
        <f t="shared" si="13"/>
        <v>47.842805005200006</v>
      </c>
      <c r="AU35" s="4">
        <v>-2125</v>
      </c>
      <c r="AV35" s="4">
        <f t="shared" si="14"/>
        <v>74775</v>
      </c>
      <c r="AW35" s="20">
        <f t="shared" si="15"/>
        <v>46.520750900700001</v>
      </c>
      <c r="AX35" s="4">
        <v>200</v>
      </c>
      <c r="AY35" s="4">
        <f t="shared" si="16"/>
        <v>74975</v>
      </c>
      <c r="AZ35" s="20">
        <f t="shared" si="17"/>
        <v>46.645179522299998</v>
      </c>
      <c r="BA35" s="4">
        <v>-4150</v>
      </c>
      <c r="BB35" s="4">
        <f t="shared" si="18"/>
        <v>70825</v>
      </c>
      <c r="BC35" s="20">
        <f t="shared" si="19"/>
        <v>44.063285624100004</v>
      </c>
      <c r="BD35" s="4">
        <v>0</v>
      </c>
      <c r="BE35" s="4">
        <f t="shared" si="20"/>
        <v>70825</v>
      </c>
      <c r="BF35" s="20">
        <f t="shared" si="21"/>
        <v>44.063285624100004</v>
      </c>
      <c r="BG35" s="4">
        <v>2600</v>
      </c>
      <c r="BH35" s="4">
        <f t="shared" si="22"/>
        <v>73425</v>
      </c>
      <c r="BI35" s="20">
        <f t="shared" si="23"/>
        <v>45.680857704899999</v>
      </c>
      <c r="BJ35" s="4">
        <v>900</v>
      </c>
      <c r="BK35" s="4"/>
      <c r="BL35" s="4">
        <f t="shared" si="11"/>
        <v>74325</v>
      </c>
      <c r="BM35" s="20">
        <f t="shared" si="88"/>
        <v>46.240786502100001</v>
      </c>
      <c r="BN35" s="4">
        <v>-2100</v>
      </c>
      <c r="BO35" s="4">
        <f t="shared" si="89"/>
        <v>72225</v>
      </c>
      <c r="BP35" s="20">
        <f t="shared" si="90"/>
        <v>44.9342859753</v>
      </c>
      <c r="BQ35" s="4">
        <v>1450</v>
      </c>
      <c r="BR35" s="4">
        <f t="shared" si="59"/>
        <v>73675</v>
      </c>
      <c r="BS35" s="20">
        <f t="shared" si="24"/>
        <v>45.836393481900004</v>
      </c>
      <c r="BT35" s="4">
        <v>5150</v>
      </c>
      <c r="BU35" s="4">
        <f t="shared" si="60"/>
        <v>78825</v>
      </c>
      <c r="BV35" s="20">
        <f t="shared" si="25"/>
        <v>49.040430488100007</v>
      </c>
    </row>
    <row r="36" spans="1:74" hidden="1" x14ac:dyDescent="0.25">
      <c r="A36" s="4" t="s">
        <v>39</v>
      </c>
      <c r="B36" s="4" t="s">
        <v>14</v>
      </c>
      <c r="C36" s="4" t="s">
        <v>15</v>
      </c>
      <c r="D36" s="4">
        <v>22.23</v>
      </c>
      <c r="E36" s="4"/>
      <c r="F36" s="4">
        <v>1.6</v>
      </c>
      <c r="G36" s="4" t="str">
        <f t="shared" si="0"/>
        <v>22.23--1.6</v>
      </c>
      <c r="H36" s="10">
        <v>0.81374622400000007</v>
      </c>
      <c r="I36" s="4">
        <v>69405</v>
      </c>
      <c r="J36" s="4"/>
      <c r="K36" s="4"/>
      <c r="L36" s="4"/>
      <c r="M36" s="4">
        <v>9800</v>
      </c>
      <c r="N36" s="4">
        <f t="shared" si="1"/>
        <v>79205</v>
      </c>
      <c r="O36" s="11">
        <f t="shared" si="2"/>
        <v>64.452769671920009</v>
      </c>
      <c r="P36" s="4">
        <v>6000</v>
      </c>
      <c r="Q36" s="4">
        <f t="shared" si="3"/>
        <v>85205</v>
      </c>
      <c r="R36" s="4">
        <f t="shared" si="4"/>
        <v>69.34</v>
      </c>
      <c r="S36" s="4">
        <v>4000</v>
      </c>
      <c r="T36" s="4">
        <f t="shared" si="5"/>
        <v>89205</v>
      </c>
      <c r="U36" s="4">
        <f t="shared" si="6"/>
        <v>72.59</v>
      </c>
      <c r="V36" s="4"/>
      <c r="W36" s="4"/>
      <c r="X36" s="4"/>
      <c r="Y36" s="4">
        <v>64.45</v>
      </c>
      <c r="Z36" s="4">
        <v>5700</v>
      </c>
      <c r="AA36" s="4">
        <f t="shared" si="91"/>
        <v>94905</v>
      </c>
      <c r="AB36" s="20">
        <f t="shared" si="92"/>
        <v>77.228585388720006</v>
      </c>
      <c r="AC36" s="4">
        <v>-11650</v>
      </c>
      <c r="AD36" s="4">
        <f t="shared" si="74"/>
        <v>83255</v>
      </c>
      <c r="AE36" s="4">
        <f t="shared" si="75"/>
        <v>67.75</v>
      </c>
      <c r="AF36" s="4">
        <v>-4200</v>
      </c>
      <c r="AG36" s="4">
        <f t="shared" si="76"/>
        <v>79055</v>
      </c>
      <c r="AH36" s="4">
        <f t="shared" si="77"/>
        <v>64.33</v>
      </c>
      <c r="AI36" s="30">
        <v>1950</v>
      </c>
      <c r="AJ36" s="4">
        <f t="shared" si="93"/>
        <v>81005</v>
      </c>
      <c r="AK36" s="4">
        <f t="shared" si="94"/>
        <v>65.92</v>
      </c>
      <c r="AL36" s="30">
        <v>-4825</v>
      </c>
      <c r="AM36" s="4">
        <f t="shared" si="95"/>
        <v>76180</v>
      </c>
      <c r="AN36" s="4">
        <f t="shared" si="96"/>
        <v>61.99</v>
      </c>
      <c r="AO36" s="4">
        <f>1920</f>
        <v>1920</v>
      </c>
      <c r="AP36" s="4">
        <f t="shared" si="97"/>
        <v>78100</v>
      </c>
      <c r="AQ36" s="4">
        <f t="shared" si="98"/>
        <v>63.55</v>
      </c>
      <c r="AR36" s="4">
        <v>-1200</v>
      </c>
      <c r="AS36" s="4">
        <f t="shared" si="12"/>
        <v>76900</v>
      </c>
      <c r="AT36" s="20">
        <f t="shared" si="13"/>
        <v>62.577084625600008</v>
      </c>
      <c r="AU36" s="4">
        <v>-2125</v>
      </c>
      <c r="AV36" s="4">
        <f t="shared" si="14"/>
        <v>74775</v>
      </c>
      <c r="AW36" s="20">
        <f t="shared" si="15"/>
        <v>60.847873899600003</v>
      </c>
      <c r="AX36" s="4">
        <v>200</v>
      </c>
      <c r="AY36" s="4">
        <f t="shared" si="16"/>
        <v>74975</v>
      </c>
      <c r="AZ36" s="20">
        <f t="shared" si="17"/>
        <v>61.010623144400007</v>
      </c>
      <c r="BA36" s="4">
        <v>-4150</v>
      </c>
      <c r="BB36" s="4">
        <f t="shared" si="18"/>
        <v>70825</v>
      </c>
      <c r="BC36" s="20">
        <f t="shared" si="19"/>
        <v>57.633576314800003</v>
      </c>
      <c r="BD36" s="4">
        <v>0</v>
      </c>
      <c r="BE36" s="4">
        <f t="shared" si="20"/>
        <v>70825</v>
      </c>
      <c r="BF36" s="20">
        <f t="shared" si="21"/>
        <v>57.633576314800003</v>
      </c>
      <c r="BG36" s="4">
        <v>2600</v>
      </c>
      <c r="BH36" s="4">
        <f t="shared" si="22"/>
        <v>73425</v>
      </c>
      <c r="BI36" s="20">
        <f t="shared" si="23"/>
        <v>59.749316497200006</v>
      </c>
      <c r="BJ36" s="4">
        <v>900</v>
      </c>
      <c r="BK36" s="4"/>
      <c r="BL36" s="4">
        <f t="shared" si="11"/>
        <v>74325</v>
      </c>
      <c r="BM36" s="20">
        <f t="shared" si="88"/>
        <v>60.481688098800007</v>
      </c>
      <c r="BN36" s="4">
        <v>-2100</v>
      </c>
      <c r="BO36" s="4">
        <f t="shared" si="89"/>
        <v>72225</v>
      </c>
      <c r="BP36" s="20">
        <f t="shared" si="90"/>
        <v>58.77282102840001</v>
      </c>
      <c r="BQ36" s="4">
        <v>1450</v>
      </c>
      <c r="BR36" s="4">
        <f t="shared" si="59"/>
        <v>73675</v>
      </c>
      <c r="BS36" s="20">
        <f t="shared" si="24"/>
        <v>59.952753053199999</v>
      </c>
      <c r="BT36" s="4">
        <v>5150</v>
      </c>
      <c r="BU36" s="4">
        <f t="shared" si="60"/>
        <v>78825</v>
      </c>
      <c r="BV36" s="20">
        <f t="shared" si="25"/>
        <v>64.143546106800002</v>
      </c>
    </row>
    <row r="37" spans="1:74" hidden="1" x14ac:dyDescent="0.25">
      <c r="A37" s="4" t="s">
        <v>39</v>
      </c>
      <c r="B37" s="4" t="s">
        <v>14</v>
      </c>
      <c r="C37" s="4" t="s">
        <v>18</v>
      </c>
      <c r="D37" s="4">
        <v>22.23</v>
      </c>
      <c r="E37" s="4"/>
      <c r="F37" s="4">
        <v>2</v>
      </c>
      <c r="G37" s="4" t="str">
        <f t="shared" si="0"/>
        <v>22.23--2</v>
      </c>
      <c r="H37" s="10">
        <v>0.99746038000000004</v>
      </c>
      <c r="I37" s="4">
        <v>65875</v>
      </c>
      <c r="J37" s="4"/>
      <c r="K37" s="4"/>
      <c r="L37" s="4"/>
      <c r="M37" s="4">
        <v>7500</v>
      </c>
      <c r="N37" s="4">
        <f t="shared" si="1"/>
        <v>73375</v>
      </c>
      <c r="O37" s="11">
        <f t="shared" si="2"/>
        <v>73.188655382500002</v>
      </c>
      <c r="P37" s="4">
        <v>5600</v>
      </c>
      <c r="Q37" s="4">
        <f t="shared" si="3"/>
        <v>78975</v>
      </c>
      <c r="R37" s="4">
        <f t="shared" si="4"/>
        <v>78.77</v>
      </c>
      <c r="S37" s="4">
        <v>3900</v>
      </c>
      <c r="T37" s="4">
        <f t="shared" si="5"/>
        <v>82875</v>
      </c>
      <c r="U37" s="4">
        <f t="shared" si="6"/>
        <v>82.66</v>
      </c>
      <c r="V37" s="4"/>
      <c r="W37" s="4"/>
      <c r="X37" s="4"/>
      <c r="Y37" s="21">
        <v>73.19</v>
      </c>
      <c r="Z37" s="4">
        <v>6000</v>
      </c>
      <c r="AA37" s="4">
        <f t="shared" ref="AA37:AA38" si="99">Z37+T37</f>
        <v>88875</v>
      </c>
      <c r="AB37" s="4">
        <f t="shared" ref="AB37:AB38" si="100">ROUND(AA37*H37/1000,2)</f>
        <v>88.65</v>
      </c>
      <c r="AC37" s="4">
        <v>-10200</v>
      </c>
      <c r="AD37" s="4">
        <f t="shared" si="74"/>
        <v>78675</v>
      </c>
      <c r="AE37" s="4">
        <f t="shared" si="75"/>
        <v>78.48</v>
      </c>
      <c r="AF37" s="4">
        <v>-4900</v>
      </c>
      <c r="AG37" s="4">
        <f t="shared" si="76"/>
        <v>73775</v>
      </c>
      <c r="AH37" s="4">
        <f t="shared" si="77"/>
        <v>73.59</v>
      </c>
      <c r="AI37" s="30">
        <v>3300</v>
      </c>
      <c r="AJ37" s="4">
        <f t="shared" si="93"/>
        <v>77075</v>
      </c>
      <c r="AK37" s="4">
        <f t="shared" si="94"/>
        <v>76.88</v>
      </c>
      <c r="AL37" s="30">
        <v>-3800</v>
      </c>
      <c r="AM37" s="13">
        <f t="shared" si="95"/>
        <v>73275</v>
      </c>
      <c r="AN37" s="4">
        <f t="shared" si="96"/>
        <v>73.09</v>
      </c>
      <c r="AO37" s="4">
        <f>2000</f>
        <v>2000</v>
      </c>
      <c r="AP37" s="4">
        <f t="shared" si="97"/>
        <v>75275</v>
      </c>
      <c r="AQ37" s="4">
        <f t="shared" si="98"/>
        <v>75.08</v>
      </c>
      <c r="AR37" s="4">
        <v>-1950</v>
      </c>
      <c r="AS37" s="4">
        <f t="shared" si="12"/>
        <v>73325</v>
      </c>
      <c r="AT37" s="20">
        <f t="shared" si="13"/>
        <v>73.138782363500013</v>
      </c>
      <c r="AU37" s="4">
        <v>-2625</v>
      </c>
      <c r="AV37" s="4">
        <f t="shared" si="14"/>
        <v>70700</v>
      </c>
      <c r="AW37" s="20">
        <f t="shared" si="15"/>
        <v>70.52044886600001</v>
      </c>
      <c r="AX37" s="4">
        <v>500</v>
      </c>
      <c r="AY37" s="4">
        <f t="shared" si="16"/>
        <v>71200</v>
      </c>
      <c r="AZ37" s="20">
        <f t="shared" si="17"/>
        <v>71.019179056000013</v>
      </c>
      <c r="BA37" s="4">
        <v>-4750</v>
      </c>
      <c r="BB37" s="4">
        <f t="shared" si="18"/>
        <v>66450</v>
      </c>
      <c r="BC37" s="20">
        <f t="shared" si="19"/>
        <v>66.281242251000009</v>
      </c>
      <c r="BD37" s="4">
        <v>0</v>
      </c>
      <c r="BE37" s="4">
        <f t="shared" si="20"/>
        <v>66450</v>
      </c>
      <c r="BF37" s="20">
        <f t="shared" si="21"/>
        <v>66.281242251000009</v>
      </c>
      <c r="BG37" s="4">
        <v>2600</v>
      </c>
      <c r="BH37" s="4">
        <f t="shared" si="22"/>
        <v>69050</v>
      </c>
      <c r="BI37" s="20">
        <f t="shared" si="23"/>
        <v>68.87463923899999</v>
      </c>
      <c r="BJ37" s="4">
        <v>1000</v>
      </c>
      <c r="BK37" s="4"/>
      <c r="BL37" s="4">
        <f t="shared" si="11"/>
        <v>70050</v>
      </c>
      <c r="BM37" s="20">
        <f t="shared" ref="BM37:BM40" si="101">BL37*H37/1000</f>
        <v>69.872099618999997</v>
      </c>
      <c r="BN37" s="4">
        <v>-2150</v>
      </c>
      <c r="BO37" s="13">
        <f t="shared" ref="BO37:BO40" si="102">BL37+BN37</f>
        <v>67900</v>
      </c>
      <c r="BP37" s="20">
        <f t="shared" ref="BP37:BP40" si="103">BO37*H37/1000</f>
        <v>67.727559802000002</v>
      </c>
      <c r="BQ37" s="4">
        <v>1500</v>
      </c>
      <c r="BR37" s="13">
        <f t="shared" si="59"/>
        <v>69400</v>
      </c>
      <c r="BS37" s="20">
        <f t="shared" si="24"/>
        <v>69.223750372000012</v>
      </c>
      <c r="BT37" s="4">
        <v>5500</v>
      </c>
      <c r="BU37" s="13">
        <f t="shared" si="60"/>
        <v>74900</v>
      </c>
      <c r="BV37" s="20">
        <f t="shared" si="25"/>
        <v>74.709782462000007</v>
      </c>
    </row>
    <row r="38" spans="1:74" hidden="1" x14ac:dyDescent="0.25">
      <c r="A38" s="4" t="s">
        <v>39</v>
      </c>
      <c r="B38" s="4" t="s">
        <v>14</v>
      </c>
      <c r="C38" s="4" t="s">
        <v>18</v>
      </c>
      <c r="D38" s="4">
        <v>22.23</v>
      </c>
      <c r="E38" s="4"/>
      <c r="F38" s="4">
        <v>2.2999999999999998</v>
      </c>
      <c r="G38" s="4" t="str">
        <f t="shared" si="0"/>
        <v>22.23--2.3</v>
      </c>
      <c r="H38" s="10">
        <v>1.1300688670000001</v>
      </c>
      <c r="I38" s="4">
        <v>65875</v>
      </c>
      <c r="J38" s="4"/>
      <c r="K38" s="4"/>
      <c r="L38" s="4"/>
      <c r="M38" s="4">
        <v>7500</v>
      </c>
      <c r="N38" s="4">
        <f t="shared" si="1"/>
        <v>73375</v>
      </c>
      <c r="O38" s="11">
        <f t="shared" si="2"/>
        <v>82.918803116125005</v>
      </c>
      <c r="P38" s="4">
        <v>5600</v>
      </c>
      <c r="Q38" s="4">
        <f t="shared" si="3"/>
        <v>78975</v>
      </c>
      <c r="R38" s="4">
        <f t="shared" si="4"/>
        <v>89.25</v>
      </c>
      <c r="S38" s="4">
        <v>3900</v>
      </c>
      <c r="T38" s="4">
        <f t="shared" si="5"/>
        <v>82875</v>
      </c>
      <c r="U38" s="4">
        <f t="shared" si="6"/>
        <v>93.65</v>
      </c>
      <c r="V38" s="4"/>
      <c r="W38" s="4"/>
      <c r="X38" s="4"/>
      <c r="Y38" s="21">
        <v>82.92</v>
      </c>
      <c r="Z38" s="4">
        <v>6000</v>
      </c>
      <c r="AA38" s="4">
        <f t="shared" si="99"/>
        <v>88875</v>
      </c>
      <c r="AB38" s="4">
        <f t="shared" si="100"/>
        <v>100.43</v>
      </c>
      <c r="AC38" s="4">
        <v>-10200</v>
      </c>
      <c r="AD38" s="4">
        <f t="shared" si="74"/>
        <v>78675</v>
      </c>
      <c r="AE38" s="4">
        <f t="shared" si="75"/>
        <v>88.91</v>
      </c>
      <c r="AF38" s="4">
        <v>-4900</v>
      </c>
      <c r="AG38" s="4">
        <f t="shared" si="76"/>
        <v>73775</v>
      </c>
      <c r="AH38" s="4">
        <f t="shared" si="77"/>
        <v>83.37</v>
      </c>
      <c r="AI38" s="30">
        <v>3300</v>
      </c>
      <c r="AJ38" s="4">
        <f t="shared" si="93"/>
        <v>77075</v>
      </c>
      <c r="AK38" s="4">
        <f t="shared" si="94"/>
        <v>87.1</v>
      </c>
      <c r="AL38" s="30">
        <v>-3800</v>
      </c>
      <c r="AM38" s="4">
        <f t="shared" si="95"/>
        <v>73275</v>
      </c>
      <c r="AN38" s="4">
        <f t="shared" si="96"/>
        <v>82.81</v>
      </c>
      <c r="AO38" s="4">
        <f>2000</f>
        <v>2000</v>
      </c>
      <c r="AP38" s="4">
        <f t="shared" si="97"/>
        <v>75275</v>
      </c>
      <c r="AQ38" s="4">
        <f t="shared" si="98"/>
        <v>85.07</v>
      </c>
      <c r="AR38" s="4">
        <v>-1950</v>
      </c>
      <c r="AS38" s="4">
        <f t="shared" si="12"/>
        <v>73325</v>
      </c>
      <c r="AT38" s="20">
        <f t="shared" si="13"/>
        <v>82.862299672774995</v>
      </c>
      <c r="AU38" s="4">
        <v>-2625</v>
      </c>
      <c r="AV38" s="4">
        <f t="shared" si="14"/>
        <v>70700</v>
      </c>
      <c r="AW38" s="20">
        <f t="shared" si="15"/>
        <v>79.895868896900012</v>
      </c>
      <c r="AX38" s="4">
        <v>500</v>
      </c>
      <c r="AY38" s="4">
        <f t="shared" si="16"/>
        <v>71200</v>
      </c>
      <c r="AZ38" s="20">
        <f t="shared" si="17"/>
        <v>80.460903330400001</v>
      </c>
      <c r="BA38" s="4">
        <v>-4750</v>
      </c>
      <c r="BB38" s="4">
        <f t="shared" si="18"/>
        <v>66450</v>
      </c>
      <c r="BC38" s="20">
        <f t="shared" si="19"/>
        <v>75.093076212149995</v>
      </c>
      <c r="BD38" s="4">
        <v>0</v>
      </c>
      <c r="BE38" s="4">
        <f t="shared" si="20"/>
        <v>66450</v>
      </c>
      <c r="BF38" s="20">
        <f t="shared" si="21"/>
        <v>75.093076212149995</v>
      </c>
      <c r="BG38" s="4">
        <v>2600</v>
      </c>
      <c r="BH38" s="4">
        <f t="shared" si="22"/>
        <v>69050</v>
      </c>
      <c r="BI38" s="20">
        <f t="shared" si="23"/>
        <v>78.031255266350016</v>
      </c>
      <c r="BJ38" s="4">
        <v>1000</v>
      </c>
      <c r="BK38" s="4"/>
      <c r="BL38" s="4">
        <f t="shared" si="11"/>
        <v>70050</v>
      </c>
      <c r="BM38" s="20">
        <f t="shared" si="101"/>
        <v>79.161324133350007</v>
      </c>
      <c r="BN38" s="4">
        <v>-2150</v>
      </c>
      <c r="BO38" s="4">
        <f t="shared" si="102"/>
        <v>67900</v>
      </c>
      <c r="BP38" s="20">
        <f t="shared" si="103"/>
        <v>76.731676069300008</v>
      </c>
      <c r="BQ38" s="4">
        <v>1500</v>
      </c>
      <c r="BR38" s="4">
        <f t="shared" si="59"/>
        <v>69400</v>
      </c>
      <c r="BS38" s="20">
        <f t="shared" si="24"/>
        <v>78.426779369800002</v>
      </c>
      <c r="BT38" s="4">
        <v>5500</v>
      </c>
      <c r="BU38" s="4">
        <f t="shared" si="60"/>
        <v>74900</v>
      </c>
      <c r="BV38" s="20">
        <f t="shared" si="25"/>
        <v>84.642158138300005</v>
      </c>
    </row>
    <row r="39" spans="1:74" hidden="1" x14ac:dyDescent="0.25">
      <c r="A39" s="4" t="s">
        <v>39</v>
      </c>
      <c r="B39" s="4" t="s">
        <v>14</v>
      </c>
      <c r="C39" s="4" t="s">
        <v>15</v>
      </c>
      <c r="D39" s="4">
        <v>25.4</v>
      </c>
      <c r="E39" s="4"/>
      <c r="F39" s="4">
        <v>1.2</v>
      </c>
      <c r="G39" s="4" t="str">
        <f t="shared" si="0"/>
        <v>25.4--1.2</v>
      </c>
      <c r="H39" s="10">
        <v>0.71592312000000002</v>
      </c>
      <c r="I39" s="4">
        <v>69405</v>
      </c>
      <c r="J39" s="4"/>
      <c r="K39" s="4"/>
      <c r="L39" s="4"/>
      <c r="M39" s="4">
        <v>9800</v>
      </c>
      <c r="N39" s="4">
        <f t="shared" si="1"/>
        <v>79205</v>
      </c>
      <c r="O39" s="11">
        <f t="shared" si="2"/>
        <v>56.704690719600002</v>
      </c>
      <c r="P39" s="4">
        <v>6000</v>
      </c>
      <c r="Q39" s="4">
        <f t="shared" si="3"/>
        <v>85205</v>
      </c>
      <c r="R39" s="4">
        <f t="shared" si="4"/>
        <v>61</v>
      </c>
      <c r="S39" s="4">
        <v>4000</v>
      </c>
      <c r="T39" s="4">
        <f t="shared" si="5"/>
        <v>89205</v>
      </c>
      <c r="U39" s="4">
        <f t="shared" si="6"/>
        <v>63.86</v>
      </c>
      <c r="V39" s="4"/>
      <c r="W39" s="4"/>
      <c r="X39" s="4"/>
      <c r="Y39" s="4">
        <v>56.7</v>
      </c>
      <c r="Z39" s="4">
        <v>5700</v>
      </c>
      <c r="AA39" s="22">
        <f t="shared" ref="AA39:AA40" si="104">T39+Z39</f>
        <v>94905</v>
      </c>
      <c r="AB39" s="23">
        <f t="shared" ref="AB39:AB40" si="105">$H39*AA39/1000</f>
        <v>67.944683703600006</v>
      </c>
      <c r="AC39" s="4">
        <v>-11650</v>
      </c>
      <c r="AD39" s="22">
        <f t="shared" si="74"/>
        <v>83255</v>
      </c>
      <c r="AE39" s="22">
        <f t="shared" si="75"/>
        <v>59.6</v>
      </c>
      <c r="AF39" s="4">
        <v>-4200</v>
      </c>
      <c r="AG39" s="4">
        <f t="shared" si="76"/>
        <v>79055</v>
      </c>
      <c r="AH39" s="4">
        <f t="shared" si="77"/>
        <v>56.6</v>
      </c>
      <c r="AI39" s="30">
        <v>1950</v>
      </c>
      <c r="AJ39" s="4">
        <f t="shared" ref="AJ39:AJ43" si="106">AG39+AI39</f>
        <v>81005</v>
      </c>
      <c r="AK39" s="4">
        <f t="shared" ref="AK39:AK43" si="107">ROUND(AJ39*H39/1000,2)</f>
        <v>57.99</v>
      </c>
      <c r="AL39" s="30">
        <v>-4825</v>
      </c>
      <c r="AM39" s="4">
        <f t="shared" ref="AM39:AM43" si="108">AJ39+AL39</f>
        <v>76180</v>
      </c>
      <c r="AN39" s="4">
        <f t="shared" ref="AN39:AN43" si="109">ROUND(AM39*H39/1000,2)</f>
        <v>54.54</v>
      </c>
      <c r="AO39" s="4">
        <f>1920</f>
        <v>1920</v>
      </c>
      <c r="AP39" s="4">
        <f t="shared" ref="AP39:AP43" si="110">AM39+AO39</f>
        <v>78100</v>
      </c>
      <c r="AQ39" s="4">
        <f t="shared" ref="AQ39:AQ43" si="111">ROUND(AP39*H39/1000,2)</f>
        <v>55.91</v>
      </c>
      <c r="AR39" s="4">
        <v>-1200</v>
      </c>
      <c r="AS39" s="4">
        <f t="shared" si="12"/>
        <v>76900</v>
      </c>
      <c r="AT39" s="20">
        <f t="shared" si="13"/>
        <v>55.054487928</v>
      </c>
      <c r="AU39" s="4">
        <v>-2125</v>
      </c>
      <c r="AV39" s="4">
        <f t="shared" si="14"/>
        <v>74775</v>
      </c>
      <c r="AW39" s="20">
        <f t="shared" si="15"/>
        <v>53.533151298000007</v>
      </c>
      <c r="AX39" s="4">
        <v>200</v>
      </c>
      <c r="AY39" s="4">
        <f t="shared" si="16"/>
        <v>74975</v>
      </c>
      <c r="AZ39" s="20">
        <f t="shared" si="17"/>
        <v>53.676335922</v>
      </c>
      <c r="BA39" s="4">
        <v>-4150</v>
      </c>
      <c r="BB39" s="4">
        <f t="shared" si="18"/>
        <v>70825</v>
      </c>
      <c r="BC39" s="20">
        <f t="shared" si="19"/>
        <v>50.705254974000006</v>
      </c>
      <c r="BD39" s="4">
        <v>0</v>
      </c>
      <c r="BE39" s="4">
        <f t="shared" si="20"/>
        <v>70825</v>
      </c>
      <c r="BF39" s="20">
        <f t="shared" si="21"/>
        <v>50.705254974000006</v>
      </c>
      <c r="BG39" s="4">
        <v>2600</v>
      </c>
      <c r="BH39" s="4">
        <f t="shared" si="22"/>
        <v>73425</v>
      </c>
      <c r="BI39" s="20">
        <f t="shared" si="23"/>
        <v>52.566655085999997</v>
      </c>
      <c r="BJ39" s="4">
        <v>900</v>
      </c>
      <c r="BK39" s="4"/>
      <c r="BL39" s="4">
        <f t="shared" si="11"/>
        <v>74325</v>
      </c>
      <c r="BM39" s="20">
        <f t="shared" si="101"/>
        <v>53.210985894000004</v>
      </c>
      <c r="BN39" s="4">
        <v>-2100</v>
      </c>
      <c r="BO39" s="4">
        <f t="shared" si="102"/>
        <v>72225</v>
      </c>
      <c r="BP39" s="20">
        <f t="shared" si="103"/>
        <v>51.707547342000005</v>
      </c>
      <c r="BQ39" s="4">
        <v>1450</v>
      </c>
      <c r="BR39" s="4">
        <f t="shared" si="59"/>
        <v>73675</v>
      </c>
      <c r="BS39" s="20">
        <f t="shared" si="24"/>
        <v>52.745635866000001</v>
      </c>
      <c r="BT39" s="4">
        <v>5150</v>
      </c>
      <c r="BU39" s="4">
        <f t="shared" si="60"/>
        <v>78825</v>
      </c>
      <c r="BV39" s="20">
        <f t="shared" si="25"/>
        <v>56.432639934000001</v>
      </c>
    </row>
    <row r="40" spans="1:74" hidden="1" x14ac:dyDescent="0.25">
      <c r="A40" s="4" t="s">
        <v>39</v>
      </c>
      <c r="B40" s="4" t="s">
        <v>14</v>
      </c>
      <c r="C40" s="4" t="s">
        <v>15</v>
      </c>
      <c r="D40" s="4">
        <v>25.4</v>
      </c>
      <c r="E40" s="4"/>
      <c r="F40" s="4">
        <v>1.6</v>
      </c>
      <c r="G40" s="4" t="str">
        <f t="shared" si="0"/>
        <v>25.4--1.6</v>
      </c>
      <c r="H40" s="10">
        <v>0.93878623999999999</v>
      </c>
      <c r="I40" s="4">
        <v>69405</v>
      </c>
      <c r="J40" s="4"/>
      <c r="K40" s="4"/>
      <c r="L40" s="4"/>
      <c r="M40" s="4">
        <v>9800</v>
      </c>
      <c r="N40" s="4">
        <f t="shared" si="1"/>
        <v>79205</v>
      </c>
      <c r="O40" s="11">
        <f t="shared" si="2"/>
        <v>74.356564139200003</v>
      </c>
      <c r="P40" s="4">
        <v>6000</v>
      </c>
      <c r="Q40" s="4">
        <f t="shared" si="3"/>
        <v>85205</v>
      </c>
      <c r="R40" s="4">
        <f t="shared" si="4"/>
        <v>79.989999999999995</v>
      </c>
      <c r="S40" s="4">
        <v>4000</v>
      </c>
      <c r="T40" s="4">
        <f t="shared" si="5"/>
        <v>89205</v>
      </c>
      <c r="U40" s="4">
        <f t="shared" si="6"/>
        <v>83.74</v>
      </c>
      <c r="V40" s="4"/>
      <c r="W40" s="4"/>
      <c r="X40" s="4"/>
      <c r="Y40" s="4">
        <v>74.36</v>
      </c>
      <c r="Z40" s="4">
        <v>5700</v>
      </c>
      <c r="AA40" s="4">
        <f t="shared" si="104"/>
        <v>94905</v>
      </c>
      <c r="AB40" s="20">
        <f t="shared" si="105"/>
        <v>89.095508107200004</v>
      </c>
      <c r="AC40" s="4">
        <v>-11650</v>
      </c>
      <c r="AD40" s="4">
        <f t="shared" si="74"/>
        <v>83255</v>
      </c>
      <c r="AE40" s="4">
        <f t="shared" si="75"/>
        <v>78.16</v>
      </c>
      <c r="AF40" s="4">
        <v>-4200</v>
      </c>
      <c r="AG40" s="4">
        <f t="shared" si="76"/>
        <v>79055</v>
      </c>
      <c r="AH40" s="4">
        <f t="shared" si="77"/>
        <v>74.22</v>
      </c>
      <c r="AI40" s="30">
        <v>1950</v>
      </c>
      <c r="AJ40" s="4">
        <f t="shared" si="106"/>
        <v>81005</v>
      </c>
      <c r="AK40" s="4">
        <f t="shared" si="107"/>
        <v>76.05</v>
      </c>
      <c r="AL40" s="30">
        <v>-4825</v>
      </c>
      <c r="AM40" s="4">
        <f t="shared" si="108"/>
        <v>76180</v>
      </c>
      <c r="AN40" s="4">
        <f t="shared" si="109"/>
        <v>71.52</v>
      </c>
      <c r="AO40" s="4">
        <f>1920</f>
        <v>1920</v>
      </c>
      <c r="AP40" s="4">
        <f t="shared" si="110"/>
        <v>78100</v>
      </c>
      <c r="AQ40" s="4">
        <f t="shared" si="111"/>
        <v>73.319999999999993</v>
      </c>
      <c r="AR40" s="4">
        <v>-1200</v>
      </c>
      <c r="AS40" s="4">
        <f t="shared" si="12"/>
        <v>76900</v>
      </c>
      <c r="AT40" s="20">
        <f t="shared" si="13"/>
        <v>72.192661856000001</v>
      </c>
      <c r="AU40" s="4">
        <v>-2125</v>
      </c>
      <c r="AV40" s="4">
        <f t="shared" si="14"/>
        <v>74775</v>
      </c>
      <c r="AW40" s="20">
        <f t="shared" si="15"/>
        <v>70.197741096000001</v>
      </c>
      <c r="AX40" s="4">
        <v>200</v>
      </c>
      <c r="AY40" s="4">
        <f t="shared" si="16"/>
        <v>74975</v>
      </c>
      <c r="AZ40" s="20">
        <f t="shared" si="17"/>
        <v>70.385498343999998</v>
      </c>
      <c r="BA40" s="4">
        <v>-4150</v>
      </c>
      <c r="BB40" s="4">
        <f t="shared" si="18"/>
        <v>70825</v>
      </c>
      <c r="BC40" s="20">
        <f t="shared" si="19"/>
        <v>66.489535447999998</v>
      </c>
      <c r="BD40" s="4">
        <v>0</v>
      </c>
      <c r="BE40" s="4">
        <f t="shared" si="20"/>
        <v>70825</v>
      </c>
      <c r="BF40" s="20">
        <f t="shared" si="21"/>
        <v>66.489535447999998</v>
      </c>
      <c r="BG40" s="4">
        <v>2600</v>
      </c>
      <c r="BH40" s="4">
        <f t="shared" si="22"/>
        <v>73425</v>
      </c>
      <c r="BI40" s="20">
        <f t="shared" si="23"/>
        <v>68.930379672000001</v>
      </c>
      <c r="BJ40" s="4">
        <v>900</v>
      </c>
      <c r="BK40" s="4"/>
      <c r="BL40" s="4">
        <f t="shared" si="11"/>
        <v>74325</v>
      </c>
      <c r="BM40" s="20">
        <f t="shared" si="101"/>
        <v>69.775287288000001</v>
      </c>
      <c r="BN40" s="4">
        <v>-2100</v>
      </c>
      <c r="BO40" s="4">
        <f t="shared" si="102"/>
        <v>72225</v>
      </c>
      <c r="BP40" s="20">
        <f t="shared" si="103"/>
        <v>67.803836184000005</v>
      </c>
      <c r="BQ40" s="4">
        <v>1450</v>
      </c>
      <c r="BR40" s="4">
        <f t="shared" si="59"/>
        <v>73675</v>
      </c>
      <c r="BS40" s="20">
        <f t="shared" si="24"/>
        <v>69.165076232000004</v>
      </c>
      <c r="BT40" s="4">
        <v>5150</v>
      </c>
      <c r="BU40" s="4">
        <f t="shared" si="60"/>
        <v>78825</v>
      </c>
      <c r="BV40" s="20">
        <f t="shared" si="25"/>
        <v>73.999825368000003</v>
      </c>
    </row>
    <row r="41" spans="1:74" hidden="1" x14ac:dyDescent="0.25">
      <c r="A41" s="4" t="s">
        <v>39</v>
      </c>
      <c r="B41" s="4" t="s">
        <v>14</v>
      </c>
      <c r="C41" s="4" t="s">
        <v>18</v>
      </c>
      <c r="D41" s="4">
        <v>25.4</v>
      </c>
      <c r="E41" s="4"/>
      <c r="F41" s="4">
        <v>2</v>
      </c>
      <c r="G41" s="4" t="str">
        <f t="shared" si="0"/>
        <v>25.4--2</v>
      </c>
      <c r="H41" s="10">
        <v>1.1537603999999999</v>
      </c>
      <c r="I41" s="4">
        <v>65875</v>
      </c>
      <c r="J41" s="4"/>
      <c r="K41" s="4"/>
      <c r="L41" s="4"/>
      <c r="M41" s="4">
        <v>7500</v>
      </c>
      <c r="N41" s="4">
        <f t="shared" si="1"/>
        <v>73375</v>
      </c>
      <c r="O41" s="11">
        <f t="shared" si="2"/>
        <v>84.65716934999999</v>
      </c>
      <c r="P41" s="4">
        <v>5600</v>
      </c>
      <c r="Q41" s="4">
        <f t="shared" si="3"/>
        <v>78975</v>
      </c>
      <c r="R41" s="4">
        <f t="shared" si="4"/>
        <v>91.12</v>
      </c>
      <c r="S41" s="4">
        <v>3900</v>
      </c>
      <c r="T41" s="4">
        <f t="shared" si="5"/>
        <v>82875</v>
      </c>
      <c r="U41" s="4">
        <f t="shared" si="6"/>
        <v>95.62</v>
      </c>
      <c r="V41" s="4"/>
      <c r="W41" s="4"/>
      <c r="X41" s="4"/>
      <c r="Y41" s="21">
        <v>84.66</v>
      </c>
      <c r="Z41" s="4">
        <v>6000</v>
      </c>
      <c r="AA41" s="4">
        <f t="shared" ref="AA41:AA43" si="112">Z41+T41</f>
        <v>88875</v>
      </c>
      <c r="AB41" s="4">
        <f t="shared" ref="AB41:AB43" si="113">ROUND(AA41*H41/1000,2)</f>
        <v>102.54</v>
      </c>
      <c r="AC41" s="4">
        <v>-10200</v>
      </c>
      <c r="AD41" s="4">
        <f t="shared" si="74"/>
        <v>78675</v>
      </c>
      <c r="AE41" s="4">
        <f t="shared" si="75"/>
        <v>90.77</v>
      </c>
      <c r="AF41" s="4">
        <v>-4900</v>
      </c>
      <c r="AG41" s="4">
        <f t="shared" si="76"/>
        <v>73775</v>
      </c>
      <c r="AH41" s="4">
        <f t="shared" si="77"/>
        <v>85.12</v>
      </c>
      <c r="AI41" s="30">
        <v>3300</v>
      </c>
      <c r="AJ41" s="4">
        <f t="shared" si="106"/>
        <v>77075</v>
      </c>
      <c r="AK41" s="4">
        <f t="shared" si="107"/>
        <v>88.93</v>
      </c>
      <c r="AL41" s="30">
        <v>-3800</v>
      </c>
      <c r="AM41" s="4">
        <f t="shared" si="108"/>
        <v>73275</v>
      </c>
      <c r="AN41" s="4">
        <f t="shared" si="109"/>
        <v>84.54</v>
      </c>
      <c r="AO41" s="4">
        <f>2000</f>
        <v>2000</v>
      </c>
      <c r="AP41" s="4">
        <f t="shared" si="110"/>
        <v>75275</v>
      </c>
      <c r="AQ41" s="4">
        <f t="shared" si="111"/>
        <v>86.85</v>
      </c>
      <c r="AR41" s="4">
        <v>-1950</v>
      </c>
      <c r="AS41" s="4">
        <f t="shared" si="12"/>
        <v>73325</v>
      </c>
      <c r="AT41" s="20">
        <f t="shared" si="13"/>
        <v>84.599481329999989</v>
      </c>
      <c r="AU41" s="4">
        <v>-2625</v>
      </c>
      <c r="AV41" s="4">
        <f t="shared" si="14"/>
        <v>70700</v>
      </c>
      <c r="AW41" s="20">
        <f t="shared" si="15"/>
        <v>81.570860279999991</v>
      </c>
      <c r="AX41" s="4">
        <v>500</v>
      </c>
      <c r="AY41" s="4">
        <f t="shared" si="16"/>
        <v>71200</v>
      </c>
      <c r="AZ41" s="20">
        <f t="shared" si="17"/>
        <v>82.147740479999996</v>
      </c>
      <c r="BA41" s="4">
        <v>-4750</v>
      </c>
      <c r="BB41" s="4">
        <f t="shared" si="18"/>
        <v>66450</v>
      </c>
      <c r="BC41" s="20">
        <f t="shared" si="19"/>
        <v>76.667378579999991</v>
      </c>
      <c r="BD41" s="4">
        <v>0</v>
      </c>
      <c r="BE41" s="4">
        <f t="shared" si="20"/>
        <v>66450</v>
      </c>
      <c r="BF41" s="20">
        <f t="shared" si="21"/>
        <v>76.667378579999991</v>
      </c>
      <c r="BG41" s="4">
        <v>2600</v>
      </c>
      <c r="BH41" s="4">
        <f t="shared" si="22"/>
        <v>69050</v>
      </c>
      <c r="BI41" s="20">
        <f t="shared" si="23"/>
        <v>79.667155619999988</v>
      </c>
      <c r="BJ41" s="4">
        <v>1000</v>
      </c>
      <c r="BK41" s="4"/>
      <c r="BL41" s="4">
        <f t="shared" si="11"/>
        <v>70050</v>
      </c>
      <c r="BM41" s="20">
        <f t="shared" ref="BM41:BM45" si="114">BL41*H41/1000</f>
        <v>80.820916019999984</v>
      </c>
      <c r="BN41" s="4">
        <v>-2150</v>
      </c>
      <c r="BO41" s="4">
        <f t="shared" ref="BO41:BO45" si="115">BL41+BN41</f>
        <v>67900</v>
      </c>
      <c r="BP41" s="20">
        <f t="shared" ref="BP41:BP45" si="116">BO41*H41/1000</f>
        <v>78.340331159999991</v>
      </c>
      <c r="BQ41" s="4">
        <v>1500</v>
      </c>
      <c r="BR41" s="4">
        <f t="shared" si="59"/>
        <v>69400</v>
      </c>
      <c r="BS41" s="20">
        <f t="shared" si="24"/>
        <v>80.070971760000006</v>
      </c>
      <c r="BT41" s="4">
        <v>5500</v>
      </c>
      <c r="BU41" s="4">
        <f t="shared" si="60"/>
        <v>74900</v>
      </c>
      <c r="BV41" s="20">
        <f t="shared" si="25"/>
        <v>86.416653959999991</v>
      </c>
    </row>
    <row r="42" spans="1:74" hidden="1" x14ac:dyDescent="0.25">
      <c r="A42" s="4" t="s">
        <v>39</v>
      </c>
      <c r="B42" s="4" t="s">
        <v>14</v>
      </c>
      <c r="C42" s="4" t="s">
        <v>18</v>
      </c>
      <c r="D42" s="4">
        <v>25.4</v>
      </c>
      <c r="E42" s="4"/>
      <c r="F42" s="4">
        <v>2.5</v>
      </c>
      <c r="G42" s="4" t="str">
        <f t="shared" si="0"/>
        <v>25.4--2.5</v>
      </c>
      <c r="H42" s="10">
        <v>1.41138425</v>
      </c>
      <c r="I42" s="4">
        <v>65875</v>
      </c>
      <c r="J42" s="4"/>
      <c r="K42" s="4"/>
      <c r="L42" s="4"/>
      <c r="M42" s="4">
        <v>7500</v>
      </c>
      <c r="N42" s="4">
        <f t="shared" si="1"/>
        <v>73375</v>
      </c>
      <c r="O42" s="11">
        <f t="shared" si="2"/>
        <v>103.56031934375</v>
      </c>
      <c r="P42" s="4">
        <v>5600</v>
      </c>
      <c r="Q42" s="4">
        <f t="shared" si="3"/>
        <v>78975</v>
      </c>
      <c r="R42" s="4">
        <f t="shared" si="4"/>
        <v>111.46</v>
      </c>
      <c r="S42" s="4">
        <v>3900</v>
      </c>
      <c r="T42" s="4">
        <f t="shared" si="5"/>
        <v>82875</v>
      </c>
      <c r="U42" s="4">
        <f t="shared" si="6"/>
        <v>116.97</v>
      </c>
      <c r="V42" s="4"/>
      <c r="W42" s="4"/>
      <c r="X42" s="4"/>
      <c r="Y42" s="21">
        <v>103.56</v>
      </c>
      <c r="Z42" s="4">
        <v>6000</v>
      </c>
      <c r="AA42" s="4">
        <f t="shared" si="112"/>
        <v>88875</v>
      </c>
      <c r="AB42" s="4">
        <f t="shared" si="113"/>
        <v>125.44</v>
      </c>
      <c r="AC42" s="4">
        <v>-10200</v>
      </c>
      <c r="AD42" s="4">
        <f t="shared" si="74"/>
        <v>78675</v>
      </c>
      <c r="AE42" s="4">
        <f t="shared" si="75"/>
        <v>111.04</v>
      </c>
      <c r="AF42" s="4">
        <v>-4900</v>
      </c>
      <c r="AG42" s="4">
        <f t="shared" si="76"/>
        <v>73775</v>
      </c>
      <c r="AH42" s="4">
        <f t="shared" si="77"/>
        <v>104.12</v>
      </c>
      <c r="AI42" s="30">
        <v>3300</v>
      </c>
      <c r="AJ42" s="4">
        <f t="shared" si="106"/>
        <v>77075</v>
      </c>
      <c r="AK42" s="4">
        <f t="shared" si="107"/>
        <v>108.78</v>
      </c>
      <c r="AL42" s="30">
        <v>-3800</v>
      </c>
      <c r="AM42" s="4">
        <f t="shared" si="108"/>
        <v>73275</v>
      </c>
      <c r="AN42" s="4">
        <f t="shared" si="109"/>
        <v>103.42</v>
      </c>
      <c r="AO42" s="4">
        <f>2000</f>
        <v>2000</v>
      </c>
      <c r="AP42" s="4">
        <f t="shared" si="110"/>
        <v>75275</v>
      </c>
      <c r="AQ42" s="4">
        <f t="shared" si="111"/>
        <v>106.24</v>
      </c>
      <c r="AR42" s="4">
        <v>-1950</v>
      </c>
      <c r="AS42" s="4">
        <f t="shared" si="12"/>
        <v>73325</v>
      </c>
      <c r="AT42" s="20">
        <f t="shared" si="13"/>
        <v>103.48975013124999</v>
      </c>
      <c r="AU42" s="4">
        <v>-2625</v>
      </c>
      <c r="AV42" s="4">
        <f t="shared" si="14"/>
        <v>70700</v>
      </c>
      <c r="AW42" s="20">
        <f t="shared" si="15"/>
        <v>99.784866475000001</v>
      </c>
      <c r="AX42" s="4">
        <v>500</v>
      </c>
      <c r="AY42" s="4">
        <f t="shared" si="16"/>
        <v>71200</v>
      </c>
      <c r="AZ42" s="20">
        <f t="shared" si="17"/>
        <v>100.4905586</v>
      </c>
      <c r="BA42" s="4">
        <v>-4750</v>
      </c>
      <c r="BB42" s="4">
        <f t="shared" si="18"/>
        <v>66450</v>
      </c>
      <c r="BC42" s="20">
        <f t="shared" si="19"/>
        <v>93.786483412500004</v>
      </c>
      <c r="BD42" s="4">
        <v>0</v>
      </c>
      <c r="BE42" s="4">
        <f t="shared" si="20"/>
        <v>66450</v>
      </c>
      <c r="BF42" s="20">
        <f t="shared" si="21"/>
        <v>93.786483412500004</v>
      </c>
      <c r="BG42" s="4">
        <v>2600</v>
      </c>
      <c r="BH42" s="4">
        <f t="shared" si="22"/>
        <v>69050</v>
      </c>
      <c r="BI42" s="20">
        <f t="shared" si="23"/>
        <v>97.456082462499992</v>
      </c>
      <c r="BJ42" s="4">
        <v>1000</v>
      </c>
      <c r="BK42" s="4"/>
      <c r="BL42" s="4">
        <f t="shared" si="11"/>
        <v>70050</v>
      </c>
      <c r="BM42" s="20">
        <f t="shared" si="114"/>
        <v>98.867466712500004</v>
      </c>
      <c r="BN42" s="4">
        <v>-2150</v>
      </c>
      <c r="BO42" s="4">
        <f t="shared" si="115"/>
        <v>67900</v>
      </c>
      <c r="BP42" s="20">
        <f t="shared" si="116"/>
        <v>95.832990574999997</v>
      </c>
      <c r="BQ42" s="4">
        <v>1500</v>
      </c>
      <c r="BR42" s="4">
        <f t="shared" si="59"/>
        <v>69400</v>
      </c>
      <c r="BS42" s="20">
        <f t="shared" si="24"/>
        <v>97.950066950000007</v>
      </c>
      <c r="BT42" s="4">
        <v>5500</v>
      </c>
      <c r="BU42" s="4">
        <f t="shared" si="60"/>
        <v>74900</v>
      </c>
      <c r="BV42" s="20">
        <f t="shared" si="25"/>
        <v>105.71268032499999</v>
      </c>
    </row>
    <row r="43" spans="1:74" hidden="1" x14ac:dyDescent="0.25">
      <c r="A43" s="4" t="s">
        <v>39</v>
      </c>
      <c r="B43" s="4" t="s">
        <v>14</v>
      </c>
      <c r="C43" s="4" t="s">
        <v>18</v>
      </c>
      <c r="D43" s="4">
        <v>25.4</v>
      </c>
      <c r="E43" s="4"/>
      <c r="F43" s="4">
        <v>3.2</v>
      </c>
      <c r="G43" s="4" t="str">
        <f t="shared" si="0"/>
        <v>25.4--3.2</v>
      </c>
      <c r="H43" s="10">
        <v>1.7513491200000002</v>
      </c>
      <c r="I43" s="4">
        <v>65875</v>
      </c>
      <c r="J43" s="4"/>
      <c r="K43" s="4"/>
      <c r="L43" s="4"/>
      <c r="M43" s="4">
        <v>7500</v>
      </c>
      <c r="N43" s="4">
        <f t="shared" si="1"/>
        <v>73375</v>
      </c>
      <c r="O43" s="11">
        <f t="shared" si="2"/>
        <v>128.50524168000001</v>
      </c>
      <c r="P43" s="4">
        <v>5600</v>
      </c>
      <c r="Q43" s="4">
        <f t="shared" si="3"/>
        <v>78975</v>
      </c>
      <c r="R43" s="4">
        <f t="shared" si="4"/>
        <v>138.31</v>
      </c>
      <c r="S43" s="4">
        <v>3900</v>
      </c>
      <c r="T43" s="4">
        <f t="shared" si="5"/>
        <v>82875</v>
      </c>
      <c r="U43" s="4">
        <f t="shared" si="6"/>
        <v>145.13999999999999</v>
      </c>
      <c r="V43" s="4"/>
      <c r="W43" s="4"/>
      <c r="X43" s="4"/>
      <c r="Y43" s="21">
        <v>128.51</v>
      </c>
      <c r="Z43" s="4">
        <v>6000</v>
      </c>
      <c r="AA43" s="4">
        <f t="shared" si="112"/>
        <v>88875</v>
      </c>
      <c r="AB43" s="4">
        <f t="shared" si="113"/>
        <v>155.65</v>
      </c>
      <c r="AC43" s="4">
        <v>-10200</v>
      </c>
      <c r="AD43" s="4">
        <f t="shared" si="74"/>
        <v>78675</v>
      </c>
      <c r="AE43" s="4">
        <f t="shared" si="75"/>
        <v>137.79</v>
      </c>
      <c r="AF43" s="4">
        <v>-4900</v>
      </c>
      <c r="AG43" s="4">
        <f t="shared" si="76"/>
        <v>73775</v>
      </c>
      <c r="AH43" s="4">
        <f t="shared" si="77"/>
        <v>129.21</v>
      </c>
      <c r="AI43" s="30">
        <v>3300</v>
      </c>
      <c r="AJ43" s="4">
        <f t="shared" si="106"/>
        <v>77075</v>
      </c>
      <c r="AK43" s="4">
        <f t="shared" si="107"/>
        <v>134.99</v>
      </c>
      <c r="AL43" s="30">
        <v>-3800</v>
      </c>
      <c r="AM43" s="4">
        <f t="shared" si="108"/>
        <v>73275</v>
      </c>
      <c r="AN43" s="4">
        <f t="shared" si="109"/>
        <v>128.33000000000001</v>
      </c>
      <c r="AO43" s="4">
        <f>2000</f>
        <v>2000</v>
      </c>
      <c r="AP43" s="4">
        <f t="shared" si="110"/>
        <v>75275</v>
      </c>
      <c r="AQ43" s="4">
        <f t="shared" si="111"/>
        <v>131.83000000000001</v>
      </c>
      <c r="AR43" s="4">
        <v>-1950</v>
      </c>
      <c r="AS43" s="4">
        <f t="shared" si="12"/>
        <v>73325</v>
      </c>
      <c r="AT43" s="20">
        <f t="shared" si="13"/>
        <v>128.41767422400002</v>
      </c>
      <c r="AU43" s="4">
        <v>-2625</v>
      </c>
      <c r="AV43" s="4">
        <f t="shared" si="14"/>
        <v>70700</v>
      </c>
      <c r="AW43" s="20">
        <f t="shared" si="15"/>
        <v>123.82038278400002</v>
      </c>
      <c r="AX43" s="4">
        <v>500</v>
      </c>
      <c r="AY43" s="4">
        <f t="shared" si="16"/>
        <v>71200</v>
      </c>
      <c r="AZ43" s="20">
        <f t="shared" si="17"/>
        <v>124.69605734400001</v>
      </c>
      <c r="BA43" s="4">
        <v>-4750</v>
      </c>
      <c r="BB43" s="4">
        <f t="shared" si="18"/>
        <v>66450</v>
      </c>
      <c r="BC43" s="20">
        <f t="shared" si="19"/>
        <v>116.37714902400002</v>
      </c>
      <c r="BD43" s="4">
        <v>0</v>
      </c>
      <c r="BE43" s="4">
        <f t="shared" si="20"/>
        <v>66450</v>
      </c>
      <c r="BF43" s="20">
        <f t="shared" si="21"/>
        <v>116.37714902400002</v>
      </c>
      <c r="BG43" s="4">
        <v>2600</v>
      </c>
      <c r="BH43" s="4">
        <f t="shared" si="22"/>
        <v>69050</v>
      </c>
      <c r="BI43" s="20">
        <f t="shared" si="23"/>
        <v>120.93065673600002</v>
      </c>
      <c r="BJ43" s="4">
        <v>1000</v>
      </c>
      <c r="BK43" s="4"/>
      <c r="BL43" s="4">
        <f t="shared" si="11"/>
        <v>70050</v>
      </c>
      <c r="BM43" s="20">
        <f t="shared" si="114"/>
        <v>122.68200585600002</v>
      </c>
      <c r="BN43" s="4">
        <v>-2150</v>
      </c>
      <c r="BO43" s="4">
        <f t="shared" si="115"/>
        <v>67900</v>
      </c>
      <c r="BP43" s="20">
        <f t="shared" si="116"/>
        <v>118.91660524800001</v>
      </c>
      <c r="BQ43" s="4">
        <v>1500</v>
      </c>
      <c r="BR43" s="4">
        <f t="shared" si="59"/>
        <v>69400</v>
      </c>
      <c r="BS43" s="20">
        <f t="shared" si="24"/>
        <v>121.54362892800002</v>
      </c>
      <c r="BT43" s="4">
        <v>5500</v>
      </c>
      <c r="BU43" s="4">
        <f t="shared" si="60"/>
        <v>74900</v>
      </c>
      <c r="BV43" s="20">
        <f t="shared" si="25"/>
        <v>131.17604908800004</v>
      </c>
    </row>
    <row r="44" spans="1:74" hidden="1" x14ac:dyDescent="0.25">
      <c r="A44" s="4" t="s">
        <v>39</v>
      </c>
      <c r="B44" s="4" t="s">
        <v>14</v>
      </c>
      <c r="C44" s="4" t="s">
        <v>15</v>
      </c>
      <c r="D44" s="4">
        <v>28.58</v>
      </c>
      <c r="E44" s="4"/>
      <c r="F44" s="4">
        <v>1.2</v>
      </c>
      <c r="G44" s="4" t="str">
        <f t="shared" si="0"/>
        <v>28.58--1.2</v>
      </c>
      <c r="H44" s="10">
        <v>0.80999896799999993</v>
      </c>
      <c r="I44" s="4">
        <v>69405</v>
      </c>
      <c r="J44" s="4"/>
      <c r="K44" s="4"/>
      <c r="L44" s="4"/>
      <c r="M44" s="4">
        <v>9800</v>
      </c>
      <c r="N44" s="4">
        <f t="shared" si="1"/>
        <v>79205</v>
      </c>
      <c r="O44" s="11">
        <f t="shared" si="2"/>
        <v>64.155968260439991</v>
      </c>
      <c r="P44" s="4">
        <v>6000</v>
      </c>
      <c r="Q44" s="4">
        <f t="shared" si="3"/>
        <v>85205</v>
      </c>
      <c r="R44" s="4">
        <f t="shared" si="4"/>
        <v>69.02</v>
      </c>
      <c r="S44" s="4">
        <v>4000</v>
      </c>
      <c r="T44" s="4">
        <f t="shared" si="5"/>
        <v>89205</v>
      </c>
      <c r="U44" s="4">
        <f t="shared" si="6"/>
        <v>72.260000000000005</v>
      </c>
      <c r="V44" s="4"/>
      <c r="W44" s="4"/>
      <c r="X44" s="4"/>
      <c r="Y44" s="4">
        <v>64.16</v>
      </c>
      <c r="Z44" s="4">
        <v>5700</v>
      </c>
      <c r="AA44" s="22">
        <f t="shared" ref="AA44:AA45" si="117">T44+Z44</f>
        <v>94905</v>
      </c>
      <c r="AB44" s="23">
        <f t="shared" ref="AB44:AB45" si="118">$H44*AA44/1000</f>
        <v>76.872952058039999</v>
      </c>
      <c r="AC44" s="4">
        <v>-11650</v>
      </c>
      <c r="AD44" s="22">
        <f t="shared" si="74"/>
        <v>83255</v>
      </c>
      <c r="AE44" s="22">
        <f t="shared" si="75"/>
        <v>67.44</v>
      </c>
      <c r="AF44" s="4">
        <v>-4200</v>
      </c>
      <c r="AG44" s="4">
        <f t="shared" si="76"/>
        <v>79055</v>
      </c>
      <c r="AH44" s="4">
        <f t="shared" si="77"/>
        <v>64.03</v>
      </c>
      <c r="AI44" s="30">
        <v>1950</v>
      </c>
      <c r="AJ44" s="4">
        <f t="shared" ref="AJ44:AJ45" si="119">AG44+AI44</f>
        <v>81005</v>
      </c>
      <c r="AK44" s="4">
        <f t="shared" ref="AK44:AK45" si="120">ROUND(AJ44*H44/1000,2)</f>
        <v>65.61</v>
      </c>
      <c r="AL44" s="30">
        <v>-4825</v>
      </c>
      <c r="AM44" s="4">
        <f t="shared" ref="AM44:AM45" si="121">AJ44+AL44</f>
        <v>76180</v>
      </c>
      <c r="AN44" s="4">
        <f t="shared" ref="AN44:AN45" si="122">ROUND(AM44*H44/1000,2)</f>
        <v>61.71</v>
      </c>
      <c r="AO44" s="4">
        <f>1920</f>
        <v>1920</v>
      </c>
      <c r="AP44" s="4">
        <f t="shared" ref="AP44:AP45" si="123">AM44+AO44</f>
        <v>78100</v>
      </c>
      <c r="AQ44" s="4">
        <f t="shared" ref="AQ44:AQ45" si="124">ROUND(AP44*H44/1000,2)</f>
        <v>63.26</v>
      </c>
      <c r="AR44" s="4">
        <v>-1200</v>
      </c>
      <c r="AS44" s="4">
        <f t="shared" si="12"/>
        <v>76900</v>
      </c>
      <c r="AT44" s="20">
        <f t="shared" si="13"/>
        <v>62.288920639200001</v>
      </c>
      <c r="AU44" s="4">
        <v>-2125</v>
      </c>
      <c r="AV44" s="4">
        <f t="shared" si="14"/>
        <v>74775</v>
      </c>
      <c r="AW44" s="20">
        <f t="shared" si="15"/>
        <v>60.567672832199996</v>
      </c>
      <c r="AX44" s="4">
        <v>200</v>
      </c>
      <c r="AY44" s="4">
        <f t="shared" si="16"/>
        <v>74975</v>
      </c>
      <c r="AZ44" s="20">
        <f t="shared" si="17"/>
        <v>60.729672625799999</v>
      </c>
      <c r="BA44" s="4">
        <v>-4150</v>
      </c>
      <c r="BB44" s="4">
        <f t="shared" si="18"/>
        <v>70825</v>
      </c>
      <c r="BC44" s="20">
        <f t="shared" si="19"/>
        <v>57.368176908599999</v>
      </c>
      <c r="BD44" s="4">
        <v>0</v>
      </c>
      <c r="BE44" s="4">
        <f t="shared" si="20"/>
        <v>70825</v>
      </c>
      <c r="BF44" s="20">
        <f t="shared" si="21"/>
        <v>57.368176908599999</v>
      </c>
      <c r="BG44" s="4">
        <v>2600</v>
      </c>
      <c r="BH44" s="4">
        <f t="shared" si="22"/>
        <v>73425</v>
      </c>
      <c r="BI44" s="20">
        <f t="shared" si="23"/>
        <v>59.474174225399999</v>
      </c>
      <c r="BJ44" s="4">
        <v>900</v>
      </c>
      <c r="BK44" s="4"/>
      <c r="BL44" s="4">
        <f t="shared" si="11"/>
        <v>74325</v>
      </c>
      <c r="BM44" s="20">
        <f t="shared" si="114"/>
        <v>60.203173296599999</v>
      </c>
      <c r="BN44" s="4">
        <v>-2100</v>
      </c>
      <c r="BO44" s="4">
        <f t="shared" si="115"/>
        <v>72225</v>
      </c>
      <c r="BP44" s="20">
        <f t="shared" si="116"/>
        <v>58.5021754638</v>
      </c>
      <c r="BQ44" s="4">
        <v>1450</v>
      </c>
      <c r="BR44" s="4">
        <f t="shared" si="59"/>
        <v>73675</v>
      </c>
      <c r="BS44" s="20">
        <f t="shared" si="24"/>
        <v>59.676673967399999</v>
      </c>
      <c r="BT44" s="4">
        <v>5150</v>
      </c>
      <c r="BU44" s="4">
        <f t="shared" si="60"/>
        <v>78825</v>
      </c>
      <c r="BV44" s="20">
        <f t="shared" si="25"/>
        <v>63.848168652599995</v>
      </c>
    </row>
    <row r="45" spans="1:74" hidden="1" x14ac:dyDescent="0.25">
      <c r="A45" s="4" t="s">
        <v>39</v>
      </c>
      <c r="B45" s="4" t="s">
        <v>14</v>
      </c>
      <c r="C45" s="4" t="s">
        <v>15</v>
      </c>
      <c r="D45" s="4">
        <v>28.58</v>
      </c>
      <c r="E45" s="4"/>
      <c r="F45" s="4">
        <v>1.6</v>
      </c>
      <c r="G45" s="4" t="str">
        <f t="shared" si="0"/>
        <v>28.58--1.6</v>
      </c>
      <c r="H45" s="10">
        <v>1.064220704</v>
      </c>
      <c r="I45" s="4">
        <v>69405</v>
      </c>
      <c r="J45" s="4"/>
      <c r="K45" s="4"/>
      <c r="L45" s="4"/>
      <c r="M45" s="4">
        <v>9800</v>
      </c>
      <c r="N45" s="4">
        <f t="shared" si="1"/>
        <v>79205</v>
      </c>
      <c r="O45" s="11">
        <f t="shared" si="2"/>
        <v>84.291600860320003</v>
      </c>
      <c r="P45" s="4">
        <v>6000</v>
      </c>
      <c r="Q45" s="4">
        <f t="shared" si="3"/>
        <v>85205</v>
      </c>
      <c r="R45" s="4">
        <f t="shared" si="4"/>
        <v>90.68</v>
      </c>
      <c r="S45" s="4">
        <v>4000</v>
      </c>
      <c r="T45" s="4">
        <f t="shared" si="5"/>
        <v>89205</v>
      </c>
      <c r="U45" s="4">
        <f t="shared" si="6"/>
        <v>94.93</v>
      </c>
      <c r="V45" s="4"/>
      <c r="W45" s="4"/>
      <c r="X45" s="4"/>
      <c r="Y45" s="4">
        <v>84.29</v>
      </c>
      <c r="Z45" s="4">
        <v>5700</v>
      </c>
      <c r="AA45" s="4">
        <f t="shared" si="117"/>
        <v>94905</v>
      </c>
      <c r="AB45" s="20">
        <f t="shared" si="118"/>
        <v>100.99986591311999</v>
      </c>
      <c r="AC45" s="4">
        <v>-11650</v>
      </c>
      <c r="AD45" s="4">
        <f t="shared" si="74"/>
        <v>83255</v>
      </c>
      <c r="AE45" s="4">
        <f t="shared" si="75"/>
        <v>88.6</v>
      </c>
      <c r="AF45" s="4">
        <v>-4200</v>
      </c>
      <c r="AG45" s="4">
        <f t="shared" si="76"/>
        <v>79055</v>
      </c>
      <c r="AH45" s="4">
        <f t="shared" si="77"/>
        <v>84.13</v>
      </c>
      <c r="AI45" s="30">
        <v>1950</v>
      </c>
      <c r="AJ45" s="4">
        <f t="shared" si="119"/>
        <v>81005</v>
      </c>
      <c r="AK45" s="4">
        <f t="shared" si="120"/>
        <v>86.21</v>
      </c>
      <c r="AL45" s="30">
        <v>-4825</v>
      </c>
      <c r="AM45" s="4">
        <f t="shared" si="121"/>
        <v>76180</v>
      </c>
      <c r="AN45" s="4">
        <f t="shared" si="122"/>
        <v>81.069999999999993</v>
      </c>
      <c r="AO45" s="4">
        <f>1920</f>
        <v>1920</v>
      </c>
      <c r="AP45" s="4">
        <f t="shared" si="123"/>
        <v>78100</v>
      </c>
      <c r="AQ45" s="4">
        <f t="shared" si="124"/>
        <v>83.12</v>
      </c>
      <c r="AR45" s="4">
        <v>-1200</v>
      </c>
      <c r="AS45" s="4">
        <f t="shared" si="12"/>
        <v>76900</v>
      </c>
      <c r="AT45" s="20">
        <f t="shared" si="13"/>
        <v>81.838572137599996</v>
      </c>
      <c r="AU45" s="4">
        <v>-2125</v>
      </c>
      <c r="AV45" s="4">
        <f t="shared" si="14"/>
        <v>74775</v>
      </c>
      <c r="AW45" s="20">
        <f t="shared" si="15"/>
        <v>79.577103141600006</v>
      </c>
      <c r="AX45" s="4">
        <v>200</v>
      </c>
      <c r="AY45" s="4">
        <f t="shared" si="16"/>
        <v>74975</v>
      </c>
      <c r="AZ45" s="20">
        <f t="shared" si="17"/>
        <v>79.789947282399993</v>
      </c>
      <c r="BA45" s="4">
        <v>-4150</v>
      </c>
      <c r="BB45" s="4">
        <f t="shared" si="18"/>
        <v>70825</v>
      </c>
      <c r="BC45" s="20">
        <f t="shared" si="19"/>
        <v>75.373431360800012</v>
      </c>
      <c r="BD45" s="4">
        <v>0</v>
      </c>
      <c r="BE45" s="4">
        <f t="shared" si="20"/>
        <v>70825</v>
      </c>
      <c r="BF45" s="20">
        <f t="shared" si="21"/>
        <v>75.373431360800012</v>
      </c>
      <c r="BG45" s="4">
        <v>2600</v>
      </c>
      <c r="BH45" s="4">
        <f t="shared" si="22"/>
        <v>73425</v>
      </c>
      <c r="BI45" s="20">
        <f t="shared" si="23"/>
        <v>78.140405191200003</v>
      </c>
      <c r="BJ45" s="4">
        <v>900</v>
      </c>
      <c r="BK45" s="4"/>
      <c r="BL45" s="4">
        <f t="shared" si="11"/>
        <v>74325</v>
      </c>
      <c r="BM45" s="20">
        <f t="shared" si="114"/>
        <v>79.098203824800009</v>
      </c>
      <c r="BN45" s="4">
        <v>-2100</v>
      </c>
      <c r="BO45" s="4">
        <f t="shared" si="115"/>
        <v>72225</v>
      </c>
      <c r="BP45" s="20">
        <f t="shared" si="116"/>
        <v>76.863340346399994</v>
      </c>
      <c r="BQ45" s="4">
        <v>1450</v>
      </c>
      <c r="BR45" s="4">
        <f t="shared" si="59"/>
        <v>73675</v>
      </c>
      <c r="BS45" s="20">
        <f t="shared" si="24"/>
        <v>78.406460367200012</v>
      </c>
      <c r="BT45" s="4">
        <v>5150</v>
      </c>
      <c r="BU45" s="4">
        <f t="shared" si="60"/>
        <v>78825</v>
      </c>
      <c r="BV45" s="20">
        <f t="shared" si="25"/>
        <v>83.8871969928</v>
      </c>
    </row>
    <row r="46" spans="1:74" hidden="1" x14ac:dyDescent="0.25">
      <c r="A46" s="4" t="s">
        <v>39</v>
      </c>
      <c r="B46" s="4" t="s">
        <v>14</v>
      </c>
      <c r="C46" s="4" t="s">
        <v>18</v>
      </c>
      <c r="D46" s="4">
        <v>28.58</v>
      </c>
      <c r="E46" s="4"/>
      <c r="F46" s="4">
        <v>2</v>
      </c>
      <c r="G46" s="4" t="str">
        <f t="shared" si="0"/>
        <v>28.58--2</v>
      </c>
      <c r="H46" s="10">
        <v>1.31055348</v>
      </c>
      <c r="I46" s="4">
        <v>65875</v>
      </c>
      <c r="J46" s="4"/>
      <c r="K46" s="4"/>
      <c r="L46" s="4"/>
      <c r="M46" s="4">
        <v>7500</v>
      </c>
      <c r="N46" s="4">
        <f t="shared" si="1"/>
        <v>73375</v>
      </c>
      <c r="O46" s="11">
        <f t="shared" si="2"/>
        <v>96.161861595000005</v>
      </c>
      <c r="P46" s="4">
        <v>5600</v>
      </c>
      <c r="Q46" s="4">
        <f t="shared" si="3"/>
        <v>78975</v>
      </c>
      <c r="R46" s="4">
        <f t="shared" si="4"/>
        <v>103.5</v>
      </c>
      <c r="S46" s="4">
        <v>3900</v>
      </c>
      <c r="T46" s="4">
        <f t="shared" si="5"/>
        <v>82875</v>
      </c>
      <c r="U46" s="4">
        <f t="shared" si="6"/>
        <v>108.61</v>
      </c>
      <c r="V46" s="4"/>
      <c r="W46" s="4"/>
      <c r="X46" s="4"/>
      <c r="Y46" s="21">
        <v>96.16</v>
      </c>
      <c r="Z46" s="4">
        <v>6000</v>
      </c>
      <c r="AA46" s="4">
        <f>Z46+T46</f>
        <v>88875</v>
      </c>
      <c r="AB46" s="4">
        <f>ROUND(AA46*H46/1000,2)</f>
        <v>116.48</v>
      </c>
      <c r="AC46" s="4">
        <v>-10200</v>
      </c>
      <c r="AD46" s="4">
        <f>AC46+AA46</f>
        <v>78675</v>
      </c>
      <c r="AE46" s="4">
        <f>ROUND(AD46*H46/1000,2)</f>
        <v>103.11</v>
      </c>
      <c r="AF46" s="4">
        <v>-4900</v>
      </c>
      <c r="AG46" s="4">
        <f>AD46+AF46</f>
        <v>73775</v>
      </c>
      <c r="AH46" s="4">
        <f>ROUND(AG46*H46/1000,2)</f>
        <v>96.69</v>
      </c>
      <c r="AI46" s="30">
        <v>3300</v>
      </c>
      <c r="AJ46" s="4">
        <f>AG46+AI46</f>
        <v>77075</v>
      </c>
      <c r="AK46" s="4">
        <f>ROUND(AJ46*H46/1000,2)</f>
        <v>101.01</v>
      </c>
      <c r="AL46" s="30">
        <v>-3800</v>
      </c>
      <c r="AM46" s="4">
        <f>AJ46+AL46</f>
        <v>73275</v>
      </c>
      <c r="AN46" s="4">
        <f>ROUND(AM46*H46/1000,2)</f>
        <v>96.03</v>
      </c>
      <c r="AO46" s="4">
        <f>2000</f>
        <v>2000</v>
      </c>
      <c r="AP46" s="4">
        <f>AM46+AO46</f>
        <v>75275</v>
      </c>
      <c r="AQ46" s="4">
        <f>ROUND(AP46*H46/1000,2)</f>
        <v>98.65</v>
      </c>
      <c r="AR46" s="4">
        <v>-1950</v>
      </c>
      <c r="AS46" s="4">
        <f t="shared" si="12"/>
        <v>73325</v>
      </c>
      <c r="AT46" s="20">
        <f t="shared" si="13"/>
        <v>96.096333920999996</v>
      </c>
      <c r="AU46" s="4">
        <v>-2625</v>
      </c>
      <c r="AV46" s="4">
        <f t="shared" si="14"/>
        <v>70700</v>
      </c>
      <c r="AW46" s="20">
        <f t="shared" si="15"/>
        <v>92.656131036000005</v>
      </c>
      <c r="AX46" s="4">
        <v>500</v>
      </c>
      <c r="AY46" s="4">
        <f t="shared" si="16"/>
        <v>71200</v>
      </c>
      <c r="AZ46" s="20">
        <f t="shared" si="17"/>
        <v>93.31140777600001</v>
      </c>
      <c r="BA46" s="4">
        <v>-4750</v>
      </c>
      <c r="BB46" s="4">
        <f t="shared" si="18"/>
        <v>66450</v>
      </c>
      <c r="BC46" s="20">
        <f t="shared" si="19"/>
        <v>87.086278745999991</v>
      </c>
      <c r="BD46" s="4">
        <v>0</v>
      </c>
      <c r="BE46" s="4">
        <f t="shared" si="20"/>
        <v>66450</v>
      </c>
      <c r="BF46" s="20">
        <f t="shared" si="21"/>
        <v>87.086278745999991</v>
      </c>
      <c r="BG46" s="4">
        <v>2600</v>
      </c>
      <c r="BH46" s="4">
        <f t="shared" si="22"/>
        <v>69050</v>
      </c>
      <c r="BI46" s="20">
        <f t="shared" si="23"/>
        <v>90.493717793999991</v>
      </c>
      <c r="BJ46" s="4">
        <v>1000</v>
      </c>
      <c r="BK46" s="4"/>
      <c r="BL46" s="4">
        <f t="shared" si="11"/>
        <v>70050</v>
      </c>
      <c r="BM46" s="20">
        <f>BL46*H46/1000</f>
        <v>91.804271274000001</v>
      </c>
      <c r="BN46" s="4">
        <v>-2150</v>
      </c>
      <c r="BO46" s="4">
        <f t="shared" ref="BO46:BO48" si="125">BL46+BN46</f>
        <v>67900</v>
      </c>
      <c r="BP46" s="20">
        <f>BO46*H46/1000</f>
        <v>88.986581291999997</v>
      </c>
      <c r="BQ46" s="4">
        <v>1500</v>
      </c>
      <c r="BR46" s="4">
        <f t="shared" si="59"/>
        <v>69400</v>
      </c>
      <c r="BS46" s="20">
        <f t="shared" si="24"/>
        <v>90.952411512000012</v>
      </c>
      <c r="BT46" s="4">
        <v>5500</v>
      </c>
      <c r="BU46" s="4">
        <f t="shared" si="60"/>
        <v>74900</v>
      </c>
      <c r="BV46" s="20">
        <f t="shared" si="25"/>
        <v>98.16045565200001</v>
      </c>
    </row>
    <row r="47" spans="1:74" hidden="1" x14ac:dyDescent="0.25">
      <c r="A47" s="4" t="s">
        <v>39</v>
      </c>
      <c r="B47" s="4" t="s">
        <v>14</v>
      </c>
      <c r="C47" s="4" t="s">
        <v>15</v>
      </c>
      <c r="D47" s="4">
        <v>31.75</v>
      </c>
      <c r="E47" s="4"/>
      <c r="F47" s="4">
        <v>1.2</v>
      </c>
      <c r="G47" s="4" t="str">
        <f t="shared" si="0"/>
        <v>31.75--1.2</v>
      </c>
      <c r="H47" s="10">
        <v>0.90377898000000001</v>
      </c>
      <c r="I47" s="4">
        <v>69405</v>
      </c>
      <c r="J47" s="4"/>
      <c r="K47" s="4"/>
      <c r="L47" s="4"/>
      <c r="M47" s="4">
        <v>9800</v>
      </c>
      <c r="N47" s="4">
        <f t="shared" si="1"/>
        <v>79205</v>
      </c>
      <c r="O47" s="11">
        <f t="shared" si="2"/>
        <v>71.583814110899993</v>
      </c>
      <c r="P47" s="4">
        <v>6000</v>
      </c>
      <c r="Q47" s="4">
        <f t="shared" si="3"/>
        <v>85205</v>
      </c>
      <c r="R47" s="4">
        <f t="shared" si="4"/>
        <v>77.010000000000005</v>
      </c>
      <c r="S47" s="4">
        <v>4000</v>
      </c>
      <c r="T47" s="4">
        <f t="shared" si="5"/>
        <v>89205</v>
      </c>
      <c r="U47" s="4">
        <f t="shared" si="6"/>
        <v>80.62</v>
      </c>
      <c r="V47" s="4"/>
      <c r="W47" s="4"/>
      <c r="X47" s="4"/>
      <c r="Y47" s="4">
        <v>71.58</v>
      </c>
      <c r="Z47" s="4">
        <v>5700</v>
      </c>
      <c r="AA47" s="22">
        <f t="shared" ref="AA47:AA48" si="126">T47+Z47</f>
        <v>94905</v>
      </c>
      <c r="AB47" s="23">
        <f t="shared" ref="AB47:AB48" si="127">$H47*AA47/1000</f>
        <v>85.773144096899998</v>
      </c>
      <c r="AC47" s="4">
        <v>-11650</v>
      </c>
      <c r="AD47" s="22">
        <f t="shared" ref="AD47:AD54" si="128">AC47+AA47</f>
        <v>83255</v>
      </c>
      <c r="AE47" s="22">
        <f t="shared" ref="AE47:AE54" si="129">ROUND(AD47*H47/1000,2)</f>
        <v>75.239999999999995</v>
      </c>
      <c r="AF47" s="4">
        <v>-4200</v>
      </c>
      <c r="AG47" s="4">
        <f t="shared" ref="AG47:AG54" si="130">AD47+AF47</f>
        <v>79055</v>
      </c>
      <c r="AH47" s="4">
        <f t="shared" ref="AH47:AH54" si="131">ROUND(AG47*H47/1000,2)</f>
        <v>71.45</v>
      </c>
      <c r="AI47" s="30">
        <v>1950</v>
      </c>
      <c r="AJ47" s="4">
        <f t="shared" ref="AJ47:AJ50" si="132">AG47+AI47</f>
        <v>81005</v>
      </c>
      <c r="AK47" s="4">
        <f t="shared" ref="AK47:AK50" si="133">ROUND(AJ47*H47/1000,2)</f>
        <v>73.209999999999994</v>
      </c>
      <c r="AL47" s="30">
        <v>-4825</v>
      </c>
      <c r="AM47" s="4">
        <f t="shared" ref="AM47:AM50" si="134">AJ47+AL47</f>
        <v>76180</v>
      </c>
      <c r="AN47" s="4">
        <f t="shared" ref="AN47:AN50" si="135">ROUND(AM47*H47/1000,2)</f>
        <v>68.849999999999994</v>
      </c>
      <c r="AO47" s="4">
        <f>1920</f>
        <v>1920</v>
      </c>
      <c r="AP47" s="4">
        <f t="shared" ref="AP47:AP50" si="136">AM47+AO47</f>
        <v>78100</v>
      </c>
      <c r="AQ47" s="4">
        <f t="shared" ref="AQ47:AQ50" si="137">ROUND(AP47*H47/1000,2)</f>
        <v>70.59</v>
      </c>
      <c r="AR47" s="4">
        <v>-1200</v>
      </c>
      <c r="AS47" s="4">
        <f t="shared" si="12"/>
        <v>76900</v>
      </c>
      <c r="AT47" s="20">
        <f t="shared" si="13"/>
        <v>69.500603562000009</v>
      </c>
      <c r="AU47" s="4">
        <v>-2125</v>
      </c>
      <c r="AV47" s="4">
        <f t="shared" si="14"/>
        <v>74775</v>
      </c>
      <c r="AW47" s="20">
        <f t="shared" si="15"/>
        <v>67.580073229500002</v>
      </c>
      <c r="AX47" s="4">
        <v>200</v>
      </c>
      <c r="AY47" s="4">
        <f t="shared" si="16"/>
        <v>74975</v>
      </c>
      <c r="AZ47" s="20">
        <f t="shared" si="17"/>
        <v>67.760829025500001</v>
      </c>
      <c r="BA47" s="4">
        <v>-4150</v>
      </c>
      <c r="BB47" s="4">
        <f t="shared" si="18"/>
        <v>70825</v>
      </c>
      <c r="BC47" s="20">
        <f t="shared" si="19"/>
        <v>64.010146258500001</v>
      </c>
      <c r="BD47" s="4">
        <v>0</v>
      </c>
      <c r="BE47" s="4">
        <f t="shared" si="20"/>
        <v>70825</v>
      </c>
      <c r="BF47" s="20">
        <f t="shared" si="21"/>
        <v>64.010146258500001</v>
      </c>
      <c r="BG47" s="4">
        <v>2600</v>
      </c>
      <c r="BH47" s="4">
        <f t="shared" si="22"/>
        <v>73425</v>
      </c>
      <c r="BI47" s="20">
        <f t="shared" si="23"/>
        <v>66.359971606499997</v>
      </c>
      <c r="BJ47" s="4">
        <v>900</v>
      </c>
      <c r="BK47" s="4"/>
      <c r="BL47" s="4">
        <f t="shared" si="11"/>
        <v>74325</v>
      </c>
      <c r="BM47" s="20">
        <f t="shared" ref="BM47:BM48" si="138">BL47*H47/1000</f>
        <v>67.17337268850001</v>
      </c>
      <c r="BN47" s="4">
        <v>-2100</v>
      </c>
      <c r="BO47" s="4">
        <f t="shared" si="125"/>
        <v>72225</v>
      </c>
      <c r="BP47" s="20">
        <f t="shared" ref="BP47:BP48" si="139">BO47*H47/1000</f>
        <v>65.275436830499999</v>
      </c>
      <c r="BQ47" s="4">
        <v>1450</v>
      </c>
      <c r="BR47" s="4">
        <f t="shared" si="59"/>
        <v>73675</v>
      </c>
      <c r="BS47" s="20">
        <f t="shared" si="24"/>
        <v>66.585916351500003</v>
      </c>
      <c r="BT47" s="4">
        <v>5150</v>
      </c>
      <c r="BU47" s="4">
        <f t="shared" si="60"/>
        <v>78825</v>
      </c>
      <c r="BV47" s="20">
        <f t="shared" si="25"/>
        <v>71.240378098500003</v>
      </c>
    </row>
    <row r="48" spans="1:74" hidden="1" x14ac:dyDescent="0.25">
      <c r="A48" s="4" t="s">
        <v>39</v>
      </c>
      <c r="B48" s="4" t="s">
        <v>14</v>
      </c>
      <c r="C48" s="4" t="s">
        <v>15</v>
      </c>
      <c r="D48" s="4">
        <v>31.75</v>
      </c>
      <c r="E48" s="4"/>
      <c r="F48" s="4">
        <v>1.6</v>
      </c>
      <c r="G48" s="4" t="str">
        <f t="shared" si="0"/>
        <v>31.75--1.6</v>
      </c>
      <c r="H48" s="10">
        <v>1.18926072</v>
      </c>
      <c r="I48" s="4">
        <v>69405</v>
      </c>
      <c r="J48" s="4"/>
      <c r="K48" s="4"/>
      <c r="L48" s="4"/>
      <c r="M48" s="4">
        <v>9800</v>
      </c>
      <c r="N48" s="4">
        <f t="shared" si="1"/>
        <v>79205</v>
      </c>
      <c r="O48" s="11">
        <f t="shared" si="2"/>
        <v>94.195395327600011</v>
      </c>
      <c r="P48" s="4">
        <v>6000</v>
      </c>
      <c r="Q48" s="4">
        <f t="shared" si="3"/>
        <v>85205</v>
      </c>
      <c r="R48" s="4">
        <f t="shared" si="4"/>
        <v>101.33</v>
      </c>
      <c r="S48" s="4">
        <v>4000</v>
      </c>
      <c r="T48" s="4">
        <f t="shared" si="5"/>
        <v>89205</v>
      </c>
      <c r="U48" s="4">
        <f t="shared" si="6"/>
        <v>106.09</v>
      </c>
      <c r="V48" s="4"/>
      <c r="W48" s="4"/>
      <c r="X48" s="4"/>
      <c r="Y48" s="4">
        <v>94.2</v>
      </c>
      <c r="Z48" s="4">
        <v>5700</v>
      </c>
      <c r="AA48" s="4">
        <f t="shared" si="126"/>
        <v>94905</v>
      </c>
      <c r="AB48" s="20">
        <f t="shared" si="127"/>
        <v>112.8667886316</v>
      </c>
      <c r="AC48" s="4">
        <v>-11650</v>
      </c>
      <c r="AD48" s="4">
        <f t="shared" si="128"/>
        <v>83255</v>
      </c>
      <c r="AE48" s="4">
        <f t="shared" si="129"/>
        <v>99.01</v>
      </c>
      <c r="AF48" s="4">
        <v>-4200</v>
      </c>
      <c r="AG48" s="4">
        <f t="shared" si="130"/>
        <v>79055</v>
      </c>
      <c r="AH48" s="4">
        <f t="shared" si="131"/>
        <v>94.02</v>
      </c>
      <c r="AI48" s="30">
        <v>1950</v>
      </c>
      <c r="AJ48" s="4">
        <f t="shared" si="132"/>
        <v>81005</v>
      </c>
      <c r="AK48" s="4">
        <f t="shared" si="133"/>
        <v>96.34</v>
      </c>
      <c r="AL48" s="30">
        <v>-4825</v>
      </c>
      <c r="AM48" s="4">
        <f t="shared" si="134"/>
        <v>76180</v>
      </c>
      <c r="AN48" s="4">
        <f t="shared" si="135"/>
        <v>90.6</v>
      </c>
      <c r="AO48" s="4">
        <f>1920</f>
        <v>1920</v>
      </c>
      <c r="AP48" s="4">
        <f t="shared" si="136"/>
        <v>78100</v>
      </c>
      <c r="AQ48" s="4">
        <f t="shared" si="137"/>
        <v>92.88</v>
      </c>
      <c r="AR48" s="4">
        <v>-1200</v>
      </c>
      <c r="AS48" s="4">
        <f t="shared" si="12"/>
        <v>76900</v>
      </c>
      <c r="AT48" s="20">
        <f t="shared" si="13"/>
        <v>91.454149368000003</v>
      </c>
      <c r="AU48" s="4">
        <v>-2125</v>
      </c>
      <c r="AV48" s="4">
        <f t="shared" si="14"/>
        <v>74775</v>
      </c>
      <c r="AW48" s="20">
        <f t="shared" si="15"/>
        <v>88.926970338000004</v>
      </c>
      <c r="AX48" s="4">
        <v>200</v>
      </c>
      <c r="AY48" s="4">
        <f t="shared" si="16"/>
        <v>74975</v>
      </c>
      <c r="AZ48" s="20">
        <f t="shared" si="17"/>
        <v>89.164822482000005</v>
      </c>
      <c r="BA48" s="4">
        <v>-4150</v>
      </c>
      <c r="BB48" s="4">
        <f t="shared" si="18"/>
        <v>70825</v>
      </c>
      <c r="BC48" s="20">
        <f t="shared" si="19"/>
        <v>84.229390494</v>
      </c>
      <c r="BD48" s="4">
        <v>0</v>
      </c>
      <c r="BE48" s="4">
        <f t="shared" si="20"/>
        <v>70825</v>
      </c>
      <c r="BF48" s="20">
        <f t="shared" si="21"/>
        <v>84.229390494</v>
      </c>
      <c r="BG48" s="4">
        <v>2600</v>
      </c>
      <c r="BH48" s="4">
        <f t="shared" si="22"/>
        <v>73425</v>
      </c>
      <c r="BI48" s="20">
        <f t="shared" si="23"/>
        <v>87.321468366000005</v>
      </c>
      <c r="BJ48" s="4">
        <v>900</v>
      </c>
      <c r="BK48" s="4"/>
      <c r="BL48" s="4">
        <f t="shared" si="11"/>
        <v>74325</v>
      </c>
      <c r="BM48" s="20">
        <f t="shared" si="138"/>
        <v>88.391803014000004</v>
      </c>
      <c r="BN48" s="4">
        <v>-2100</v>
      </c>
      <c r="BO48" s="4">
        <f t="shared" si="125"/>
        <v>72225</v>
      </c>
      <c r="BP48" s="20">
        <f t="shared" si="139"/>
        <v>85.89435550200001</v>
      </c>
      <c r="BQ48" s="4">
        <v>1450</v>
      </c>
      <c r="BR48" s="4">
        <f t="shared" si="59"/>
        <v>73675</v>
      </c>
      <c r="BS48" s="20">
        <f t="shared" si="24"/>
        <v>87.618783546000003</v>
      </c>
      <c r="BT48" s="4">
        <v>5150</v>
      </c>
      <c r="BU48" s="4">
        <f t="shared" si="60"/>
        <v>78825</v>
      </c>
      <c r="BV48" s="20">
        <f t="shared" si="25"/>
        <v>93.743476254000015</v>
      </c>
    </row>
    <row r="49" spans="1:74" hidden="1" x14ac:dyDescent="0.25">
      <c r="A49" s="4" t="s">
        <v>39</v>
      </c>
      <c r="B49" s="4" t="s">
        <v>14</v>
      </c>
      <c r="C49" s="4" t="s">
        <v>18</v>
      </c>
      <c r="D49" s="4">
        <v>31.75</v>
      </c>
      <c r="E49" s="4"/>
      <c r="F49" s="4">
        <v>2</v>
      </c>
      <c r="G49" s="4" t="str">
        <f t="shared" si="0"/>
        <v>31.75--2</v>
      </c>
      <c r="H49" s="10">
        <v>1.4668535</v>
      </c>
      <c r="I49" s="4">
        <v>65875</v>
      </c>
      <c r="J49" s="4"/>
      <c r="K49" s="4"/>
      <c r="L49" s="4"/>
      <c r="M49" s="4">
        <v>7500</v>
      </c>
      <c r="N49" s="4">
        <f t="shared" si="1"/>
        <v>73375</v>
      </c>
      <c r="O49" s="11">
        <f t="shared" si="2"/>
        <v>107.63037556250001</v>
      </c>
      <c r="P49" s="4">
        <v>5600</v>
      </c>
      <c r="Q49" s="4">
        <f t="shared" si="3"/>
        <v>78975</v>
      </c>
      <c r="R49" s="4">
        <f t="shared" si="4"/>
        <v>115.84</v>
      </c>
      <c r="S49" s="4">
        <v>3900</v>
      </c>
      <c r="T49" s="4">
        <f t="shared" si="5"/>
        <v>82875</v>
      </c>
      <c r="U49" s="4">
        <f t="shared" si="6"/>
        <v>121.57</v>
      </c>
      <c r="V49" s="4"/>
      <c r="W49" s="4"/>
      <c r="X49" s="4"/>
      <c r="Y49" s="21">
        <v>107.63</v>
      </c>
      <c r="Z49" s="4">
        <v>6000</v>
      </c>
      <c r="AA49" s="4">
        <f t="shared" ref="AA49:AA50" si="140">Z49+T49</f>
        <v>88875</v>
      </c>
      <c r="AB49" s="4">
        <f t="shared" ref="AB49:AB50" si="141">ROUND(AA49*H49/1000,2)</f>
        <v>130.37</v>
      </c>
      <c r="AC49" s="4">
        <v>-10200</v>
      </c>
      <c r="AD49" s="4">
        <f t="shared" si="128"/>
        <v>78675</v>
      </c>
      <c r="AE49" s="4">
        <f t="shared" si="129"/>
        <v>115.4</v>
      </c>
      <c r="AF49" s="4">
        <v>-4900</v>
      </c>
      <c r="AG49" s="4">
        <f t="shared" si="130"/>
        <v>73775</v>
      </c>
      <c r="AH49" s="4">
        <f t="shared" si="131"/>
        <v>108.22</v>
      </c>
      <c r="AI49" s="30">
        <v>3300</v>
      </c>
      <c r="AJ49" s="4">
        <f t="shared" si="132"/>
        <v>77075</v>
      </c>
      <c r="AK49" s="4">
        <f t="shared" si="133"/>
        <v>113.06</v>
      </c>
      <c r="AL49" s="30">
        <v>-3800</v>
      </c>
      <c r="AM49" s="4">
        <f t="shared" si="134"/>
        <v>73275</v>
      </c>
      <c r="AN49" s="4">
        <f t="shared" si="135"/>
        <v>107.48</v>
      </c>
      <c r="AO49" s="4">
        <f>2000</f>
        <v>2000</v>
      </c>
      <c r="AP49" s="4">
        <f t="shared" si="136"/>
        <v>75275</v>
      </c>
      <c r="AQ49" s="4">
        <f t="shared" si="137"/>
        <v>110.42</v>
      </c>
      <c r="AR49" s="4">
        <v>-1950</v>
      </c>
      <c r="AS49" s="4">
        <f t="shared" si="12"/>
        <v>73325</v>
      </c>
      <c r="AT49" s="20">
        <f t="shared" si="13"/>
        <v>107.5570328875</v>
      </c>
      <c r="AU49" s="4">
        <v>-2625</v>
      </c>
      <c r="AV49" s="4">
        <f t="shared" si="14"/>
        <v>70700</v>
      </c>
      <c r="AW49" s="20">
        <f t="shared" si="15"/>
        <v>103.70654245000001</v>
      </c>
      <c r="AX49" s="4">
        <v>500</v>
      </c>
      <c r="AY49" s="4">
        <f t="shared" si="16"/>
        <v>71200</v>
      </c>
      <c r="AZ49" s="20">
        <f t="shared" si="17"/>
        <v>104.43996920000001</v>
      </c>
      <c r="BA49" s="4">
        <v>-4750</v>
      </c>
      <c r="BB49" s="4">
        <f t="shared" si="18"/>
        <v>66450</v>
      </c>
      <c r="BC49" s="20">
        <f t="shared" si="19"/>
        <v>97.472415075000001</v>
      </c>
      <c r="BD49" s="4">
        <v>0</v>
      </c>
      <c r="BE49" s="4">
        <f t="shared" si="20"/>
        <v>66450</v>
      </c>
      <c r="BF49" s="20">
        <f t="shared" si="21"/>
        <v>97.472415075000001</v>
      </c>
      <c r="BG49" s="4">
        <v>2600</v>
      </c>
      <c r="BH49" s="4">
        <f t="shared" si="22"/>
        <v>69050</v>
      </c>
      <c r="BI49" s="20">
        <f t="shared" si="23"/>
        <v>101.286234175</v>
      </c>
      <c r="BJ49" s="4">
        <v>1000</v>
      </c>
      <c r="BK49" s="4"/>
      <c r="BL49" s="4">
        <f t="shared" si="11"/>
        <v>70050</v>
      </c>
      <c r="BM49" s="20">
        <f t="shared" ref="BM49:BM52" si="142">BL49*H49/1000</f>
        <v>102.753087675</v>
      </c>
      <c r="BN49" s="4">
        <v>-2150</v>
      </c>
      <c r="BO49" s="4">
        <f t="shared" ref="BO49:BO52" si="143">BL49+BN49</f>
        <v>67900</v>
      </c>
      <c r="BP49" s="20">
        <f t="shared" ref="BP49:BP52" si="144">BO49*H49/1000</f>
        <v>99.59935265</v>
      </c>
      <c r="BQ49" s="4">
        <v>1500</v>
      </c>
      <c r="BR49" s="4">
        <f t="shared" si="59"/>
        <v>69400</v>
      </c>
      <c r="BS49" s="20">
        <f t="shared" si="24"/>
        <v>101.79963289999999</v>
      </c>
      <c r="BT49" s="4">
        <v>5500</v>
      </c>
      <c r="BU49" s="4">
        <f t="shared" si="60"/>
        <v>74900</v>
      </c>
      <c r="BV49" s="20">
        <f t="shared" si="25"/>
        <v>109.86732714999999</v>
      </c>
    </row>
    <row r="50" spans="1:74" hidden="1" x14ac:dyDescent="0.25">
      <c r="A50" s="4" t="s">
        <v>39</v>
      </c>
      <c r="B50" s="4" t="s">
        <v>14</v>
      </c>
      <c r="C50" s="4" t="s">
        <v>18</v>
      </c>
      <c r="D50" s="4">
        <v>31.75</v>
      </c>
      <c r="E50" s="4"/>
      <c r="F50" s="4">
        <v>2.5</v>
      </c>
      <c r="G50" s="4" t="str">
        <f t="shared" si="0"/>
        <v>31.75--2.5</v>
      </c>
      <c r="H50" s="10">
        <v>1.8027506250000001</v>
      </c>
      <c r="I50" s="4">
        <v>65875</v>
      </c>
      <c r="J50" s="4"/>
      <c r="K50" s="4"/>
      <c r="L50" s="4"/>
      <c r="M50" s="4">
        <v>7500</v>
      </c>
      <c r="N50" s="4">
        <f t="shared" si="1"/>
        <v>73375</v>
      </c>
      <c r="O50" s="11">
        <f t="shared" si="2"/>
        <v>132.27682710937501</v>
      </c>
      <c r="P50" s="4">
        <v>5600</v>
      </c>
      <c r="Q50" s="4">
        <f t="shared" si="3"/>
        <v>78975</v>
      </c>
      <c r="R50" s="4">
        <f t="shared" si="4"/>
        <v>142.37</v>
      </c>
      <c r="S50" s="4">
        <v>3900</v>
      </c>
      <c r="T50" s="4">
        <f t="shared" si="5"/>
        <v>82875</v>
      </c>
      <c r="U50" s="4">
        <f t="shared" si="6"/>
        <v>149.4</v>
      </c>
      <c r="V50" s="4"/>
      <c r="W50" s="4"/>
      <c r="X50" s="4">
        <v>0.45</v>
      </c>
      <c r="Y50" s="21">
        <v>132.72999999999999</v>
      </c>
      <c r="Z50" s="4">
        <v>6000</v>
      </c>
      <c r="AA50" s="4">
        <f t="shared" si="140"/>
        <v>88875</v>
      </c>
      <c r="AB50" s="4">
        <f t="shared" si="141"/>
        <v>160.22</v>
      </c>
      <c r="AC50" s="4">
        <v>-10200</v>
      </c>
      <c r="AD50" s="4">
        <f t="shared" si="128"/>
        <v>78675</v>
      </c>
      <c r="AE50" s="4">
        <f t="shared" si="129"/>
        <v>141.83000000000001</v>
      </c>
      <c r="AF50" s="4">
        <v>-4900</v>
      </c>
      <c r="AG50" s="4">
        <f t="shared" si="130"/>
        <v>73775</v>
      </c>
      <c r="AH50" s="4">
        <f t="shared" si="131"/>
        <v>133</v>
      </c>
      <c r="AI50" s="30">
        <v>3300</v>
      </c>
      <c r="AJ50" s="4">
        <f t="shared" si="132"/>
        <v>77075</v>
      </c>
      <c r="AK50" s="4">
        <f t="shared" si="133"/>
        <v>138.94999999999999</v>
      </c>
      <c r="AL50" s="30">
        <v>-3800</v>
      </c>
      <c r="AM50" s="4">
        <f t="shared" si="134"/>
        <v>73275</v>
      </c>
      <c r="AN50" s="4">
        <f t="shared" si="135"/>
        <v>132.1</v>
      </c>
      <c r="AO50" s="4">
        <f>2000</f>
        <v>2000</v>
      </c>
      <c r="AP50" s="4">
        <f t="shared" si="136"/>
        <v>75275</v>
      </c>
      <c r="AQ50" s="4">
        <f t="shared" si="137"/>
        <v>135.69999999999999</v>
      </c>
      <c r="AR50" s="4">
        <v>-1950</v>
      </c>
      <c r="AS50" s="4">
        <f t="shared" si="12"/>
        <v>73325</v>
      </c>
      <c r="AT50" s="20">
        <f t="shared" si="13"/>
        <v>132.186689578125</v>
      </c>
      <c r="AU50" s="4">
        <v>-2625</v>
      </c>
      <c r="AV50" s="4">
        <f t="shared" si="14"/>
        <v>70700</v>
      </c>
      <c r="AW50" s="20">
        <f t="shared" si="15"/>
        <v>127.4544691875</v>
      </c>
      <c r="AX50" s="4">
        <v>500</v>
      </c>
      <c r="AY50" s="4">
        <f t="shared" si="16"/>
        <v>71200</v>
      </c>
      <c r="AZ50" s="20">
        <f t="shared" si="17"/>
        <v>128.35584450000002</v>
      </c>
      <c r="BA50" s="4">
        <v>-4750</v>
      </c>
      <c r="BB50" s="4">
        <f t="shared" si="18"/>
        <v>66450</v>
      </c>
      <c r="BC50" s="20">
        <f t="shared" si="19"/>
        <v>119.79277903125001</v>
      </c>
      <c r="BD50" s="4">
        <v>0</v>
      </c>
      <c r="BE50" s="4">
        <f t="shared" si="20"/>
        <v>66450</v>
      </c>
      <c r="BF50" s="20">
        <f t="shared" si="21"/>
        <v>119.79277903125001</v>
      </c>
      <c r="BG50" s="4">
        <v>2600</v>
      </c>
      <c r="BH50" s="4">
        <f t="shared" si="22"/>
        <v>69050</v>
      </c>
      <c r="BI50" s="20">
        <f t="shared" si="23"/>
        <v>124.47993065625</v>
      </c>
      <c r="BJ50" s="4">
        <v>1000</v>
      </c>
      <c r="BK50" s="4"/>
      <c r="BL50" s="4">
        <f t="shared" si="11"/>
        <v>70050</v>
      </c>
      <c r="BM50" s="20">
        <f t="shared" si="142"/>
        <v>126.28268128124999</v>
      </c>
      <c r="BN50" s="4">
        <v>-2150</v>
      </c>
      <c r="BO50" s="4">
        <f t="shared" si="143"/>
        <v>67900</v>
      </c>
      <c r="BP50" s="20">
        <f t="shared" si="144"/>
        <v>122.40676743750001</v>
      </c>
      <c r="BQ50" s="4">
        <v>1500</v>
      </c>
      <c r="BR50" s="4">
        <f t="shared" si="59"/>
        <v>69400</v>
      </c>
      <c r="BS50" s="20">
        <f t="shared" si="24"/>
        <v>125.110893375</v>
      </c>
      <c r="BT50" s="4">
        <v>5500</v>
      </c>
      <c r="BU50" s="4">
        <f t="shared" si="60"/>
        <v>74900</v>
      </c>
      <c r="BV50" s="20">
        <f t="shared" si="25"/>
        <v>135.02602181250001</v>
      </c>
    </row>
    <row r="51" spans="1:74" hidden="1" x14ac:dyDescent="0.25">
      <c r="A51" s="4" t="s">
        <v>39</v>
      </c>
      <c r="B51" s="4" t="s">
        <v>14</v>
      </c>
      <c r="C51" s="4" t="s">
        <v>15</v>
      </c>
      <c r="D51" s="4">
        <v>34.93</v>
      </c>
      <c r="E51" s="4"/>
      <c r="F51" s="4">
        <v>1.2</v>
      </c>
      <c r="G51" s="4" t="str">
        <f t="shared" si="0"/>
        <v>34.93--1.2</v>
      </c>
      <c r="H51" s="10">
        <v>0.9978548279999998</v>
      </c>
      <c r="I51" s="4">
        <v>69405</v>
      </c>
      <c r="J51" s="4"/>
      <c r="K51" s="4"/>
      <c r="L51" s="4"/>
      <c r="M51" s="4">
        <v>9800</v>
      </c>
      <c r="N51" s="4">
        <f t="shared" si="1"/>
        <v>79205</v>
      </c>
      <c r="O51" s="11">
        <f t="shared" si="2"/>
        <v>79.03509165173999</v>
      </c>
      <c r="P51" s="4">
        <v>6000</v>
      </c>
      <c r="Q51" s="4">
        <f t="shared" si="3"/>
        <v>85205</v>
      </c>
      <c r="R51" s="4">
        <f t="shared" si="4"/>
        <v>85.02</v>
      </c>
      <c r="S51" s="4">
        <v>4000</v>
      </c>
      <c r="T51" s="4">
        <f t="shared" si="5"/>
        <v>89205</v>
      </c>
      <c r="U51" s="4">
        <f t="shared" si="6"/>
        <v>89.01</v>
      </c>
      <c r="V51" s="4"/>
      <c r="W51" s="4"/>
      <c r="X51" s="4"/>
      <c r="Y51" s="4">
        <v>79.040000000000006</v>
      </c>
      <c r="Z51" s="4">
        <v>5700</v>
      </c>
      <c r="AA51" s="4">
        <f t="shared" ref="AA51:AA52" si="145">T51+Z51</f>
        <v>94905</v>
      </c>
      <c r="AB51" s="20">
        <f t="shared" ref="AB51:AB52" si="146">$H51*AA51/1000</f>
        <v>94.701412451339991</v>
      </c>
      <c r="AC51" s="4">
        <v>-11650</v>
      </c>
      <c r="AD51" s="4">
        <f t="shared" si="128"/>
        <v>83255</v>
      </c>
      <c r="AE51" s="4">
        <f t="shared" si="129"/>
        <v>83.08</v>
      </c>
      <c r="AF51" s="4">
        <v>-4200</v>
      </c>
      <c r="AG51" s="4">
        <f t="shared" si="130"/>
        <v>79055</v>
      </c>
      <c r="AH51" s="4">
        <f t="shared" si="131"/>
        <v>78.89</v>
      </c>
      <c r="AI51" s="30">
        <v>1950</v>
      </c>
      <c r="AJ51" s="4">
        <f t="shared" ref="AJ51:AJ54" si="147">AG51+AI51</f>
        <v>81005</v>
      </c>
      <c r="AK51" s="4">
        <f t="shared" ref="AK51:AK54" si="148">ROUND(AJ51*H51/1000,2)</f>
        <v>80.83</v>
      </c>
      <c r="AL51" s="30">
        <v>-4825</v>
      </c>
      <c r="AM51" s="4">
        <f t="shared" ref="AM51:AM54" si="149">AJ51+AL51</f>
        <v>76180</v>
      </c>
      <c r="AN51" s="4">
        <f t="shared" ref="AN51:AN54" si="150">ROUND(AM51*H51/1000,2)</f>
        <v>76.02</v>
      </c>
      <c r="AO51" s="4">
        <f>1920</f>
        <v>1920</v>
      </c>
      <c r="AP51" s="4">
        <f t="shared" ref="AP51:AP54" si="151">AM51+AO51</f>
        <v>78100</v>
      </c>
      <c r="AQ51" s="4">
        <f t="shared" ref="AQ51:AQ54" si="152">ROUND(AP51*H51/1000,2)</f>
        <v>77.930000000000007</v>
      </c>
      <c r="AR51" s="4">
        <v>-1200</v>
      </c>
      <c r="AS51" s="4">
        <f t="shared" si="12"/>
        <v>76900</v>
      </c>
      <c r="AT51" s="20">
        <f t="shared" si="13"/>
        <v>76.735036273199995</v>
      </c>
      <c r="AU51" s="4">
        <v>-2125</v>
      </c>
      <c r="AV51" s="4">
        <f t="shared" si="14"/>
        <v>74775</v>
      </c>
      <c r="AW51" s="20">
        <f t="shared" si="15"/>
        <v>74.614594763699998</v>
      </c>
      <c r="AX51" s="4">
        <v>200</v>
      </c>
      <c r="AY51" s="4">
        <f t="shared" si="16"/>
        <v>74975</v>
      </c>
      <c r="AZ51" s="20">
        <f t="shared" si="17"/>
        <v>74.814165729299987</v>
      </c>
      <c r="BA51" s="4">
        <v>-4150</v>
      </c>
      <c r="BB51" s="4">
        <f t="shared" si="18"/>
        <v>70825</v>
      </c>
      <c r="BC51" s="20">
        <f t="shared" si="19"/>
        <v>70.673068193099979</v>
      </c>
      <c r="BD51" s="4">
        <v>0</v>
      </c>
      <c r="BE51" s="4">
        <f t="shared" si="20"/>
        <v>70825</v>
      </c>
      <c r="BF51" s="20">
        <f t="shared" si="21"/>
        <v>70.673068193099979</v>
      </c>
      <c r="BG51" s="4">
        <v>2600</v>
      </c>
      <c r="BH51" s="4">
        <f t="shared" si="22"/>
        <v>73425</v>
      </c>
      <c r="BI51" s="20">
        <f t="shared" si="23"/>
        <v>73.267490745899977</v>
      </c>
      <c r="BJ51" s="4">
        <v>900</v>
      </c>
      <c r="BK51" s="4"/>
      <c r="BL51" s="4">
        <f t="shared" si="11"/>
        <v>74325</v>
      </c>
      <c r="BM51" s="20">
        <f t="shared" si="142"/>
        <v>74.165560091099977</v>
      </c>
      <c r="BN51" s="4">
        <v>-2100</v>
      </c>
      <c r="BO51" s="4">
        <f t="shared" si="143"/>
        <v>72225</v>
      </c>
      <c r="BP51" s="20">
        <f t="shared" si="144"/>
        <v>72.070064952299987</v>
      </c>
      <c r="BQ51" s="4">
        <v>1450</v>
      </c>
      <c r="BR51" s="4">
        <f t="shared" si="59"/>
        <v>73675</v>
      </c>
      <c r="BS51" s="20">
        <f t="shared" si="24"/>
        <v>73.516954452899981</v>
      </c>
      <c r="BT51" s="4">
        <v>5150</v>
      </c>
      <c r="BU51" s="4">
        <f t="shared" si="60"/>
        <v>78825</v>
      </c>
      <c r="BV51" s="20">
        <f t="shared" si="25"/>
        <v>78.655906817099975</v>
      </c>
    </row>
    <row r="52" spans="1:74" hidden="1" x14ac:dyDescent="0.25">
      <c r="A52" s="4" t="s">
        <v>39</v>
      </c>
      <c r="B52" s="4" t="s">
        <v>14</v>
      </c>
      <c r="C52" s="4" t="s">
        <v>15</v>
      </c>
      <c r="D52" s="4">
        <v>34.93</v>
      </c>
      <c r="E52" s="4"/>
      <c r="F52" s="4">
        <v>1.6</v>
      </c>
      <c r="G52" s="4" t="str">
        <f t="shared" si="0"/>
        <v>34.93--1.6</v>
      </c>
      <c r="H52" s="10">
        <v>1.3146951840000001</v>
      </c>
      <c r="I52" s="4">
        <v>69405</v>
      </c>
      <c r="J52" s="4"/>
      <c r="K52" s="4"/>
      <c r="L52" s="4"/>
      <c r="M52" s="4">
        <v>9800</v>
      </c>
      <c r="N52" s="4">
        <f t="shared" si="1"/>
        <v>79205</v>
      </c>
      <c r="O52" s="11">
        <f t="shared" si="2"/>
        <v>104.13043204872</v>
      </c>
      <c r="P52" s="4">
        <v>6000</v>
      </c>
      <c r="Q52" s="4">
        <f t="shared" si="3"/>
        <v>85205</v>
      </c>
      <c r="R52" s="4">
        <f t="shared" si="4"/>
        <v>112.02</v>
      </c>
      <c r="S52" s="4">
        <v>4000</v>
      </c>
      <c r="T52" s="4">
        <f t="shared" si="5"/>
        <v>89205</v>
      </c>
      <c r="U52" s="4">
        <f t="shared" si="6"/>
        <v>117.28</v>
      </c>
      <c r="V52" s="4"/>
      <c r="W52" s="4">
        <v>0.26</v>
      </c>
      <c r="X52" s="4"/>
      <c r="Y52" s="4">
        <v>104.39</v>
      </c>
      <c r="Z52" s="4">
        <v>5700</v>
      </c>
      <c r="AA52" s="4">
        <f t="shared" si="145"/>
        <v>94905</v>
      </c>
      <c r="AB52" s="20">
        <f t="shared" si="146"/>
        <v>124.77114643752</v>
      </c>
      <c r="AC52" s="4">
        <v>-11650</v>
      </c>
      <c r="AD52" s="4">
        <f t="shared" si="128"/>
        <v>83255</v>
      </c>
      <c r="AE52" s="4">
        <f t="shared" si="129"/>
        <v>109.45</v>
      </c>
      <c r="AF52" s="4">
        <v>-4200</v>
      </c>
      <c r="AG52" s="4">
        <f t="shared" si="130"/>
        <v>79055</v>
      </c>
      <c r="AH52" s="4">
        <f t="shared" si="131"/>
        <v>103.93</v>
      </c>
      <c r="AI52" s="30">
        <v>1950</v>
      </c>
      <c r="AJ52" s="4">
        <f t="shared" si="147"/>
        <v>81005</v>
      </c>
      <c r="AK52" s="4">
        <f t="shared" si="148"/>
        <v>106.5</v>
      </c>
      <c r="AL52" s="30">
        <v>-4825</v>
      </c>
      <c r="AM52" s="4">
        <f t="shared" si="149"/>
        <v>76180</v>
      </c>
      <c r="AN52" s="4">
        <f t="shared" si="150"/>
        <v>100.15</v>
      </c>
      <c r="AO52" s="4">
        <f>1920</f>
        <v>1920</v>
      </c>
      <c r="AP52" s="4">
        <f t="shared" si="151"/>
        <v>78100</v>
      </c>
      <c r="AQ52" s="4">
        <f t="shared" si="152"/>
        <v>102.68</v>
      </c>
      <c r="AR52" s="4">
        <v>-1200</v>
      </c>
      <c r="AS52" s="4">
        <f t="shared" si="12"/>
        <v>76900</v>
      </c>
      <c r="AT52" s="20">
        <f t="shared" si="13"/>
        <v>101.10005964960001</v>
      </c>
      <c r="AU52" s="4">
        <v>-2125</v>
      </c>
      <c r="AV52" s="4">
        <f t="shared" si="14"/>
        <v>74775</v>
      </c>
      <c r="AW52" s="20">
        <f t="shared" si="15"/>
        <v>98.306332383600008</v>
      </c>
      <c r="AX52" s="4">
        <v>200</v>
      </c>
      <c r="AY52" s="4">
        <f t="shared" si="16"/>
        <v>74975</v>
      </c>
      <c r="AZ52" s="20">
        <f t="shared" si="17"/>
        <v>98.569271420400014</v>
      </c>
      <c r="BA52" s="4">
        <v>-4150</v>
      </c>
      <c r="BB52" s="4">
        <f t="shared" si="18"/>
        <v>70825</v>
      </c>
      <c r="BC52" s="20">
        <f t="shared" si="19"/>
        <v>93.1132864068</v>
      </c>
      <c r="BD52" s="4">
        <v>0</v>
      </c>
      <c r="BE52" s="4">
        <f t="shared" si="20"/>
        <v>70825</v>
      </c>
      <c r="BF52" s="20">
        <f t="shared" si="21"/>
        <v>93.1132864068</v>
      </c>
      <c r="BG52" s="4">
        <v>2600</v>
      </c>
      <c r="BH52" s="4">
        <f t="shared" si="22"/>
        <v>73425</v>
      </c>
      <c r="BI52" s="20">
        <f t="shared" si="23"/>
        <v>96.531493885200007</v>
      </c>
      <c r="BJ52" s="4">
        <v>900</v>
      </c>
      <c r="BK52" s="4"/>
      <c r="BL52" s="4">
        <f t="shared" si="11"/>
        <v>74325</v>
      </c>
      <c r="BM52" s="20">
        <f t="shared" si="142"/>
        <v>97.714719550799998</v>
      </c>
      <c r="BN52" s="4">
        <v>-2100</v>
      </c>
      <c r="BO52" s="4">
        <f t="shared" si="143"/>
        <v>72225</v>
      </c>
      <c r="BP52" s="20">
        <f t="shared" si="144"/>
        <v>94.953859664399999</v>
      </c>
      <c r="BQ52" s="4">
        <v>1450</v>
      </c>
      <c r="BR52" s="4">
        <f t="shared" si="59"/>
        <v>73675</v>
      </c>
      <c r="BS52" s="20">
        <f t="shared" si="24"/>
        <v>96.860167681200011</v>
      </c>
      <c r="BT52" s="4">
        <v>5150</v>
      </c>
      <c r="BU52" s="4">
        <f t="shared" si="60"/>
        <v>78825</v>
      </c>
      <c r="BV52" s="20">
        <f t="shared" si="25"/>
        <v>103.63084787880001</v>
      </c>
    </row>
    <row r="53" spans="1:74" hidden="1" x14ac:dyDescent="0.25">
      <c r="A53" s="4" t="s">
        <v>39</v>
      </c>
      <c r="B53" s="4" t="s">
        <v>14</v>
      </c>
      <c r="C53" s="4" t="s">
        <v>18</v>
      </c>
      <c r="D53" s="4">
        <v>34.93</v>
      </c>
      <c r="E53" s="4"/>
      <c r="F53" s="4">
        <v>2</v>
      </c>
      <c r="G53" s="4" t="str">
        <f t="shared" si="0"/>
        <v>34.93--2</v>
      </c>
      <c r="H53" s="10">
        <v>1.6236465800000002</v>
      </c>
      <c r="I53" s="4">
        <v>65875</v>
      </c>
      <c r="J53" s="4"/>
      <c r="K53" s="4"/>
      <c r="L53" s="4"/>
      <c r="M53" s="4">
        <v>7500</v>
      </c>
      <c r="N53" s="4">
        <f t="shared" si="1"/>
        <v>73375</v>
      </c>
      <c r="O53" s="11">
        <f t="shared" si="2"/>
        <v>119.13506780750002</v>
      </c>
      <c r="P53" s="4">
        <v>5600</v>
      </c>
      <c r="Q53" s="4">
        <f t="shared" si="3"/>
        <v>78975</v>
      </c>
      <c r="R53" s="4">
        <f t="shared" si="4"/>
        <v>128.22999999999999</v>
      </c>
      <c r="S53" s="4">
        <v>3900</v>
      </c>
      <c r="T53" s="4">
        <f t="shared" si="5"/>
        <v>82875</v>
      </c>
      <c r="U53" s="4">
        <f t="shared" si="6"/>
        <v>134.56</v>
      </c>
      <c r="V53" s="4">
        <v>1.62</v>
      </c>
      <c r="W53" s="4"/>
      <c r="X53" s="4"/>
      <c r="Y53" s="21">
        <v>120.76</v>
      </c>
      <c r="Z53" s="4">
        <v>6000</v>
      </c>
      <c r="AA53" s="4">
        <f t="shared" ref="AA53:AA54" si="153">Z53+T53</f>
        <v>88875</v>
      </c>
      <c r="AB53" s="4">
        <f t="shared" ref="AB53:AB54" si="154">ROUND(AA53*H53/1000,2)</f>
        <v>144.30000000000001</v>
      </c>
      <c r="AC53" s="4">
        <v>-10200</v>
      </c>
      <c r="AD53" s="4">
        <f t="shared" si="128"/>
        <v>78675</v>
      </c>
      <c r="AE53" s="4">
        <f t="shared" si="129"/>
        <v>127.74</v>
      </c>
      <c r="AF53" s="4">
        <v>-4900</v>
      </c>
      <c r="AG53" s="4">
        <f t="shared" si="130"/>
        <v>73775</v>
      </c>
      <c r="AH53" s="4">
        <f t="shared" si="131"/>
        <v>119.78</v>
      </c>
      <c r="AI53" s="30">
        <v>3300</v>
      </c>
      <c r="AJ53" s="4">
        <f t="shared" si="147"/>
        <v>77075</v>
      </c>
      <c r="AK53" s="4">
        <f t="shared" si="148"/>
        <v>125.14</v>
      </c>
      <c r="AL53" s="30">
        <v>-3800</v>
      </c>
      <c r="AM53" s="4">
        <f t="shared" si="149"/>
        <v>73275</v>
      </c>
      <c r="AN53" s="4">
        <f t="shared" si="150"/>
        <v>118.97</v>
      </c>
      <c r="AO53" s="4">
        <f>2000</f>
        <v>2000</v>
      </c>
      <c r="AP53" s="4">
        <f t="shared" si="151"/>
        <v>75275</v>
      </c>
      <c r="AQ53" s="4">
        <f t="shared" si="152"/>
        <v>122.22</v>
      </c>
      <c r="AR53" s="4">
        <v>-1950</v>
      </c>
      <c r="AS53" s="4">
        <f t="shared" si="12"/>
        <v>73325</v>
      </c>
      <c r="AT53" s="20">
        <f t="shared" si="13"/>
        <v>119.05388547850002</v>
      </c>
      <c r="AU53" s="4">
        <v>-2625</v>
      </c>
      <c r="AV53" s="4">
        <f t="shared" si="14"/>
        <v>70700</v>
      </c>
      <c r="AW53" s="20">
        <f t="shared" si="15"/>
        <v>114.791813206</v>
      </c>
      <c r="AX53" s="4">
        <v>500</v>
      </c>
      <c r="AY53" s="4">
        <f t="shared" si="16"/>
        <v>71200</v>
      </c>
      <c r="AZ53" s="20">
        <f t="shared" si="17"/>
        <v>115.60363649600001</v>
      </c>
      <c r="BA53" s="4">
        <v>-4750</v>
      </c>
      <c r="BB53" s="4">
        <f t="shared" si="18"/>
        <v>66450</v>
      </c>
      <c r="BC53" s="20">
        <f t="shared" si="19"/>
        <v>107.89131524100002</v>
      </c>
      <c r="BD53" s="4">
        <v>0</v>
      </c>
      <c r="BE53" s="4">
        <f t="shared" si="20"/>
        <v>66450</v>
      </c>
      <c r="BF53" s="20">
        <f t="shared" si="21"/>
        <v>107.89131524100002</v>
      </c>
      <c r="BG53" s="4">
        <v>2600</v>
      </c>
      <c r="BH53" s="4">
        <f t="shared" si="22"/>
        <v>69050</v>
      </c>
      <c r="BI53" s="20">
        <f t="shared" si="23"/>
        <v>112.11279634900001</v>
      </c>
      <c r="BJ53" s="4">
        <v>1000</v>
      </c>
      <c r="BK53" s="4"/>
      <c r="BL53" s="4">
        <f t="shared" si="11"/>
        <v>70050</v>
      </c>
      <c r="BM53" s="20">
        <f t="shared" ref="BM53:BM54" si="155">BL53*H53/1000</f>
        <v>113.73644292900001</v>
      </c>
      <c r="BN53" s="4">
        <v>-2150</v>
      </c>
      <c r="BO53" s="4">
        <f t="shared" ref="BO53:BO54" si="156">BL53+BN53</f>
        <v>67900</v>
      </c>
      <c r="BP53" s="20">
        <f t="shared" ref="BP53:BP54" si="157">BO53*H53/1000</f>
        <v>110.24560278200002</v>
      </c>
      <c r="BQ53" s="4">
        <v>1500</v>
      </c>
      <c r="BR53" s="4">
        <f t="shared" si="59"/>
        <v>69400</v>
      </c>
      <c r="BS53" s="20">
        <f t="shared" si="24"/>
        <v>112.68107265200001</v>
      </c>
      <c r="BT53" s="4">
        <v>5500</v>
      </c>
      <c r="BU53" s="4">
        <f t="shared" si="60"/>
        <v>74900</v>
      </c>
      <c r="BV53" s="20">
        <f t="shared" si="25"/>
        <v>121.61112884200001</v>
      </c>
    </row>
    <row r="54" spans="1:74" hidden="1" x14ac:dyDescent="0.25">
      <c r="A54" s="4" t="s">
        <v>39</v>
      </c>
      <c r="B54" s="4" t="s">
        <v>14</v>
      </c>
      <c r="C54" s="4" t="s">
        <v>18</v>
      </c>
      <c r="D54" s="4">
        <v>34.93</v>
      </c>
      <c r="E54" s="4"/>
      <c r="F54" s="4">
        <v>2.6</v>
      </c>
      <c r="G54" s="4" t="str">
        <f t="shared" si="0"/>
        <v>34.93--2.6</v>
      </c>
      <c r="H54" s="10">
        <v>2.0722818739999997</v>
      </c>
      <c r="I54" s="4">
        <v>65875</v>
      </c>
      <c r="J54" s="4"/>
      <c r="K54" s="4"/>
      <c r="L54" s="4"/>
      <c r="M54" s="4">
        <v>7500</v>
      </c>
      <c r="N54" s="4">
        <f t="shared" si="1"/>
        <v>73375</v>
      </c>
      <c r="O54" s="11">
        <f t="shared" si="2"/>
        <v>152.05368250474999</v>
      </c>
      <c r="P54" s="4">
        <v>5600</v>
      </c>
      <c r="Q54" s="4">
        <f t="shared" si="3"/>
        <v>78975</v>
      </c>
      <c r="R54" s="4">
        <f t="shared" si="4"/>
        <v>163.66</v>
      </c>
      <c r="S54" s="4">
        <v>3900</v>
      </c>
      <c r="T54" s="4">
        <f t="shared" si="5"/>
        <v>82875</v>
      </c>
      <c r="U54" s="4">
        <f t="shared" si="6"/>
        <v>171.74</v>
      </c>
      <c r="V54" s="4"/>
      <c r="W54" s="4"/>
      <c r="X54" s="4">
        <v>0.52</v>
      </c>
      <c r="Y54" s="21">
        <v>152.57000000000002</v>
      </c>
      <c r="Z54" s="4">
        <v>6000</v>
      </c>
      <c r="AA54" s="4">
        <f t="shared" si="153"/>
        <v>88875</v>
      </c>
      <c r="AB54" s="4">
        <f t="shared" si="154"/>
        <v>184.17</v>
      </c>
      <c r="AC54" s="4">
        <v>-10200</v>
      </c>
      <c r="AD54" s="4">
        <f t="shared" si="128"/>
        <v>78675</v>
      </c>
      <c r="AE54" s="4">
        <f t="shared" si="129"/>
        <v>163.04</v>
      </c>
      <c r="AF54" s="4">
        <v>-4900</v>
      </c>
      <c r="AG54" s="4">
        <f t="shared" si="130"/>
        <v>73775</v>
      </c>
      <c r="AH54" s="4">
        <f t="shared" si="131"/>
        <v>152.88</v>
      </c>
      <c r="AI54" s="30">
        <v>3300</v>
      </c>
      <c r="AJ54" s="4">
        <f t="shared" si="147"/>
        <v>77075</v>
      </c>
      <c r="AK54" s="4">
        <f t="shared" si="148"/>
        <v>159.72</v>
      </c>
      <c r="AL54" s="30">
        <v>-3800</v>
      </c>
      <c r="AM54" s="4">
        <f t="shared" si="149"/>
        <v>73275</v>
      </c>
      <c r="AN54" s="4">
        <f t="shared" si="150"/>
        <v>151.85</v>
      </c>
      <c r="AO54" s="4">
        <f>2000</f>
        <v>2000</v>
      </c>
      <c r="AP54" s="4">
        <f t="shared" si="151"/>
        <v>75275</v>
      </c>
      <c r="AQ54" s="4">
        <f t="shared" si="152"/>
        <v>155.99</v>
      </c>
      <c r="AR54" s="4">
        <v>-1950</v>
      </c>
      <c r="AS54" s="4">
        <f t="shared" si="12"/>
        <v>73325</v>
      </c>
      <c r="AT54" s="20">
        <f t="shared" si="13"/>
        <v>151.95006841104998</v>
      </c>
      <c r="AU54" s="4">
        <v>-2625</v>
      </c>
      <c r="AV54" s="4">
        <f t="shared" si="14"/>
        <v>70700</v>
      </c>
      <c r="AW54" s="20">
        <f t="shared" si="15"/>
        <v>146.51032849179998</v>
      </c>
      <c r="AX54" s="4">
        <v>500</v>
      </c>
      <c r="AY54" s="4">
        <f t="shared" si="16"/>
        <v>71200</v>
      </c>
      <c r="AZ54" s="20">
        <f t="shared" si="17"/>
        <v>147.54646942879998</v>
      </c>
      <c r="BA54" s="4">
        <v>-4750</v>
      </c>
      <c r="BB54" s="4">
        <f t="shared" si="18"/>
        <v>66450</v>
      </c>
      <c r="BC54" s="20">
        <f t="shared" si="19"/>
        <v>137.70313052729998</v>
      </c>
      <c r="BD54" s="4">
        <v>0</v>
      </c>
      <c r="BE54" s="4">
        <f t="shared" si="20"/>
        <v>66450</v>
      </c>
      <c r="BF54" s="20">
        <f t="shared" si="21"/>
        <v>137.70313052729998</v>
      </c>
      <c r="BG54" s="4">
        <v>2600</v>
      </c>
      <c r="BH54" s="4">
        <f t="shared" si="22"/>
        <v>69050</v>
      </c>
      <c r="BI54" s="20">
        <f t="shared" si="23"/>
        <v>143.09106339969998</v>
      </c>
      <c r="BJ54" s="4">
        <v>1000</v>
      </c>
      <c r="BK54" s="4"/>
      <c r="BL54" s="4">
        <f t="shared" si="11"/>
        <v>70050</v>
      </c>
      <c r="BM54" s="20">
        <f t="shared" si="155"/>
        <v>145.1633452737</v>
      </c>
      <c r="BN54" s="4">
        <v>-2150</v>
      </c>
      <c r="BO54" s="4">
        <f t="shared" si="156"/>
        <v>67900</v>
      </c>
      <c r="BP54" s="20">
        <f t="shared" si="157"/>
        <v>140.70793924459997</v>
      </c>
      <c r="BQ54" s="4">
        <v>1500</v>
      </c>
      <c r="BR54" s="4">
        <f t="shared" si="59"/>
        <v>69400</v>
      </c>
      <c r="BS54" s="20">
        <f t="shared" si="24"/>
        <v>143.81636205559997</v>
      </c>
      <c r="BT54" s="4">
        <v>5500</v>
      </c>
      <c r="BU54" s="4">
        <f t="shared" si="60"/>
        <v>74900</v>
      </c>
      <c r="BV54" s="20">
        <f t="shared" si="25"/>
        <v>155.21391236259998</v>
      </c>
    </row>
    <row r="55" spans="1:74" hidden="1" x14ac:dyDescent="0.25">
      <c r="A55" s="4" t="s">
        <v>39</v>
      </c>
      <c r="B55" s="4" t="s">
        <v>14</v>
      </c>
      <c r="C55" s="4" t="s">
        <v>15</v>
      </c>
      <c r="D55" s="4">
        <v>38.1</v>
      </c>
      <c r="E55" s="4"/>
      <c r="F55" s="4">
        <v>1.6</v>
      </c>
      <c r="G55" s="4" t="str">
        <f t="shared" si="0"/>
        <v>38.1--1.6</v>
      </c>
      <c r="H55" s="10">
        <v>1.4397352000000003</v>
      </c>
      <c r="I55" s="4">
        <v>69405</v>
      </c>
      <c r="J55" s="4"/>
      <c r="K55" s="4"/>
      <c r="L55" s="4"/>
      <c r="M55" s="4">
        <v>9800</v>
      </c>
      <c r="N55" s="4">
        <f t="shared" si="1"/>
        <v>79205</v>
      </c>
      <c r="O55" s="11">
        <f t="shared" si="2"/>
        <v>114.03422651600002</v>
      </c>
      <c r="P55" s="4">
        <v>6000</v>
      </c>
      <c r="Q55" s="4">
        <f t="shared" si="3"/>
        <v>85205</v>
      </c>
      <c r="R55" s="4">
        <f t="shared" si="4"/>
        <v>122.67</v>
      </c>
      <c r="S55" s="4">
        <v>4000</v>
      </c>
      <c r="T55" s="4">
        <f t="shared" si="5"/>
        <v>89205</v>
      </c>
      <c r="U55" s="4">
        <f t="shared" si="6"/>
        <v>128.43</v>
      </c>
      <c r="V55" s="4"/>
      <c r="W55" s="4"/>
      <c r="X55" s="4"/>
      <c r="Y55" s="4">
        <v>114.03</v>
      </c>
      <c r="Z55" s="4">
        <v>5700</v>
      </c>
      <c r="AA55" s="22">
        <f>T55+Z55</f>
        <v>94905</v>
      </c>
      <c r="AB55" s="23">
        <f>$H55*AA55/1000</f>
        <v>136.63806915600003</v>
      </c>
      <c r="AC55" s="4">
        <v>-11650</v>
      </c>
      <c r="AD55" s="22">
        <f>AC55+AA55</f>
        <v>83255</v>
      </c>
      <c r="AE55" s="22">
        <f>ROUND(AD55*H55/1000,2)</f>
        <v>119.87</v>
      </c>
      <c r="AF55" s="4">
        <v>-4200</v>
      </c>
      <c r="AG55" s="4">
        <f>AD55+AF55</f>
        <v>79055</v>
      </c>
      <c r="AH55" s="4">
        <f>ROUND(AG55*H55/1000,2)</f>
        <v>113.82</v>
      </c>
      <c r="AI55" s="30">
        <v>1950</v>
      </c>
      <c r="AJ55" s="4">
        <f>AG55+AI55</f>
        <v>81005</v>
      </c>
      <c r="AK55" s="4">
        <f>ROUND(AJ55*H55/1000,2)</f>
        <v>116.63</v>
      </c>
      <c r="AL55" s="30">
        <v>-4825</v>
      </c>
      <c r="AM55" s="4">
        <f>AJ55+AL55</f>
        <v>76180</v>
      </c>
      <c r="AN55" s="4">
        <f>ROUND(AM55*H55/1000,2)</f>
        <v>109.68</v>
      </c>
      <c r="AO55" s="4">
        <f>1920</f>
        <v>1920</v>
      </c>
      <c r="AP55" s="4">
        <f>AM55+AO55</f>
        <v>78100</v>
      </c>
      <c r="AQ55" s="4">
        <f>ROUND(AP55*H55/1000,2)</f>
        <v>112.44</v>
      </c>
      <c r="AR55" s="4">
        <v>-1200</v>
      </c>
      <c r="AS55" s="4">
        <f t="shared" si="12"/>
        <v>76900</v>
      </c>
      <c r="AT55" s="20">
        <f t="shared" si="13"/>
        <v>110.71563688000002</v>
      </c>
      <c r="AU55" s="4">
        <v>-2125</v>
      </c>
      <c r="AV55" s="4">
        <f t="shared" si="14"/>
        <v>74775</v>
      </c>
      <c r="AW55" s="20">
        <f t="shared" si="15"/>
        <v>107.65619958000003</v>
      </c>
      <c r="AX55" s="4">
        <v>200</v>
      </c>
      <c r="AY55" s="4">
        <f t="shared" si="16"/>
        <v>74975</v>
      </c>
      <c r="AZ55" s="20">
        <f t="shared" si="17"/>
        <v>107.94414662000003</v>
      </c>
      <c r="BA55" s="4">
        <v>-4150</v>
      </c>
      <c r="BB55" s="4">
        <f t="shared" si="18"/>
        <v>70825</v>
      </c>
      <c r="BC55" s="20">
        <f t="shared" si="19"/>
        <v>101.96924554000002</v>
      </c>
      <c r="BD55" s="4">
        <v>0</v>
      </c>
      <c r="BE55" s="4">
        <f t="shared" si="20"/>
        <v>70825</v>
      </c>
      <c r="BF55" s="20">
        <f t="shared" si="21"/>
        <v>101.96924554000002</v>
      </c>
      <c r="BG55" s="4">
        <v>2600</v>
      </c>
      <c r="BH55" s="4">
        <f t="shared" si="22"/>
        <v>73425</v>
      </c>
      <c r="BI55" s="20">
        <f t="shared" si="23"/>
        <v>105.71255706000002</v>
      </c>
      <c r="BJ55" s="4">
        <v>900</v>
      </c>
      <c r="BK55" s="4"/>
      <c r="BL55" s="4">
        <f t="shared" si="11"/>
        <v>74325</v>
      </c>
      <c r="BM55" s="20">
        <f>BL55*H55/1000</f>
        <v>107.00831874000002</v>
      </c>
      <c r="BN55" s="4">
        <v>-2100</v>
      </c>
      <c r="BO55" s="4">
        <f>BL55+BN55</f>
        <v>72225</v>
      </c>
      <c r="BP55" s="20">
        <f>BO55*H55/1000</f>
        <v>103.98487482000003</v>
      </c>
      <c r="BQ55" s="4">
        <v>1450</v>
      </c>
      <c r="BR55" s="4">
        <f>BO55+BQ55</f>
        <v>73675</v>
      </c>
      <c r="BS55" s="20">
        <f t="shared" si="24"/>
        <v>106.07249086000002</v>
      </c>
      <c r="BT55" s="4">
        <v>5150</v>
      </c>
      <c r="BU55" s="4">
        <f>BR55+BT55</f>
        <v>78825</v>
      </c>
      <c r="BV55" s="20">
        <f t="shared" si="25"/>
        <v>113.48712714000003</v>
      </c>
    </row>
    <row r="56" spans="1:74" hidden="1" x14ac:dyDescent="0.25">
      <c r="A56" s="4" t="s">
        <v>39</v>
      </c>
      <c r="B56" s="4" t="s">
        <v>14</v>
      </c>
      <c r="C56" s="4" t="s">
        <v>18</v>
      </c>
      <c r="D56" s="4">
        <v>38.1</v>
      </c>
      <c r="E56" s="4"/>
      <c r="F56" s="4">
        <v>2</v>
      </c>
      <c r="G56" s="4" t="str">
        <f t="shared" si="0"/>
        <v>38.1--2</v>
      </c>
      <c r="H56" s="10">
        <v>1.7799466000000002</v>
      </c>
      <c r="I56" s="4">
        <v>65875</v>
      </c>
      <c r="J56" s="4"/>
      <c r="K56" s="4"/>
      <c r="L56" s="4"/>
      <c r="M56" s="4">
        <v>7500</v>
      </c>
      <c r="N56" s="4">
        <f t="shared" ref="N56:N100" si="158">SUM(I56:M56)</f>
        <v>73375</v>
      </c>
      <c r="O56" s="11">
        <f t="shared" si="2"/>
        <v>130.60358177500001</v>
      </c>
      <c r="P56" s="4">
        <v>5600</v>
      </c>
      <c r="Q56" s="4">
        <f t="shared" si="3"/>
        <v>78975</v>
      </c>
      <c r="R56" s="4">
        <f t="shared" si="4"/>
        <v>140.57</v>
      </c>
      <c r="S56" s="4">
        <v>3900</v>
      </c>
      <c r="T56" s="4">
        <f t="shared" si="5"/>
        <v>82875</v>
      </c>
      <c r="U56" s="4">
        <f t="shared" si="6"/>
        <v>147.51</v>
      </c>
      <c r="V56" s="4"/>
      <c r="W56" s="4"/>
      <c r="X56" s="4"/>
      <c r="Y56" s="21">
        <v>130.6</v>
      </c>
      <c r="Z56" s="4">
        <v>6000</v>
      </c>
      <c r="AA56" s="4">
        <f t="shared" ref="AA56:AA57" si="159">Z56+T56</f>
        <v>88875</v>
      </c>
      <c r="AB56" s="4">
        <f t="shared" ref="AB56:AB57" si="160">ROUND(AA56*H56/1000,2)</f>
        <v>158.19</v>
      </c>
      <c r="AC56" s="4">
        <v>-10200</v>
      </c>
      <c r="AD56" s="4">
        <f t="shared" ref="AD56:AD57" si="161">AC56+AA56</f>
        <v>78675</v>
      </c>
      <c r="AE56" s="4">
        <f t="shared" ref="AE56:AE57" si="162">ROUND(AD56*H56/1000,2)</f>
        <v>140.04</v>
      </c>
      <c r="AF56" s="4">
        <v>-4900</v>
      </c>
      <c r="AG56" s="4">
        <f t="shared" ref="AG56:AG57" si="163">AD56+AF56</f>
        <v>73775</v>
      </c>
      <c r="AH56" s="4">
        <f t="shared" ref="AH56:AH57" si="164">ROUND(AG56*H56/1000,2)</f>
        <v>131.32</v>
      </c>
      <c r="AI56" s="30">
        <v>3300</v>
      </c>
      <c r="AJ56" s="4">
        <f t="shared" ref="AJ56:AJ57" si="165">AG56+AI56</f>
        <v>77075</v>
      </c>
      <c r="AK56" s="4">
        <f t="shared" ref="AK56:AK57" si="166">ROUND(AJ56*H56/1000,2)</f>
        <v>137.19</v>
      </c>
      <c r="AL56" s="30">
        <v>-3800</v>
      </c>
      <c r="AM56" s="4">
        <f t="shared" ref="AM56:AM57" si="167">AJ56+AL56</f>
        <v>73275</v>
      </c>
      <c r="AN56" s="4">
        <f t="shared" ref="AN56:AN57" si="168">ROUND(AM56*H56/1000,2)</f>
        <v>130.43</v>
      </c>
      <c r="AO56" s="4">
        <f>2000</f>
        <v>2000</v>
      </c>
      <c r="AP56" s="4">
        <f t="shared" ref="AP56:AP57" si="169">AM56+AO56</f>
        <v>75275</v>
      </c>
      <c r="AQ56" s="4">
        <f t="shared" ref="AQ56:AQ57" si="170">ROUND(AP56*H56/1000,2)</f>
        <v>133.99</v>
      </c>
      <c r="AR56" s="4">
        <v>-1950</v>
      </c>
      <c r="AS56" s="4">
        <f t="shared" si="12"/>
        <v>73325</v>
      </c>
      <c r="AT56" s="20">
        <f t="shared" si="13"/>
        <v>130.51458444500003</v>
      </c>
      <c r="AU56" s="4">
        <v>-2625</v>
      </c>
      <c r="AV56" s="4">
        <f t="shared" si="14"/>
        <v>70700</v>
      </c>
      <c r="AW56" s="20">
        <f t="shared" si="15"/>
        <v>125.84222462000001</v>
      </c>
      <c r="AX56" s="4">
        <v>500</v>
      </c>
      <c r="AY56" s="4">
        <f t="shared" si="16"/>
        <v>71200</v>
      </c>
      <c r="AZ56" s="20">
        <f t="shared" si="17"/>
        <v>126.73219792</v>
      </c>
      <c r="BA56" s="4">
        <v>-4750</v>
      </c>
      <c r="BB56" s="4">
        <f t="shared" si="18"/>
        <v>66450</v>
      </c>
      <c r="BC56" s="20">
        <f t="shared" si="19"/>
        <v>118.27745157000001</v>
      </c>
      <c r="BD56" s="4">
        <v>0</v>
      </c>
      <c r="BE56" s="4">
        <f t="shared" si="20"/>
        <v>66450</v>
      </c>
      <c r="BF56" s="20">
        <f t="shared" si="21"/>
        <v>118.27745157000001</v>
      </c>
      <c r="BG56" s="4">
        <v>2600</v>
      </c>
      <c r="BH56" s="4">
        <f t="shared" si="22"/>
        <v>69050</v>
      </c>
      <c r="BI56" s="20">
        <f t="shared" si="23"/>
        <v>122.90531273000001</v>
      </c>
      <c r="BJ56" s="4">
        <v>1000</v>
      </c>
      <c r="BK56" s="4"/>
      <c r="BL56" s="4">
        <f t="shared" si="11"/>
        <v>70050</v>
      </c>
      <c r="BM56" s="20">
        <f t="shared" ref="BM56:BM57" si="171">BL56*H56/1000</f>
        <v>124.68525933000002</v>
      </c>
      <c r="BN56" s="4">
        <v>-2150</v>
      </c>
      <c r="BO56" s="4">
        <f t="shared" ref="BO56:BO57" si="172">BL56+BN56</f>
        <v>67900</v>
      </c>
      <c r="BP56" s="20">
        <f t="shared" ref="BP56:BP57" si="173">BO56*H56/1000</f>
        <v>120.85837414000001</v>
      </c>
      <c r="BQ56" s="4">
        <v>1500</v>
      </c>
      <c r="BR56" s="4">
        <f t="shared" ref="BR56:BR57" si="174">BO56+BQ56</f>
        <v>69400</v>
      </c>
      <c r="BS56" s="20">
        <f t="shared" si="24"/>
        <v>123.52829404000001</v>
      </c>
      <c r="BT56" s="4">
        <v>5500</v>
      </c>
      <c r="BU56" s="4">
        <f t="shared" ref="BU56:BU57" si="175">BR56+BT56</f>
        <v>74900</v>
      </c>
      <c r="BV56" s="20">
        <f t="shared" si="25"/>
        <v>133.31800034</v>
      </c>
    </row>
    <row r="57" spans="1:74" hidden="1" x14ac:dyDescent="0.25">
      <c r="A57" s="4" t="s">
        <v>39</v>
      </c>
      <c r="B57" s="4" t="s">
        <v>14</v>
      </c>
      <c r="C57" s="4" t="s">
        <v>18</v>
      </c>
      <c r="D57" s="4">
        <v>38.1</v>
      </c>
      <c r="E57" s="4"/>
      <c r="F57" s="4">
        <v>2.5</v>
      </c>
      <c r="G57" s="4" t="str">
        <f>_xlfn.CONCAT(D57,"-",E57,"-",F57)</f>
        <v>38.1--2.5</v>
      </c>
      <c r="H57" s="10">
        <v>2.1941170000000003</v>
      </c>
      <c r="I57" s="4">
        <v>65875</v>
      </c>
      <c r="J57" s="4"/>
      <c r="K57" s="4"/>
      <c r="L57" s="4"/>
      <c r="M57" s="4">
        <v>7500</v>
      </c>
      <c r="N57" s="4">
        <f t="shared" si="158"/>
        <v>73375</v>
      </c>
      <c r="O57" s="11">
        <f t="shared" si="2"/>
        <v>160.99333487500002</v>
      </c>
      <c r="P57" s="4">
        <v>5600</v>
      </c>
      <c r="Q57" s="4">
        <f t="shared" si="3"/>
        <v>78975</v>
      </c>
      <c r="R57" s="4">
        <f t="shared" si="4"/>
        <v>173.28</v>
      </c>
      <c r="S57" s="4">
        <v>3900</v>
      </c>
      <c r="T57" s="4">
        <f t="shared" si="5"/>
        <v>82875</v>
      </c>
      <c r="U57" s="4">
        <f t="shared" si="6"/>
        <v>181.84</v>
      </c>
      <c r="V57" s="4"/>
      <c r="W57" s="4"/>
      <c r="X57" s="4"/>
      <c r="Y57" s="21">
        <v>160.99</v>
      </c>
      <c r="Z57" s="4">
        <v>6000</v>
      </c>
      <c r="AA57" s="4">
        <f t="shared" si="159"/>
        <v>88875</v>
      </c>
      <c r="AB57" s="4">
        <f t="shared" si="160"/>
        <v>195</v>
      </c>
      <c r="AC57" s="4">
        <v>-10200</v>
      </c>
      <c r="AD57" s="4">
        <f t="shared" si="161"/>
        <v>78675</v>
      </c>
      <c r="AE57" s="4">
        <f t="shared" si="162"/>
        <v>172.62</v>
      </c>
      <c r="AF57" s="4">
        <v>-4900</v>
      </c>
      <c r="AG57" s="4">
        <f t="shared" si="163"/>
        <v>73775</v>
      </c>
      <c r="AH57" s="4">
        <f t="shared" si="164"/>
        <v>161.87</v>
      </c>
      <c r="AI57" s="30">
        <v>3300</v>
      </c>
      <c r="AJ57" s="4">
        <f t="shared" si="165"/>
        <v>77075</v>
      </c>
      <c r="AK57" s="4">
        <f t="shared" si="166"/>
        <v>169.11</v>
      </c>
      <c r="AL57" s="30">
        <v>-3800</v>
      </c>
      <c r="AM57" s="4">
        <f t="shared" si="167"/>
        <v>73275</v>
      </c>
      <c r="AN57" s="4">
        <f t="shared" si="168"/>
        <v>160.77000000000001</v>
      </c>
      <c r="AO57" s="4">
        <f>2000</f>
        <v>2000</v>
      </c>
      <c r="AP57" s="4">
        <f t="shared" si="169"/>
        <v>75275</v>
      </c>
      <c r="AQ57" s="4">
        <f t="shared" si="170"/>
        <v>165.16</v>
      </c>
      <c r="AR57" s="4">
        <v>-1950</v>
      </c>
      <c r="AS57" s="4">
        <f t="shared" si="12"/>
        <v>73325</v>
      </c>
      <c r="AT57" s="20">
        <f t="shared" si="13"/>
        <v>160.88362902500003</v>
      </c>
      <c r="AU57" s="4">
        <v>-2625</v>
      </c>
      <c r="AV57" s="4">
        <f t="shared" si="14"/>
        <v>70700</v>
      </c>
      <c r="AW57" s="20">
        <f t="shared" si="15"/>
        <v>155.12407190000002</v>
      </c>
      <c r="AX57" s="4">
        <v>500</v>
      </c>
      <c r="AY57" s="4">
        <f t="shared" si="16"/>
        <v>71200</v>
      </c>
      <c r="AZ57" s="20">
        <f t="shared" si="17"/>
        <v>156.22113040000002</v>
      </c>
      <c r="BA57" s="4">
        <v>-4750</v>
      </c>
      <c r="BB57" s="4">
        <f t="shared" si="18"/>
        <v>66450</v>
      </c>
      <c r="BC57" s="20">
        <f t="shared" si="19"/>
        <v>145.79907465000002</v>
      </c>
      <c r="BD57" s="4">
        <v>0</v>
      </c>
      <c r="BE57" s="4">
        <f t="shared" si="20"/>
        <v>66450</v>
      </c>
      <c r="BF57" s="20">
        <f t="shared" si="21"/>
        <v>145.79907465000002</v>
      </c>
      <c r="BG57" s="4">
        <v>2600</v>
      </c>
      <c r="BH57" s="4">
        <f t="shared" si="22"/>
        <v>69050</v>
      </c>
      <c r="BI57" s="20">
        <f t="shared" si="23"/>
        <v>151.50377885000003</v>
      </c>
      <c r="BJ57" s="4">
        <v>1000</v>
      </c>
      <c r="BK57" s="4"/>
      <c r="BL57" s="4">
        <f t="shared" si="11"/>
        <v>70050</v>
      </c>
      <c r="BM57" s="20">
        <f t="shared" si="171"/>
        <v>153.69789585000004</v>
      </c>
      <c r="BN57" s="4">
        <v>-2150</v>
      </c>
      <c r="BO57" s="4">
        <f t="shared" si="172"/>
        <v>67900</v>
      </c>
      <c r="BP57" s="20">
        <f t="shared" si="173"/>
        <v>148.98054430000002</v>
      </c>
      <c r="BQ57" s="4">
        <v>1500</v>
      </c>
      <c r="BR57" s="4">
        <f t="shared" si="174"/>
        <v>69400</v>
      </c>
      <c r="BS57" s="20">
        <f t="shared" si="24"/>
        <v>152.27171980000003</v>
      </c>
      <c r="BT57" s="4">
        <v>5500</v>
      </c>
      <c r="BU57" s="4">
        <f t="shared" si="175"/>
        <v>74900</v>
      </c>
      <c r="BV57" s="20">
        <f t="shared" si="25"/>
        <v>164.33936330000003</v>
      </c>
    </row>
    <row r="58" spans="1:74" hidden="1" x14ac:dyDescent="0.25">
      <c r="A58" s="4" t="s">
        <v>39</v>
      </c>
      <c r="B58" s="4" t="s">
        <v>14</v>
      </c>
      <c r="C58" s="4" t="s">
        <v>15</v>
      </c>
      <c r="D58" s="4">
        <v>40</v>
      </c>
      <c r="E58" s="4"/>
      <c r="F58" s="4">
        <v>1.2</v>
      </c>
      <c r="G58" s="4" t="str">
        <f t="shared" si="0"/>
        <v>40--1.2</v>
      </c>
      <c r="H58" s="10">
        <v>1.14784368</v>
      </c>
      <c r="I58" s="4">
        <v>69405</v>
      </c>
      <c r="J58" s="4"/>
      <c r="K58" s="4"/>
      <c r="L58" s="4"/>
      <c r="M58" s="4">
        <v>9800</v>
      </c>
      <c r="N58" s="4">
        <f t="shared" si="158"/>
        <v>79205</v>
      </c>
      <c r="O58" s="11">
        <f t="shared" si="2"/>
        <v>90.914958674399998</v>
      </c>
      <c r="P58" s="4">
        <v>6000</v>
      </c>
      <c r="Q58" s="4">
        <f t="shared" si="3"/>
        <v>85205</v>
      </c>
      <c r="R58" s="4">
        <f t="shared" si="4"/>
        <v>97.8</v>
      </c>
      <c r="S58" s="4">
        <v>4000</v>
      </c>
      <c r="T58" s="4">
        <f t="shared" si="5"/>
        <v>89205</v>
      </c>
      <c r="U58" s="4">
        <f t="shared" si="6"/>
        <v>102.39</v>
      </c>
      <c r="V58" s="4"/>
      <c r="W58" s="4"/>
      <c r="X58" s="4"/>
      <c r="Y58" s="4">
        <v>90.91</v>
      </c>
      <c r="Z58" s="4">
        <v>5700</v>
      </c>
      <c r="AA58" s="22">
        <f>T58+Z58</f>
        <v>94905</v>
      </c>
      <c r="AB58" s="23">
        <f>$H58*AA58/1000</f>
        <v>108.93610445039999</v>
      </c>
      <c r="AC58" s="4">
        <v>-11650</v>
      </c>
      <c r="AD58" s="22">
        <f>AC58+AA58</f>
        <v>83255</v>
      </c>
      <c r="AE58" s="22">
        <f>ROUND(AD58*H58/1000,2)</f>
        <v>95.56</v>
      </c>
      <c r="AF58" s="4">
        <v>-4200</v>
      </c>
      <c r="AG58" s="4">
        <f>AD58+AF58</f>
        <v>79055</v>
      </c>
      <c r="AH58" s="4">
        <f>ROUND(AG58*H58/1000,2)</f>
        <v>90.74</v>
      </c>
      <c r="AI58" s="30">
        <v>1950</v>
      </c>
      <c r="AJ58" s="4">
        <f>AG58+AI58</f>
        <v>81005</v>
      </c>
      <c r="AK58" s="4">
        <f>ROUND(AJ58*H58/1000,2)</f>
        <v>92.98</v>
      </c>
      <c r="AL58" s="30">
        <v>-4825</v>
      </c>
      <c r="AM58" s="4">
        <f>AJ58+AL58</f>
        <v>76180</v>
      </c>
      <c r="AN58" s="4">
        <f>ROUND(AM58*H58/1000,2)</f>
        <v>87.44</v>
      </c>
      <c r="AO58" s="4">
        <f>1920</f>
        <v>1920</v>
      </c>
      <c r="AP58" s="4">
        <f>AM58+AO58</f>
        <v>78100</v>
      </c>
      <c r="AQ58" s="4">
        <f>ROUND(AP58*H58/1000,2)</f>
        <v>89.65</v>
      </c>
      <c r="AR58" s="4">
        <v>-1200</v>
      </c>
      <c r="AS58" s="4">
        <f t="shared" si="12"/>
        <v>76900</v>
      </c>
      <c r="AT58" s="20">
        <f t="shared" si="13"/>
        <v>88.269178992000008</v>
      </c>
      <c r="AU58" s="4">
        <v>-2125</v>
      </c>
      <c r="AV58" s="4">
        <f t="shared" si="14"/>
        <v>74775</v>
      </c>
      <c r="AW58" s="20">
        <f t="shared" si="15"/>
        <v>85.830011171999999</v>
      </c>
      <c r="AX58" s="4">
        <v>200</v>
      </c>
      <c r="AY58" s="4">
        <f t="shared" si="16"/>
        <v>74975</v>
      </c>
      <c r="AZ58" s="20">
        <f t="shared" si="17"/>
        <v>86.059579908000003</v>
      </c>
      <c r="BA58" s="4">
        <v>-4150</v>
      </c>
      <c r="BB58" s="4">
        <f t="shared" si="18"/>
        <v>70825</v>
      </c>
      <c r="BC58" s="20">
        <f t="shared" si="19"/>
        <v>81.296028636000003</v>
      </c>
      <c r="BD58" s="4">
        <v>0</v>
      </c>
      <c r="BE58" s="4">
        <f t="shared" si="20"/>
        <v>70825</v>
      </c>
      <c r="BF58" s="20">
        <f t="shared" si="21"/>
        <v>81.296028636000003</v>
      </c>
      <c r="BG58" s="4">
        <v>2600</v>
      </c>
      <c r="BH58" s="4">
        <f t="shared" si="22"/>
        <v>73425</v>
      </c>
      <c r="BI58" s="20">
        <f t="shared" si="23"/>
        <v>84.280422204000004</v>
      </c>
      <c r="BJ58" s="4">
        <v>900</v>
      </c>
      <c r="BK58" s="4"/>
      <c r="BL58" s="4">
        <f t="shared" si="11"/>
        <v>74325</v>
      </c>
      <c r="BM58" s="20">
        <f>BL58*H58/1000</f>
        <v>85.313481515999996</v>
      </c>
      <c r="BN58" s="4">
        <v>-2100</v>
      </c>
      <c r="BO58" s="4">
        <f>BL58+BN58</f>
        <v>72225</v>
      </c>
      <c r="BP58" s="20">
        <f>BO58*H58/1000</f>
        <v>82.903009787999991</v>
      </c>
      <c r="BQ58" s="4">
        <v>1450</v>
      </c>
      <c r="BR58" s="4">
        <f>BO58+BQ58</f>
        <v>73675</v>
      </c>
      <c r="BS58" s="20">
        <f t="shared" si="24"/>
        <v>84.567383124000003</v>
      </c>
      <c r="BT58" s="4">
        <v>5150</v>
      </c>
      <c r="BU58" s="4">
        <f>BR58+BT58</f>
        <v>78825</v>
      </c>
      <c r="BV58" s="20">
        <f t="shared" si="25"/>
        <v>90.478778075999998</v>
      </c>
    </row>
    <row r="59" spans="1:74" hidden="1" x14ac:dyDescent="0.25">
      <c r="A59" s="4" t="s">
        <v>39</v>
      </c>
      <c r="B59" s="4" t="s">
        <v>14</v>
      </c>
      <c r="C59" s="4" t="s">
        <v>18</v>
      </c>
      <c r="D59" s="4">
        <v>41.28</v>
      </c>
      <c r="E59" s="4"/>
      <c r="F59" s="4">
        <v>2.9</v>
      </c>
      <c r="G59" s="4" t="str">
        <f t="shared" si="0"/>
        <v>41.28--2.9</v>
      </c>
      <c r="H59" s="10">
        <v>2.7439282060000001</v>
      </c>
      <c r="I59" s="4">
        <v>65875</v>
      </c>
      <c r="J59" s="4"/>
      <c r="K59" s="4"/>
      <c r="L59" s="4"/>
      <c r="M59" s="4">
        <v>7500</v>
      </c>
      <c r="N59" s="4">
        <f t="shared" si="158"/>
        <v>73375</v>
      </c>
      <c r="O59" s="11">
        <f t="shared" si="2"/>
        <v>201.33573211524998</v>
      </c>
      <c r="P59" s="4">
        <v>5600</v>
      </c>
      <c r="Q59" s="4">
        <f t="shared" si="3"/>
        <v>78975</v>
      </c>
      <c r="R59" s="4">
        <f t="shared" si="4"/>
        <v>216.7</v>
      </c>
      <c r="S59" s="4">
        <v>3900</v>
      </c>
      <c r="T59" s="4">
        <f t="shared" si="5"/>
        <v>82875</v>
      </c>
      <c r="U59" s="4">
        <f t="shared" si="6"/>
        <v>227.4</v>
      </c>
      <c r="V59" s="4"/>
      <c r="W59" s="4"/>
      <c r="X59" s="4"/>
      <c r="Y59" s="21">
        <v>201.34</v>
      </c>
      <c r="Z59" s="4">
        <v>6000</v>
      </c>
      <c r="AA59" s="4">
        <f t="shared" ref="AA59:AA60" si="176">Z59+T59</f>
        <v>88875</v>
      </c>
      <c r="AB59" s="4">
        <f t="shared" ref="AB59:AB60" si="177">ROUND(AA59*H59/1000,2)</f>
        <v>243.87</v>
      </c>
      <c r="AC59" s="4">
        <v>-10200</v>
      </c>
      <c r="AD59" s="4">
        <f t="shared" ref="AD59:AD63" si="178">AC59+AA59</f>
        <v>78675</v>
      </c>
      <c r="AE59" s="4">
        <f t="shared" ref="AE59:AE63" si="179">ROUND(AD59*H59/1000,2)</f>
        <v>215.88</v>
      </c>
      <c r="AF59" s="4">
        <v>-4900</v>
      </c>
      <c r="AG59" s="4">
        <f t="shared" ref="AG59:AG63" si="180">AD59+AF59</f>
        <v>73775</v>
      </c>
      <c r="AH59" s="4">
        <f t="shared" ref="AH59:AH63" si="181">ROUND(AG59*H59/1000,2)</f>
        <v>202.43</v>
      </c>
      <c r="AI59" s="30">
        <v>3300</v>
      </c>
      <c r="AJ59" s="4">
        <f t="shared" ref="AJ59:AJ60" si="182">AG59+AI59</f>
        <v>77075</v>
      </c>
      <c r="AK59" s="4">
        <f t="shared" ref="AK59:AK60" si="183">ROUND(AJ59*H59/1000,2)</f>
        <v>211.49</v>
      </c>
      <c r="AL59" s="30">
        <v>-3800</v>
      </c>
      <c r="AM59" s="4">
        <f t="shared" ref="AM59:AM60" si="184">AJ59+AL59</f>
        <v>73275</v>
      </c>
      <c r="AN59" s="4">
        <f t="shared" ref="AN59:AN60" si="185">ROUND(AM59*H59/1000,2)</f>
        <v>201.06</v>
      </c>
      <c r="AO59" s="4">
        <f>2000</f>
        <v>2000</v>
      </c>
      <c r="AP59" s="4">
        <f t="shared" ref="AP59:AP60" si="186">AM59+AO59</f>
        <v>75275</v>
      </c>
      <c r="AQ59" s="4">
        <f t="shared" ref="AQ59:AQ60" si="187">ROUND(AP59*H59/1000,2)</f>
        <v>206.55</v>
      </c>
      <c r="AR59" s="4">
        <v>-1950</v>
      </c>
      <c r="AS59" s="4">
        <f t="shared" si="12"/>
        <v>73325</v>
      </c>
      <c r="AT59" s="20">
        <f t="shared" si="13"/>
        <v>201.19853570495002</v>
      </c>
      <c r="AU59" s="4">
        <v>-2625</v>
      </c>
      <c r="AV59" s="4">
        <f t="shared" si="14"/>
        <v>70700</v>
      </c>
      <c r="AW59" s="20">
        <f t="shared" si="15"/>
        <v>193.99572416420003</v>
      </c>
      <c r="AX59" s="4">
        <v>500</v>
      </c>
      <c r="AY59" s="4">
        <f t="shared" si="16"/>
        <v>71200</v>
      </c>
      <c r="AZ59" s="20">
        <f t="shared" si="17"/>
        <v>195.36768826720001</v>
      </c>
      <c r="BA59" s="4">
        <v>-4750</v>
      </c>
      <c r="BB59" s="4">
        <f t="shared" si="18"/>
        <v>66450</v>
      </c>
      <c r="BC59" s="20">
        <f t="shared" si="19"/>
        <v>182.33402928870001</v>
      </c>
      <c r="BD59" s="4">
        <v>0</v>
      </c>
      <c r="BE59" s="4">
        <f t="shared" si="20"/>
        <v>66450</v>
      </c>
      <c r="BF59" s="20">
        <f t="shared" si="21"/>
        <v>182.33402928870001</v>
      </c>
      <c r="BG59" s="4">
        <v>2600</v>
      </c>
      <c r="BH59" s="4">
        <f t="shared" si="22"/>
        <v>69050</v>
      </c>
      <c r="BI59" s="20">
        <f t="shared" si="23"/>
        <v>189.46824262430002</v>
      </c>
      <c r="BJ59" s="4">
        <v>1000</v>
      </c>
      <c r="BK59" s="4"/>
      <c r="BL59" s="4">
        <f t="shared" si="11"/>
        <v>70050</v>
      </c>
      <c r="BM59" s="20">
        <f t="shared" ref="BM59:BM63" si="188">BL59*H59/1000</f>
        <v>192.21217083030001</v>
      </c>
      <c r="BN59" s="4">
        <v>-2150</v>
      </c>
      <c r="BO59" s="4">
        <f t="shared" ref="BO59:BO63" si="189">BL59+BN59</f>
        <v>67900</v>
      </c>
      <c r="BP59" s="20">
        <f t="shared" ref="BP59:BP63" si="190">BO59*H59/1000</f>
        <v>186.31272518740002</v>
      </c>
      <c r="BQ59" s="4">
        <v>1500</v>
      </c>
      <c r="BR59" s="4">
        <f t="shared" ref="BR59:BR64" si="191">BO59+BQ59</f>
        <v>69400</v>
      </c>
      <c r="BS59" s="20">
        <f t="shared" si="24"/>
        <v>190.42861749639999</v>
      </c>
      <c r="BT59" s="4">
        <v>5500</v>
      </c>
      <c r="BU59" s="4">
        <f t="shared" ref="BU59:BU64" si="192">BR59+BT59</f>
        <v>74900</v>
      </c>
      <c r="BV59" s="20">
        <f t="shared" si="25"/>
        <v>205.5202226294</v>
      </c>
    </row>
    <row r="60" spans="1:74" hidden="1" x14ac:dyDescent="0.25">
      <c r="A60" s="4" t="s">
        <v>39</v>
      </c>
      <c r="B60" s="4" t="s">
        <v>14</v>
      </c>
      <c r="C60" s="4" t="s">
        <v>18</v>
      </c>
      <c r="D60" s="4">
        <v>42.7</v>
      </c>
      <c r="E60" s="4"/>
      <c r="F60" s="4">
        <v>4</v>
      </c>
      <c r="G60" s="4" t="str">
        <f t="shared" si="0"/>
        <v>42.7--4</v>
      </c>
      <c r="H60" s="10">
        <v>3.8162844000000007</v>
      </c>
      <c r="I60" s="4">
        <v>65875</v>
      </c>
      <c r="J60" s="4"/>
      <c r="K60" s="4"/>
      <c r="L60" s="4"/>
      <c r="M60" s="4">
        <v>7500</v>
      </c>
      <c r="N60" s="4">
        <f t="shared" si="158"/>
        <v>73375</v>
      </c>
      <c r="O60" s="11">
        <f t="shared" si="2"/>
        <v>280.01986785000003</v>
      </c>
      <c r="P60" s="4">
        <v>5600</v>
      </c>
      <c r="Q60" s="4">
        <f t="shared" si="3"/>
        <v>78975</v>
      </c>
      <c r="R60" s="4">
        <f t="shared" si="4"/>
        <v>301.39</v>
      </c>
      <c r="S60" s="4">
        <v>3900</v>
      </c>
      <c r="T60" s="4">
        <f t="shared" si="5"/>
        <v>82875</v>
      </c>
      <c r="U60" s="4">
        <f t="shared" si="6"/>
        <v>316.27</v>
      </c>
      <c r="V60" s="4">
        <v>3.82</v>
      </c>
      <c r="W60" s="4"/>
      <c r="X60" s="4"/>
      <c r="Y60" s="21">
        <v>283.83999999999997</v>
      </c>
      <c r="Z60" s="4">
        <v>6000</v>
      </c>
      <c r="AA60" s="4">
        <f t="shared" si="176"/>
        <v>88875</v>
      </c>
      <c r="AB60" s="4">
        <f t="shared" si="177"/>
        <v>339.17</v>
      </c>
      <c r="AC60" s="4">
        <v>-10200</v>
      </c>
      <c r="AD60" s="4">
        <f t="shared" si="178"/>
        <v>78675</v>
      </c>
      <c r="AE60" s="4">
        <f t="shared" si="179"/>
        <v>300.25</v>
      </c>
      <c r="AF60" s="4">
        <v>-4900</v>
      </c>
      <c r="AG60" s="4">
        <f t="shared" si="180"/>
        <v>73775</v>
      </c>
      <c r="AH60" s="4">
        <f t="shared" si="181"/>
        <v>281.55</v>
      </c>
      <c r="AI60" s="30">
        <v>3300</v>
      </c>
      <c r="AJ60" s="4">
        <f t="shared" si="182"/>
        <v>77075</v>
      </c>
      <c r="AK60" s="4">
        <f t="shared" si="183"/>
        <v>294.14</v>
      </c>
      <c r="AL60" s="30">
        <v>-3800</v>
      </c>
      <c r="AM60" s="4">
        <f t="shared" si="184"/>
        <v>73275</v>
      </c>
      <c r="AN60" s="4">
        <f t="shared" si="185"/>
        <v>279.64</v>
      </c>
      <c r="AO60" s="4">
        <f>2000</f>
        <v>2000</v>
      </c>
      <c r="AP60" s="4">
        <f t="shared" si="186"/>
        <v>75275</v>
      </c>
      <c r="AQ60" s="4">
        <f t="shared" si="187"/>
        <v>287.27</v>
      </c>
      <c r="AR60" s="4">
        <v>-1950</v>
      </c>
      <c r="AS60" s="4">
        <f t="shared" si="12"/>
        <v>73325</v>
      </c>
      <c r="AT60" s="20">
        <f t="shared" si="13"/>
        <v>279.82905363000003</v>
      </c>
      <c r="AU60" s="4">
        <v>-2625</v>
      </c>
      <c r="AV60" s="4">
        <f t="shared" si="14"/>
        <v>70700</v>
      </c>
      <c r="AW60" s="20">
        <f t="shared" si="15"/>
        <v>269.81130708000006</v>
      </c>
      <c r="AX60" s="4">
        <v>500</v>
      </c>
      <c r="AY60" s="4">
        <f t="shared" si="16"/>
        <v>71200</v>
      </c>
      <c r="AZ60" s="20">
        <f t="shared" si="17"/>
        <v>271.71944928000005</v>
      </c>
      <c r="BA60" s="4">
        <v>-4750</v>
      </c>
      <c r="BB60" s="4">
        <f t="shared" si="18"/>
        <v>66450</v>
      </c>
      <c r="BC60" s="20">
        <f t="shared" si="19"/>
        <v>253.59209838000004</v>
      </c>
      <c r="BD60" s="4">
        <v>0</v>
      </c>
      <c r="BE60" s="4">
        <f t="shared" si="20"/>
        <v>66450</v>
      </c>
      <c r="BF60" s="20">
        <f t="shared" si="21"/>
        <v>253.59209838000004</v>
      </c>
      <c r="BG60" s="4">
        <v>2600</v>
      </c>
      <c r="BH60" s="4">
        <f t="shared" si="22"/>
        <v>69050</v>
      </c>
      <c r="BI60" s="20">
        <f t="shared" si="23"/>
        <v>263.51443782000007</v>
      </c>
      <c r="BJ60" s="4">
        <v>1000</v>
      </c>
      <c r="BK60" s="4"/>
      <c r="BL60" s="4">
        <f t="shared" si="11"/>
        <v>70050</v>
      </c>
      <c r="BM60" s="20">
        <f t="shared" si="188"/>
        <v>267.33072222000004</v>
      </c>
      <c r="BN60" s="4">
        <v>-2150</v>
      </c>
      <c r="BO60" s="4">
        <f t="shared" si="189"/>
        <v>67900</v>
      </c>
      <c r="BP60" s="20">
        <f t="shared" si="190"/>
        <v>259.12571076000006</v>
      </c>
      <c r="BQ60" s="4">
        <v>1500</v>
      </c>
      <c r="BR60" s="4">
        <f t="shared" si="191"/>
        <v>69400</v>
      </c>
      <c r="BS60" s="20">
        <f t="shared" si="24"/>
        <v>264.85013736000008</v>
      </c>
      <c r="BT60" s="4">
        <v>5500</v>
      </c>
      <c r="BU60" s="4">
        <f t="shared" si="192"/>
        <v>74900</v>
      </c>
      <c r="BV60" s="20">
        <f t="shared" si="25"/>
        <v>285.83970156000009</v>
      </c>
    </row>
    <row r="61" spans="1:74" hidden="1" x14ac:dyDescent="0.25">
      <c r="A61" s="4" t="s">
        <v>39</v>
      </c>
      <c r="B61" s="4" t="s">
        <v>14</v>
      </c>
      <c r="C61" s="4" t="s">
        <v>15</v>
      </c>
      <c r="D61" s="4">
        <v>45</v>
      </c>
      <c r="E61" s="4"/>
      <c r="F61" s="4">
        <v>1.2</v>
      </c>
      <c r="G61" s="4" t="str">
        <f t="shared" si="0"/>
        <v>45--1.2</v>
      </c>
      <c r="H61" s="10">
        <v>1.29576168</v>
      </c>
      <c r="I61" s="4">
        <v>69405</v>
      </c>
      <c r="J61" s="4"/>
      <c r="K61" s="4"/>
      <c r="L61" s="4"/>
      <c r="M61" s="4">
        <v>9800</v>
      </c>
      <c r="N61" s="4">
        <f t="shared" si="158"/>
        <v>79205</v>
      </c>
      <c r="O61" s="11">
        <f t="shared" si="2"/>
        <v>102.63080386440001</v>
      </c>
      <c r="P61" s="4">
        <v>6000</v>
      </c>
      <c r="Q61" s="4">
        <f t="shared" si="3"/>
        <v>85205</v>
      </c>
      <c r="R61" s="4">
        <f t="shared" si="4"/>
        <v>110.41</v>
      </c>
      <c r="S61" s="4">
        <v>4000</v>
      </c>
      <c r="T61" s="4">
        <f t="shared" si="5"/>
        <v>89205</v>
      </c>
      <c r="U61" s="4">
        <f t="shared" si="6"/>
        <v>115.59</v>
      </c>
      <c r="V61" s="4"/>
      <c r="W61" s="4"/>
      <c r="X61" s="4"/>
      <c r="Y61" s="4">
        <v>102.63</v>
      </c>
      <c r="Z61" s="4">
        <v>5700</v>
      </c>
      <c r="AA61" s="22">
        <f t="shared" ref="AA61:AA63" si="193">T61+Z61</f>
        <v>94905</v>
      </c>
      <c r="AB61" s="23">
        <f t="shared" ref="AB61:AB63" si="194">$H61*AA61/1000</f>
        <v>122.97426224039999</v>
      </c>
      <c r="AC61" s="4">
        <v>-11650</v>
      </c>
      <c r="AD61" s="22">
        <f t="shared" si="178"/>
        <v>83255</v>
      </c>
      <c r="AE61" s="22">
        <f t="shared" si="179"/>
        <v>107.88</v>
      </c>
      <c r="AF61" s="4">
        <v>-4200</v>
      </c>
      <c r="AG61" s="4">
        <f t="shared" si="180"/>
        <v>79055</v>
      </c>
      <c r="AH61" s="4">
        <f t="shared" si="181"/>
        <v>102.44</v>
      </c>
      <c r="AI61" s="30">
        <v>1950</v>
      </c>
      <c r="AJ61" s="4">
        <f t="shared" ref="AJ61:AJ63" si="195">AG61+AI61</f>
        <v>81005</v>
      </c>
      <c r="AK61" s="4">
        <f t="shared" ref="AK61:AK63" si="196">ROUND(AJ61*H61/1000,2)</f>
        <v>104.96</v>
      </c>
      <c r="AL61" s="30">
        <v>-4825</v>
      </c>
      <c r="AM61" s="4">
        <f t="shared" ref="AM61:AM63" si="197">AJ61+AL61</f>
        <v>76180</v>
      </c>
      <c r="AN61" s="4">
        <f t="shared" ref="AN61:AN63" si="198">ROUND(AM61*H61/1000,2)</f>
        <v>98.71</v>
      </c>
      <c r="AO61" s="4">
        <f>1920</f>
        <v>1920</v>
      </c>
      <c r="AP61" s="4">
        <f t="shared" ref="AP61:AP63" si="199">AM61+AO61</f>
        <v>78100</v>
      </c>
      <c r="AQ61" s="4">
        <f t="shared" ref="AQ61:AQ63" si="200">ROUND(AP61*H61/1000,2)</f>
        <v>101.2</v>
      </c>
      <c r="AR61" s="4">
        <v>-1200</v>
      </c>
      <c r="AS61" s="4">
        <f t="shared" si="12"/>
        <v>76900</v>
      </c>
      <c r="AT61" s="20">
        <f t="shared" si="13"/>
        <v>99.644073191999993</v>
      </c>
      <c r="AU61" s="4">
        <v>-2125</v>
      </c>
      <c r="AV61" s="4">
        <f t="shared" si="14"/>
        <v>74775</v>
      </c>
      <c r="AW61" s="20">
        <f t="shared" si="15"/>
        <v>96.890579622000004</v>
      </c>
      <c r="AX61" s="4">
        <v>200</v>
      </c>
      <c r="AY61" s="4">
        <f t="shared" si="16"/>
        <v>74975</v>
      </c>
      <c r="AZ61" s="20">
        <f t="shared" si="17"/>
        <v>97.149731958000004</v>
      </c>
      <c r="BA61" s="4">
        <v>-4150</v>
      </c>
      <c r="BB61" s="4">
        <f t="shared" si="18"/>
        <v>70825</v>
      </c>
      <c r="BC61" s="20">
        <f t="shared" si="19"/>
        <v>91.772320986000011</v>
      </c>
      <c r="BD61" s="4">
        <v>0</v>
      </c>
      <c r="BE61" s="4">
        <f t="shared" si="20"/>
        <v>70825</v>
      </c>
      <c r="BF61" s="20">
        <f t="shared" si="21"/>
        <v>91.772320986000011</v>
      </c>
      <c r="BG61" s="4">
        <v>2600</v>
      </c>
      <c r="BH61" s="4">
        <f t="shared" si="22"/>
        <v>73425</v>
      </c>
      <c r="BI61" s="20">
        <f t="shared" si="23"/>
        <v>95.141301353999992</v>
      </c>
      <c r="BJ61" s="4">
        <v>900</v>
      </c>
      <c r="BK61" s="4"/>
      <c r="BL61" s="4">
        <f t="shared" si="11"/>
        <v>74325</v>
      </c>
      <c r="BM61" s="20">
        <f t="shared" si="188"/>
        <v>96.307486866000005</v>
      </c>
      <c r="BN61" s="4">
        <v>-2100</v>
      </c>
      <c r="BO61" s="4">
        <f t="shared" si="189"/>
        <v>72225</v>
      </c>
      <c r="BP61" s="20">
        <f t="shared" si="190"/>
        <v>93.586387337999994</v>
      </c>
      <c r="BQ61" s="4">
        <v>1450</v>
      </c>
      <c r="BR61" s="4">
        <f t="shared" si="191"/>
        <v>73675</v>
      </c>
      <c r="BS61" s="20">
        <f t="shared" si="24"/>
        <v>95.465241774000006</v>
      </c>
      <c r="BT61" s="4">
        <v>5150</v>
      </c>
      <c r="BU61" s="4">
        <f t="shared" si="192"/>
        <v>78825</v>
      </c>
      <c r="BV61" s="20">
        <f t="shared" si="25"/>
        <v>102.138414426</v>
      </c>
    </row>
    <row r="62" spans="1:74" hidden="1" x14ac:dyDescent="0.25">
      <c r="A62" s="4" t="s">
        <v>39</v>
      </c>
      <c r="B62" s="4" t="s">
        <v>14</v>
      </c>
      <c r="C62" s="4" t="s">
        <v>15</v>
      </c>
      <c r="D62" s="4">
        <v>48.6</v>
      </c>
      <c r="E62" s="4"/>
      <c r="F62" s="4">
        <v>1.2</v>
      </c>
      <c r="G62" s="4" t="str">
        <f t="shared" si="0"/>
        <v>48.6--1.2</v>
      </c>
      <c r="H62" s="10">
        <v>1.40226264</v>
      </c>
      <c r="I62" s="4">
        <v>69405</v>
      </c>
      <c r="J62" s="4"/>
      <c r="K62" s="4"/>
      <c r="L62" s="4"/>
      <c r="M62" s="4">
        <v>9800</v>
      </c>
      <c r="N62" s="4">
        <f t="shared" si="158"/>
        <v>79205</v>
      </c>
      <c r="O62" s="11">
        <f t="shared" si="2"/>
        <v>111.0662124012</v>
      </c>
      <c r="P62" s="4">
        <v>6000</v>
      </c>
      <c r="Q62" s="4">
        <f t="shared" si="3"/>
        <v>85205</v>
      </c>
      <c r="R62" s="4">
        <f t="shared" si="4"/>
        <v>119.48</v>
      </c>
      <c r="S62" s="4">
        <v>4000</v>
      </c>
      <c r="T62" s="4">
        <f t="shared" si="5"/>
        <v>89205</v>
      </c>
      <c r="U62" s="4">
        <f t="shared" si="6"/>
        <v>125.09</v>
      </c>
      <c r="V62" s="4"/>
      <c r="W62" s="4"/>
      <c r="X62" s="4"/>
      <c r="Y62" s="4">
        <v>111.07</v>
      </c>
      <c r="Z62" s="4">
        <v>5700</v>
      </c>
      <c r="AA62" s="4">
        <f t="shared" si="193"/>
        <v>94905</v>
      </c>
      <c r="AB62" s="20">
        <f t="shared" si="194"/>
        <v>133.08173584919999</v>
      </c>
      <c r="AC62" s="4">
        <v>-11650</v>
      </c>
      <c r="AD62" s="4">
        <f t="shared" si="178"/>
        <v>83255</v>
      </c>
      <c r="AE62" s="4">
        <f t="shared" si="179"/>
        <v>116.75</v>
      </c>
      <c r="AF62" s="4">
        <v>-4200</v>
      </c>
      <c r="AG62" s="4">
        <f t="shared" si="180"/>
        <v>79055</v>
      </c>
      <c r="AH62" s="4">
        <f t="shared" si="181"/>
        <v>110.86</v>
      </c>
      <c r="AI62" s="30">
        <v>1950</v>
      </c>
      <c r="AJ62" s="4">
        <f t="shared" si="195"/>
        <v>81005</v>
      </c>
      <c r="AK62" s="4">
        <f t="shared" si="196"/>
        <v>113.59</v>
      </c>
      <c r="AL62" s="30">
        <v>-4825</v>
      </c>
      <c r="AM62" s="4">
        <f t="shared" si="197"/>
        <v>76180</v>
      </c>
      <c r="AN62" s="4">
        <f t="shared" si="198"/>
        <v>106.82</v>
      </c>
      <c r="AO62" s="4">
        <f>1920</f>
        <v>1920</v>
      </c>
      <c r="AP62" s="4">
        <f t="shared" si="199"/>
        <v>78100</v>
      </c>
      <c r="AQ62" s="4">
        <f t="shared" si="200"/>
        <v>109.52</v>
      </c>
      <c r="AR62" s="4">
        <v>-1200</v>
      </c>
      <c r="AS62" s="4">
        <f t="shared" si="12"/>
        <v>76900</v>
      </c>
      <c r="AT62" s="20">
        <f t="shared" si="13"/>
        <v>107.833997016</v>
      </c>
      <c r="AU62" s="4">
        <v>-2125</v>
      </c>
      <c r="AV62" s="4">
        <f t="shared" si="14"/>
        <v>74775</v>
      </c>
      <c r="AW62" s="20">
        <f t="shared" si="15"/>
        <v>104.85418890599999</v>
      </c>
      <c r="AX62" s="4">
        <v>200</v>
      </c>
      <c r="AY62" s="4">
        <f t="shared" si="16"/>
        <v>74975</v>
      </c>
      <c r="AZ62" s="20">
        <f t="shared" si="17"/>
        <v>105.134641434</v>
      </c>
      <c r="BA62" s="4">
        <v>-4150</v>
      </c>
      <c r="BB62" s="4">
        <f t="shared" si="18"/>
        <v>70825</v>
      </c>
      <c r="BC62" s="20">
        <f t="shared" si="19"/>
        <v>99.315251478000008</v>
      </c>
      <c r="BD62" s="4">
        <v>0</v>
      </c>
      <c r="BE62" s="4">
        <f t="shared" si="20"/>
        <v>70825</v>
      </c>
      <c r="BF62" s="20">
        <f t="shared" si="21"/>
        <v>99.315251478000008</v>
      </c>
      <c r="BG62" s="4">
        <v>2600</v>
      </c>
      <c r="BH62" s="4">
        <f t="shared" si="22"/>
        <v>73425</v>
      </c>
      <c r="BI62" s="20">
        <f t="shared" si="23"/>
        <v>102.96113434200001</v>
      </c>
      <c r="BJ62" s="4">
        <v>900</v>
      </c>
      <c r="BK62" s="4"/>
      <c r="BL62" s="4">
        <f t="shared" si="11"/>
        <v>74325</v>
      </c>
      <c r="BM62" s="20">
        <f t="shared" si="188"/>
        <v>104.22317071799999</v>
      </c>
      <c r="BN62" s="4">
        <v>-2100</v>
      </c>
      <c r="BO62" s="4">
        <f t="shared" si="189"/>
        <v>72225</v>
      </c>
      <c r="BP62" s="20">
        <f t="shared" si="190"/>
        <v>101.27841917399999</v>
      </c>
      <c r="BQ62" s="4">
        <v>1450</v>
      </c>
      <c r="BR62" s="4">
        <f t="shared" si="191"/>
        <v>73675</v>
      </c>
      <c r="BS62" s="20">
        <f t="shared" si="24"/>
        <v>103.31170000199999</v>
      </c>
      <c r="BT62" s="4">
        <v>5150</v>
      </c>
      <c r="BU62" s="4">
        <f t="shared" si="192"/>
        <v>78825</v>
      </c>
      <c r="BV62" s="20">
        <f t="shared" si="25"/>
        <v>110.53335259799999</v>
      </c>
    </row>
    <row r="63" spans="1:74" hidden="1" x14ac:dyDescent="0.25">
      <c r="A63" s="4" t="s">
        <v>39</v>
      </c>
      <c r="B63" s="4" t="s">
        <v>14</v>
      </c>
      <c r="C63" s="4" t="s">
        <v>15</v>
      </c>
      <c r="D63" s="4">
        <v>50.8</v>
      </c>
      <c r="E63" s="4"/>
      <c r="F63" s="4">
        <v>1.6</v>
      </c>
      <c r="G63" s="4" t="str">
        <f t="shared" si="0"/>
        <v>50.8--1.6</v>
      </c>
      <c r="H63" s="10">
        <v>1.94068416</v>
      </c>
      <c r="I63" s="4">
        <v>69405</v>
      </c>
      <c r="J63" s="4"/>
      <c r="K63" s="4"/>
      <c r="L63" s="4"/>
      <c r="M63" s="4">
        <v>9800</v>
      </c>
      <c r="N63" s="4">
        <f t="shared" si="158"/>
        <v>79205</v>
      </c>
      <c r="O63" s="11">
        <f t="shared" si="2"/>
        <v>153.7118888928</v>
      </c>
      <c r="P63" s="4">
        <v>6000</v>
      </c>
      <c r="Q63" s="4">
        <f t="shared" si="3"/>
        <v>85205</v>
      </c>
      <c r="R63" s="4">
        <f t="shared" si="4"/>
        <v>165.36</v>
      </c>
      <c r="S63" s="4">
        <v>4000</v>
      </c>
      <c r="T63" s="4">
        <f t="shared" si="5"/>
        <v>89205</v>
      </c>
      <c r="U63" s="4">
        <f t="shared" si="6"/>
        <v>173.12</v>
      </c>
      <c r="V63" s="4"/>
      <c r="W63" s="4"/>
      <c r="X63" s="4"/>
      <c r="Y63" s="4">
        <v>153.71</v>
      </c>
      <c r="Z63" s="4">
        <v>5700</v>
      </c>
      <c r="AA63" s="4">
        <f t="shared" si="193"/>
        <v>94905</v>
      </c>
      <c r="AB63" s="20">
        <f t="shared" si="194"/>
        <v>184.1806302048</v>
      </c>
      <c r="AC63" s="4">
        <v>-11650</v>
      </c>
      <c r="AD63" s="4">
        <f t="shared" si="178"/>
        <v>83255</v>
      </c>
      <c r="AE63" s="4">
        <f t="shared" si="179"/>
        <v>161.57</v>
      </c>
      <c r="AF63" s="4">
        <v>-4200</v>
      </c>
      <c r="AG63" s="4">
        <f t="shared" si="180"/>
        <v>79055</v>
      </c>
      <c r="AH63" s="4">
        <f t="shared" si="181"/>
        <v>153.41999999999999</v>
      </c>
      <c r="AI63" s="30">
        <v>1950</v>
      </c>
      <c r="AJ63" s="4">
        <f t="shared" si="195"/>
        <v>81005</v>
      </c>
      <c r="AK63" s="4">
        <f t="shared" si="196"/>
        <v>157.21</v>
      </c>
      <c r="AL63" s="30">
        <v>-4825</v>
      </c>
      <c r="AM63" s="4">
        <f t="shared" si="197"/>
        <v>76180</v>
      </c>
      <c r="AN63" s="4">
        <f t="shared" si="198"/>
        <v>147.84</v>
      </c>
      <c r="AO63" s="4">
        <f>1920</f>
        <v>1920</v>
      </c>
      <c r="AP63" s="4">
        <f t="shared" si="199"/>
        <v>78100</v>
      </c>
      <c r="AQ63" s="4">
        <f t="shared" si="200"/>
        <v>151.57</v>
      </c>
      <c r="AR63" s="4">
        <v>-1200</v>
      </c>
      <c r="AS63" s="4">
        <f t="shared" si="12"/>
        <v>76900</v>
      </c>
      <c r="AT63" s="20">
        <f t="shared" si="13"/>
        <v>149.23861190399998</v>
      </c>
      <c r="AU63" s="4">
        <v>-2125</v>
      </c>
      <c r="AV63" s="4">
        <f t="shared" si="14"/>
        <v>74775</v>
      </c>
      <c r="AW63" s="20">
        <f t="shared" si="15"/>
        <v>145.114658064</v>
      </c>
      <c r="AX63" s="4">
        <v>200</v>
      </c>
      <c r="AY63" s="4">
        <f t="shared" si="16"/>
        <v>74975</v>
      </c>
      <c r="AZ63" s="20">
        <f t="shared" si="17"/>
        <v>145.50279489600001</v>
      </c>
      <c r="BA63" s="4">
        <v>-4150</v>
      </c>
      <c r="BB63" s="4">
        <f t="shared" si="18"/>
        <v>70825</v>
      </c>
      <c r="BC63" s="20">
        <f t="shared" si="19"/>
        <v>137.44895563200001</v>
      </c>
      <c r="BD63" s="4">
        <v>0</v>
      </c>
      <c r="BE63" s="4">
        <f t="shared" si="20"/>
        <v>70825</v>
      </c>
      <c r="BF63" s="20">
        <f t="shared" si="21"/>
        <v>137.44895563200001</v>
      </c>
      <c r="BG63" s="4">
        <v>2600</v>
      </c>
      <c r="BH63" s="4">
        <f t="shared" si="22"/>
        <v>73425</v>
      </c>
      <c r="BI63" s="20">
        <f t="shared" si="23"/>
        <v>142.494734448</v>
      </c>
      <c r="BJ63" s="4">
        <v>900</v>
      </c>
      <c r="BK63" s="4"/>
      <c r="BL63" s="4">
        <f t="shared" si="11"/>
        <v>74325</v>
      </c>
      <c r="BM63" s="20">
        <f t="shared" si="188"/>
        <v>144.241350192</v>
      </c>
      <c r="BN63" s="4">
        <v>-2100</v>
      </c>
      <c r="BO63" s="4">
        <f t="shared" si="189"/>
        <v>72225</v>
      </c>
      <c r="BP63" s="20">
        <f t="shared" si="190"/>
        <v>140.165913456</v>
      </c>
      <c r="BQ63" s="4">
        <v>1450</v>
      </c>
      <c r="BR63" s="4">
        <f t="shared" si="191"/>
        <v>73675</v>
      </c>
      <c r="BS63" s="20">
        <f t="shared" si="24"/>
        <v>142.97990548799999</v>
      </c>
      <c r="BT63" s="4">
        <v>5150</v>
      </c>
      <c r="BU63" s="4">
        <f t="shared" si="192"/>
        <v>78825</v>
      </c>
      <c r="BV63" s="20">
        <f t="shared" si="25"/>
        <v>152.97442891200001</v>
      </c>
    </row>
    <row r="64" spans="1:74" hidden="1" x14ac:dyDescent="0.25">
      <c r="A64" s="4" t="s">
        <v>39</v>
      </c>
      <c r="B64" s="4" t="s">
        <v>14</v>
      </c>
      <c r="C64" s="4" t="s">
        <v>18</v>
      </c>
      <c r="D64" s="4">
        <v>54</v>
      </c>
      <c r="E64" s="4"/>
      <c r="F64" s="4">
        <v>3</v>
      </c>
      <c r="G64" s="4" t="str">
        <f t="shared" si="0"/>
        <v>54--3</v>
      </c>
      <c r="H64" s="10">
        <v>3.7719090000000004</v>
      </c>
      <c r="I64" s="4">
        <v>65875</v>
      </c>
      <c r="J64" s="4"/>
      <c r="K64" s="4"/>
      <c r="L64" s="4"/>
      <c r="M64" s="4">
        <v>7500</v>
      </c>
      <c r="N64" s="4">
        <f t="shared" si="158"/>
        <v>73375</v>
      </c>
      <c r="O64" s="11">
        <f t="shared" si="2"/>
        <v>276.76382287500002</v>
      </c>
      <c r="P64" s="4">
        <v>5600</v>
      </c>
      <c r="Q64" s="4">
        <f t="shared" si="3"/>
        <v>78975</v>
      </c>
      <c r="R64" s="4">
        <f t="shared" si="4"/>
        <v>297.89</v>
      </c>
      <c r="S64" s="4">
        <v>3900</v>
      </c>
      <c r="T64" s="4">
        <f t="shared" si="5"/>
        <v>82875</v>
      </c>
      <c r="U64" s="4">
        <f t="shared" si="6"/>
        <v>312.60000000000002</v>
      </c>
      <c r="V64" s="4">
        <v>3.77</v>
      </c>
      <c r="W64" s="4"/>
      <c r="X64" s="4"/>
      <c r="Y64" s="21">
        <v>280.52999999999997</v>
      </c>
      <c r="Z64" s="4">
        <v>6000</v>
      </c>
      <c r="AA64" s="4">
        <f>Z64+T64</f>
        <v>88875</v>
      </c>
      <c r="AB64" s="4">
        <f>ROUND(AA64*H64/1000,2)</f>
        <v>335.23</v>
      </c>
      <c r="AC64" s="4">
        <v>-10200</v>
      </c>
      <c r="AD64" s="4">
        <f>AC64+AA64</f>
        <v>78675</v>
      </c>
      <c r="AE64" s="4">
        <f>ROUND(AD64*H64/1000,2)</f>
        <v>296.75</v>
      </c>
      <c r="AF64" s="4">
        <v>-4900</v>
      </c>
      <c r="AG64" s="4">
        <f>AD64+AF64</f>
        <v>73775</v>
      </c>
      <c r="AH64" s="4">
        <f>ROUND(AG64*H64/1000,2)</f>
        <v>278.27</v>
      </c>
      <c r="AI64" s="30">
        <v>3300</v>
      </c>
      <c r="AJ64" s="4">
        <f>AG64+AI64</f>
        <v>77075</v>
      </c>
      <c r="AK64" s="4">
        <f>ROUND(AJ64*H64/1000,2)</f>
        <v>290.72000000000003</v>
      </c>
      <c r="AL64" s="30">
        <v>-3800</v>
      </c>
      <c r="AM64" s="4">
        <f>AJ64+AL64</f>
        <v>73275</v>
      </c>
      <c r="AN64" s="4">
        <f>ROUND(AM64*H64/1000,2)</f>
        <v>276.39</v>
      </c>
      <c r="AO64" s="4">
        <f>2000</f>
        <v>2000</v>
      </c>
      <c r="AP64" s="4">
        <f>AM64+AO64</f>
        <v>75275</v>
      </c>
      <c r="AQ64" s="4">
        <f>ROUND(AP64*H64/1000,2)</f>
        <v>283.93</v>
      </c>
      <c r="AR64" s="4">
        <v>-1950</v>
      </c>
      <c r="AS64" s="4">
        <f t="shared" si="12"/>
        <v>73325</v>
      </c>
      <c r="AT64" s="20">
        <f t="shared" si="13"/>
        <v>276.57522742500004</v>
      </c>
      <c r="AU64" s="4">
        <v>-2625</v>
      </c>
      <c r="AV64" s="4">
        <f t="shared" si="14"/>
        <v>70700</v>
      </c>
      <c r="AW64" s="20">
        <f t="shared" si="15"/>
        <v>266.67396630000002</v>
      </c>
      <c r="AX64" s="4">
        <v>500</v>
      </c>
      <c r="AY64" s="4">
        <f t="shared" si="16"/>
        <v>71200</v>
      </c>
      <c r="AZ64" s="20">
        <f t="shared" si="17"/>
        <v>268.55992080000004</v>
      </c>
      <c r="BA64" s="4">
        <v>-4750</v>
      </c>
      <c r="BB64" s="4">
        <f t="shared" si="18"/>
        <v>66450</v>
      </c>
      <c r="BC64" s="20">
        <f t="shared" si="19"/>
        <v>250.64335305000003</v>
      </c>
      <c r="BD64" s="4">
        <v>0</v>
      </c>
      <c r="BE64" s="4">
        <f t="shared" si="20"/>
        <v>66450</v>
      </c>
      <c r="BF64" s="20">
        <f t="shared" si="21"/>
        <v>250.64335305000003</v>
      </c>
      <c r="BG64" s="4">
        <v>2600</v>
      </c>
      <c r="BH64" s="4">
        <f t="shared" si="22"/>
        <v>69050</v>
      </c>
      <c r="BI64" s="20">
        <f t="shared" si="23"/>
        <v>260.45031645000006</v>
      </c>
      <c r="BJ64" s="4">
        <v>1000</v>
      </c>
      <c r="BK64" s="4"/>
      <c r="BL64" s="4">
        <f t="shared" si="11"/>
        <v>70050</v>
      </c>
      <c r="BM64" s="20">
        <f>BL64*H64/1000</f>
        <v>264.22222545000005</v>
      </c>
      <c r="BN64" s="4">
        <v>-2150</v>
      </c>
      <c r="BO64" s="4">
        <f t="shared" ref="BO64" si="201">BL64+BN64</f>
        <v>67900</v>
      </c>
      <c r="BP64" s="20">
        <f>BO64*H64/1000</f>
        <v>256.11262110000001</v>
      </c>
      <c r="BQ64" s="4">
        <v>1500</v>
      </c>
      <c r="BR64" s="4">
        <f t="shared" si="191"/>
        <v>69400</v>
      </c>
      <c r="BS64" s="20">
        <f t="shared" si="24"/>
        <v>261.77048460000003</v>
      </c>
      <c r="BT64" s="4">
        <v>5500</v>
      </c>
      <c r="BU64" s="4">
        <f t="shared" si="192"/>
        <v>74900</v>
      </c>
      <c r="BV64" s="20">
        <f t="shared" si="25"/>
        <v>282.51598410000003</v>
      </c>
    </row>
    <row r="65" spans="1:75" hidden="1" x14ac:dyDescent="0.25">
      <c r="A65" s="4" t="s">
        <v>39</v>
      </c>
      <c r="B65" s="4" t="s">
        <v>14</v>
      </c>
      <c r="C65" s="4" t="s">
        <v>15</v>
      </c>
      <c r="D65" s="4">
        <v>55.56</v>
      </c>
      <c r="E65" s="4"/>
      <c r="F65" s="4">
        <v>1.1499999999999999</v>
      </c>
      <c r="G65" s="4" t="str">
        <f t="shared" si="0"/>
        <v>55.56--1.15</v>
      </c>
      <c r="H65" s="10">
        <v>1.5425751895000002</v>
      </c>
      <c r="I65" s="4">
        <v>69405</v>
      </c>
      <c r="J65" s="4"/>
      <c r="K65" s="4"/>
      <c r="L65" s="4"/>
      <c r="M65" s="4">
        <v>9800</v>
      </c>
      <c r="N65" s="4">
        <f t="shared" si="158"/>
        <v>79205</v>
      </c>
      <c r="O65" s="11">
        <f t="shared" si="2"/>
        <v>122.17966788434751</v>
      </c>
      <c r="P65" s="4">
        <v>6000</v>
      </c>
      <c r="Q65" s="4">
        <f t="shared" si="3"/>
        <v>85205</v>
      </c>
      <c r="R65" s="4">
        <f t="shared" si="4"/>
        <v>131.44</v>
      </c>
      <c r="S65" s="4">
        <v>4000</v>
      </c>
      <c r="T65" s="4">
        <f t="shared" si="5"/>
        <v>89205</v>
      </c>
      <c r="U65" s="4">
        <f t="shared" si="6"/>
        <v>137.61000000000001</v>
      </c>
      <c r="V65" s="4"/>
      <c r="W65" s="4"/>
      <c r="X65" s="4"/>
      <c r="Y65" s="4">
        <v>122.18</v>
      </c>
      <c r="Z65" s="4">
        <v>5700</v>
      </c>
      <c r="AA65" s="22">
        <f>T65+Z65</f>
        <v>94905</v>
      </c>
      <c r="AB65" s="23">
        <f>$H65*AA65/1000</f>
        <v>146.39809835949754</v>
      </c>
      <c r="AC65" s="4">
        <v>-11650</v>
      </c>
      <c r="AD65" s="22">
        <f>AC65+AA65</f>
        <v>83255</v>
      </c>
      <c r="AE65" s="22">
        <f>ROUND(AD65*H65/1000,2)</f>
        <v>128.43</v>
      </c>
      <c r="AF65" s="4">
        <v>-4200</v>
      </c>
      <c r="AG65" s="4">
        <f>AD65+AF65</f>
        <v>79055</v>
      </c>
      <c r="AH65" s="4">
        <f>ROUND(AG65*H65/1000,2)</f>
        <v>121.95</v>
      </c>
      <c r="AI65" s="30">
        <v>1950</v>
      </c>
      <c r="AJ65" s="4">
        <f>AG65+AI65</f>
        <v>81005</v>
      </c>
      <c r="AK65" s="4">
        <f>ROUND(AJ65*H65/1000,2)</f>
        <v>124.96</v>
      </c>
      <c r="AL65" s="30">
        <v>-4825</v>
      </c>
      <c r="AM65" s="4">
        <f>AJ65+AL65</f>
        <v>76180</v>
      </c>
      <c r="AN65" s="4">
        <f>ROUND(AM65*H65/1000,2)</f>
        <v>117.51</v>
      </c>
      <c r="AO65" s="4">
        <f>1920</f>
        <v>1920</v>
      </c>
      <c r="AP65" s="4">
        <f>AM65+AO65</f>
        <v>78100</v>
      </c>
      <c r="AQ65" s="4">
        <f>ROUND(AP65*H65/1000,2)</f>
        <v>120.48</v>
      </c>
      <c r="AR65" s="4">
        <v>-1200</v>
      </c>
      <c r="AS65" s="4">
        <f t="shared" si="12"/>
        <v>76900</v>
      </c>
      <c r="AT65" s="20">
        <f t="shared" si="13"/>
        <v>118.62403207255001</v>
      </c>
      <c r="AU65" s="4">
        <v>-2125</v>
      </c>
      <c r="AV65" s="4">
        <f t="shared" si="14"/>
        <v>74775</v>
      </c>
      <c r="AW65" s="20">
        <f t="shared" si="15"/>
        <v>115.34605979486251</v>
      </c>
      <c r="AX65" s="4">
        <v>200</v>
      </c>
      <c r="AY65" s="4">
        <f t="shared" si="16"/>
        <v>74975</v>
      </c>
      <c r="AZ65" s="20">
        <f t="shared" si="17"/>
        <v>115.65457483276252</v>
      </c>
      <c r="BA65" s="4">
        <v>-4150</v>
      </c>
      <c r="BB65" s="4">
        <f t="shared" si="18"/>
        <v>70825</v>
      </c>
      <c r="BC65" s="20">
        <f t="shared" si="19"/>
        <v>109.25288779633752</v>
      </c>
      <c r="BD65" s="4">
        <v>0</v>
      </c>
      <c r="BE65" s="4">
        <f t="shared" si="20"/>
        <v>70825</v>
      </c>
      <c r="BF65" s="20">
        <f t="shared" si="21"/>
        <v>109.25288779633752</v>
      </c>
      <c r="BG65" s="4">
        <v>2600</v>
      </c>
      <c r="BH65" s="4">
        <f t="shared" si="22"/>
        <v>73425</v>
      </c>
      <c r="BI65" s="20">
        <f t="shared" si="23"/>
        <v>113.26358328903751</v>
      </c>
      <c r="BJ65" s="4">
        <v>900</v>
      </c>
      <c r="BK65" s="4"/>
      <c r="BL65" s="4">
        <f t="shared" si="11"/>
        <v>74325</v>
      </c>
      <c r="BM65" s="20">
        <f>BL65*H65/1000</f>
        <v>114.65190095958751</v>
      </c>
      <c r="BN65" s="4">
        <v>-2100</v>
      </c>
      <c r="BO65" s="4">
        <f>BL65+BN65</f>
        <v>72225</v>
      </c>
      <c r="BP65" s="20">
        <f>BO65*H65/1000</f>
        <v>111.41249306163751</v>
      </c>
      <c r="BQ65" s="4">
        <v>1450</v>
      </c>
      <c r="BR65" s="4">
        <f>BO65+BQ65</f>
        <v>73675</v>
      </c>
      <c r="BS65" s="20">
        <f t="shared" si="24"/>
        <v>113.64922708641252</v>
      </c>
      <c r="BT65" s="4">
        <v>5150</v>
      </c>
      <c r="BU65" s="4">
        <f>BR65+BT65</f>
        <v>78825</v>
      </c>
      <c r="BV65" s="20">
        <f t="shared" si="25"/>
        <v>121.59348931233751</v>
      </c>
    </row>
    <row r="66" spans="1:75" hidden="1" x14ac:dyDescent="0.25">
      <c r="A66" s="4" t="s">
        <v>39</v>
      </c>
      <c r="B66" s="4" t="s">
        <v>14</v>
      </c>
      <c r="C66" s="4" t="s">
        <v>18</v>
      </c>
      <c r="D66" s="4">
        <v>57.15</v>
      </c>
      <c r="E66" s="4"/>
      <c r="F66" s="4">
        <v>2</v>
      </c>
      <c r="G66" s="4" t="str">
        <f t="shared" si="0"/>
        <v>57.15--2</v>
      </c>
      <c r="H66" s="10">
        <v>2.7192259000000001</v>
      </c>
      <c r="I66" s="4">
        <v>65875</v>
      </c>
      <c r="J66" s="4"/>
      <c r="K66" s="4"/>
      <c r="L66" s="4"/>
      <c r="M66" s="4">
        <v>7500</v>
      </c>
      <c r="N66" s="4">
        <f t="shared" si="158"/>
        <v>73375</v>
      </c>
      <c r="O66" s="11">
        <f t="shared" si="2"/>
        <v>199.52320041250002</v>
      </c>
      <c r="P66" s="4">
        <v>5600</v>
      </c>
      <c r="Q66" s="4">
        <f t="shared" si="3"/>
        <v>78975</v>
      </c>
      <c r="R66" s="4">
        <f t="shared" si="4"/>
        <v>214.75</v>
      </c>
      <c r="S66" s="4">
        <v>3900</v>
      </c>
      <c r="T66" s="4">
        <f t="shared" si="5"/>
        <v>82875</v>
      </c>
      <c r="U66" s="4">
        <f t="shared" si="6"/>
        <v>225.36</v>
      </c>
      <c r="V66" s="4">
        <v>2.72</v>
      </c>
      <c r="W66" s="4"/>
      <c r="X66" s="4">
        <v>0.68</v>
      </c>
      <c r="Y66" s="21">
        <v>202.92000000000002</v>
      </c>
      <c r="Z66" s="4">
        <v>6000</v>
      </c>
      <c r="AA66" s="4">
        <f t="shared" ref="AA66:AA68" si="202">Z66+T66</f>
        <v>88875</v>
      </c>
      <c r="AB66" s="4">
        <f t="shared" ref="AB66:AB68" si="203">ROUND(AA66*H66/1000,2)</f>
        <v>241.67</v>
      </c>
      <c r="AC66" s="4">
        <v>-10200</v>
      </c>
      <c r="AD66" s="4">
        <f t="shared" ref="AD66:AD79" si="204">AC66+AA66</f>
        <v>78675</v>
      </c>
      <c r="AE66" s="4">
        <f t="shared" ref="AE66:AE79" si="205">ROUND(AD66*H66/1000,2)</f>
        <v>213.94</v>
      </c>
      <c r="AF66" s="4">
        <v>-4900</v>
      </c>
      <c r="AG66" s="4">
        <f t="shared" ref="AG66:AG79" si="206">AD66+AF66</f>
        <v>73775</v>
      </c>
      <c r="AH66" s="4">
        <f t="shared" ref="AH66:AH79" si="207">ROUND(AG66*H66/1000,2)</f>
        <v>200.61</v>
      </c>
      <c r="AI66" s="30">
        <v>3300</v>
      </c>
      <c r="AJ66" s="4">
        <f t="shared" ref="AJ66:AJ68" si="208">AG66+AI66</f>
        <v>77075</v>
      </c>
      <c r="AK66" s="4">
        <f t="shared" ref="AK66:AK68" si="209">ROUND(AJ66*H66/1000,2)</f>
        <v>209.58</v>
      </c>
      <c r="AL66" s="30">
        <v>-3800</v>
      </c>
      <c r="AM66" s="4">
        <f t="shared" ref="AM66:AM68" si="210">AJ66+AL66</f>
        <v>73275</v>
      </c>
      <c r="AN66" s="4">
        <f t="shared" ref="AN66:AN68" si="211">ROUND(AM66*H66/1000,2)</f>
        <v>199.25</v>
      </c>
      <c r="AO66" s="4">
        <f>2000</f>
        <v>2000</v>
      </c>
      <c r="AP66" s="4">
        <f t="shared" ref="AP66:AP68" si="212">AM66+AO66</f>
        <v>75275</v>
      </c>
      <c r="AQ66" s="4">
        <f t="shared" ref="AQ66:AQ68" si="213">ROUND(AP66*H66/1000,2)</f>
        <v>204.69</v>
      </c>
      <c r="AR66" s="4">
        <v>-1950</v>
      </c>
      <c r="AS66" s="4">
        <f t="shared" si="12"/>
        <v>73325</v>
      </c>
      <c r="AT66" s="20">
        <f t="shared" si="13"/>
        <v>199.3872391175</v>
      </c>
      <c r="AU66" s="4">
        <v>-2625</v>
      </c>
      <c r="AV66" s="4">
        <f t="shared" si="14"/>
        <v>70700</v>
      </c>
      <c r="AW66" s="20">
        <f t="shared" si="15"/>
        <v>192.24927113000001</v>
      </c>
      <c r="AX66" s="4">
        <v>500</v>
      </c>
      <c r="AY66" s="4">
        <f t="shared" si="16"/>
        <v>71200</v>
      </c>
      <c r="AZ66" s="20">
        <f t="shared" si="17"/>
        <v>193.60888408000002</v>
      </c>
      <c r="BA66" s="4">
        <v>-4750</v>
      </c>
      <c r="BB66" s="4">
        <f t="shared" si="18"/>
        <v>66450</v>
      </c>
      <c r="BC66" s="20">
        <f t="shared" si="19"/>
        <v>180.692561055</v>
      </c>
      <c r="BD66" s="4">
        <v>0</v>
      </c>
      <c r="BE66" s="4">
        <f t="shared" si="20"/>
        <v>66450</v>
      </c>
      <c r="BF66" s="20">
        <f t="shared" si="21"/>
        <v>180.692561055</v>
      </c>
      <c r="BG66" s="4">
        <v>2600</v>
      </c>
      <c r="BH66" s="4">
        <f t="shared" si="22"/>
        <v>69050</v>
      </c>
      <c r="BI66" s="20">
        <f t="shared" si="23"/>
        <v>187.76254839500001</v>
      </c>
      <c r="BJ66" s="4">
        <v>1000</v>
      </c>
      <c r="BK66" s="4"/>
      <c r="BL66" s="4">
        <f t="shared" si="11"/>
        <v>70050</v>
      </c>
      <c r="BM66" s="20">
        <f t="shared" ref="BM66:BM72" si="214">BL66*H66/1000</f>
        <v>190.48177429500001</v>
      </c>
      <c r="BN66" s="4">
        <v>-2150</v>
      </c>
      <c r="BO66" s="4">
        <f t="shared" ref="BO66:BO72" si="215">BL66+BN66</f>
        <v>67900</v>
      </c>
      <c r="BP66" s="20">
        <f t="shared" ref="BP66:BP72" si="216">BO66*H66/1000</f>
        <v>184.63543861000002</v>
      </c>
      <c r="BQ66" s="4">
        <v>1500</v>
      </c>
      <c r="BR66" s="4">
        <f t="shared" ref="BR66:BR80" si="217">BO66+BQ66</f>
        <v>69400</v>
      </c>
      <c r="BS66" s="20">
        <f t="shared" si="24"/>
        <v>188.71427746000001</v>
      </c>
      <c r="BT66" s="4">
        <v>5500</v>
      </c>
      <c r="BU66" s="4">
        <f t="shared" ref="BU66:BU80" si="218">BR66+BT66</f>
        <v>74900</v>
      </c>
      <c r="BV66" s="20">
        <f t="shared" si="25"/>
        <v>203.67001991000001</v>
      </c>
    </row>
    <row r="67" spans="1:75" hidden="1" x14ac:dyDescent="0.25">
      <c r="A67" s="4" t="s">
        <v>39</v>
      </c>
      <c r="B67" s="4" t="s">
        <v>14</v>
      </c>
      <c r="C67" s="4" t="s">
        <v>18</v>
      </c>
      <c r="D67" s="4">
        <v>57.15</v>
      </c>
      <c r="E67" s="4"/>
      <c r="F67" s="4">
        <v>2.5</v>
      </c>
      <c r="G67" s="4" t="str">
        <f t="shared" si="0"/>
        <v>57.15--2.5</v>
      </c>
      <c r="H67" s="10">
        <v>3.368216125</v>
      </c>
      <c r="I67" s="4">
        <v>65875</v>
      </c>
      <c r="J67" s="4"/>
      <c r="K67" s="4"/>
      <c r="L67" s="4"/>
      <c r="M67" s="4">
        <v>7500</v>
      </c>
      <c r="N67" s="4">
        <f t="shared" si="158"/>
        <v>73375</v>
      </c>
      <c r="O67" s="11">
        <f t="shared" si="2"/>
        <v>247.14285817187502</v>
      </c>
      <c r="P67" s="4">
        <v>5600</v>
      </c>
      <c r="Q67" s="4">
        <f t="shared" si="3"/>
        <v>78975</v>
      </c>
      <c r="R67" s="4">
        <f t="shared" si="4"/>
        <v>266</v>
      </c>
      <c r="S67" s="4">
        <v>3900</v>
      </c>
      <c r="T67" s="4">
        <f t="shared" si="5"/>
        <v>82875</v>
      </c>
      <c r="U67" s="4">
        <f t="shared" si="6"/>
        <v>279.14</v>
      </c>
      <c r="V67" s="4">
        <v>3.37</v>
      </c>
      <c r="W67" s="4">
        <v>0.67</v>
      </c>
      <c r="X67" s="4">
        <v>0.84</v>
      </c>
      <c r="Y67" s="21">
        <v>252.01999999999998</v>
      </c>
      <c r="Z67" s="4">
        <v>6000</v>
      </c>
      <c r="AA67" s="4">
        <f t="shared" si="202"/>
        <v>88875</v>
      </c>
      <c r="AB67" s="4">
        <f t="shared" si="203"/>
        <v>299.35000000000002</v>
      </c>
      <c r="AC67" s="4">
        <v>-10200</v>
      </c>
      <c r="AD67" s="4">
        <f t="shared" si="204"/>
        <v>78675</v>
      </c>
      <c r="AE67" s="4">
        <f t="shared" si="205"/>
        <v>264.99</v>
      </c>
      <c r="AF67" s="4">
        <v>-4900</v>
      </c>
      <c r="AG67" s="4">
        <f t="shared" si="206"/>
        <v>73775</v>
      </c>
      <c r="AH67" s="4">
        <f t="shared" si="207"/>
        <v>248.49</v>
      </c>
      <c r="AI67" s="30">
        <v>3300</v>
      </c>
      <c r="AJ67" s="4">
        <f t="shared" si="208"/>
        <v>77075</v>
      </c>
      <c r="AK67" s="4">
        <f t="shared" si="209"/>
        <v>259.61</v>
      </c>
      <c r="AL67" s="30">
        <v>-3800</v>
      </c>
      <c r="AM67" s="4">
        <f t="shared" si="210"/>
        <v>73275</v>
      </c>
      <c r="AN67" s="4">
        <f t="shared" si="211"/>
        <v>246.81</v>
      </c>
      <c r="AO67" s="4">
        <f>2000</f>
        <v>2000</v>
      </c>
      <c r="AP67" s="4">
        <f t="shared" si="212"/>
        <v>75275</v>
      </c>
      <c r="AQ67" s="4">
        <f t="shared" si="213"/>
        <v>253.54</v>
      </c>
      <c r="AR67" s="4">
        <v>-1950</v>
      </c>
      <c r="AS67" s="4">
        <f t="shared" si="12"/>
        <v>73325</v>
      </c>
      <c r="AT67" s="20">
        <f t="shared" si="13"/>
        <v>246.974447365625</v>
      </c>
      <c r="AU67" s="4">
        <v>-2625</v>
      </c>
      <c r="AV67" s="4">
        <f t="shared" si="14"/>
        <v>70700</v>
      </c>
      <c r="AW67" s="20">
        <f t="shared" si="15"/>
        <v>238.1328800375</v>
      </c>
      <c r="AX67" s="4">
        <v>500</v>
      </c>
      <c r="AY67" s="4">
        <f t="shared" si="16"/>
        <v>71200</v>
      </c>
      <c r="AZ67" s="20">
        <f t="shared" si="17"/>
        <v>239.81698809999997</v>
      </c>
      <c r="BA67" s="4">
        <v>-4750</v>
      </c>
      <c r="BB67" s="4">
        <f t="shared" si="18"/>
        <v>66450</v>
      </c>
      <c r="BC67" s="20">
        <f t="shared" si="19"/>
        <v>223.81796150624999</v>
      </c>
      <c r="BD67" s="4">
        <v>0</v>
      </c>
      <c r="BE67" s="4">
        <f t="shared" si="20"/>
        <v>66450</v>
      </c>
      <c r="BF67" s="20">
        <f t="shared" si="21"/>
        <v>223.81796150624999</v>
      </c>
      <c r="BG67" s="4">
        <v>2600</v>
      </c>
      <c r="BH67" s="4">
        <f t="shared" si="22"/>
        <v>69050</v>
      </c>
      <c r="BI67" s="20">
        <f t="shared" si="23"/>
        <v>232.57532343125001</v>
      </c>
      <c r="BJ67" s="4">
        <v>1000</v>
      </c>
      <c r="BK67" s="4"/>
      <c r="BL67" s="4">
        <f t="shared" si="11"/>
        <v>70050</v>
      </c>
      <c r="BM67" s="20">
        <f t="shared" si="214"/>
        <v>235.94353955625002</v>
      </c>
      <c r="BN67" s="4">
        <v>-2150</v>
      </c>
      <c r="BO67" s="4">
        <f t="shared" si="215"/>
        <v>67900</v>
      </c>
      <c r="BP67" s="20">
        <f t="shared" si="216"/>
        <v>228.7018748875</v>
      </c>
      <c r="BQ67" s="4">
        <v>1500</v>
      </c>
      <c r="BR67" s="4">
        <f t="shared" si="217"/>
        <v>69400</v>
      </c>
      <c r="BS67" s="20">
        <f t="shared" si="24"/>
        <v>233.754199075</v>
      </c>
      <c r="BT67" s="4">
        <v>5500</v>
      </c>
      <c r="BU67" s="4">
        <f t="shared" si="218"/>
        <v>74900</v>
      </c>
      <c r="BV67" s="20">
        <f t="shared" si="25"/>
        <v>252.27938776249999</v>
      </c>
    </row>
    <row r="68" spans="1:75" hidden="1" x14ac:dyDescent="0.25">
      <c r="A68" s="4" t="s">
        <v>39</v>
      </c>
      <c r="B68" s="4" t="s">
        <v>14</v>
      </c>
      <c r="C68" s="4" t="s">
        <v>18</v>
      </c>
      <c r="D68" s="4">
        <v>70</v>
      </c>
      <c r="E68" s="4"/>
      <c r="F68" s="4">
        <v>3.2</v>
      </c>
      <c r="G68" s="4" t="str">
        <f t="shared" ref="G68:G86" si="219">_xlfn.CONCAT(D68,"-",E68,"-",F68)</f>
        <v>70--3.2</v>
      </c>
      <c r="H68" s="10">
        <v>5.2698252800000001</v>
      </c>
      <c r="I68" s="4">
        <v>65875</v>
      </c>
      <c r="J68" s="4"/>
      <c r="K68" s="4"/>
      <c r="L68" s="4"/>
      <c r="M68" s="4">
        <v>7500</v>
      </c>
      <c r="N68" s="4">
        <f t="shared" si="158"/>
        <v>73375</v>
      </c>
      <c r="O68" s="11">
        <f t="shared" ref="O68:O100" si="220">N68*H68/1000</f>
        <v>386.67342992000005</v>
      </c>
      <c r="P68" s="4">
        <v>5600</v>
      </c>
      <c r="Q68" s="4">
        <f t="shared" ref="Q68:Q100" si="221">N68+P68</f>
        <v>78975</v>
      </c>
      <c r="R68" s="4">
        <f t="shared" ref="R68:R100" si="222" xml:space="preserve"> ROUND(Q68*H68/1000,2)</f>
        <v>416.18</v>
      </c>
      <c r="S68" s="4">
        <v>3900</v>
      </c>
      <c r="T68" s="4">
        <f t="shared" ref="T68:T100" si="223">Q68+S68</f>
        <v>82875</v>
      </c>
      <c r="U68" s="4">
        <f t="shared" ref="U68:U100" si="224">ROUND(T68*H68/1000,2)</f>
        <v>436.74</v>
      </c>
      <c r="V68" s="4">
        <v>5.27</v>
      </c>
      <c r="W68" s="4">
        <v>1.05</v>
      </c>
      <c r="X68" s="4"/>
      <c r="Y68" s="21">
        <v>392.99</v>
      </c>
      <c r="Z68" s="4">
        <v>6000</v>
      </c>
      <c r="AA68" s="4">
        <f t="shared" si="202"/>
        <v>88875</v>
      </c>
      <c r="AB68" s="4">
        <f t="shared" si="203"/>
        <v>468.36</v>
      </c>
      <c r="AC68" s="4">
        <v>-10200</v>
      </c>
      <c r="AD68" s="4">
        <f t="shared" si="204"/>
        <v>78675</v>
      </c>
      <c r="AE68" s="4">
        <f t="shared" si="205"/>
        <v>414.6</v>
      </c>
      <c r="AF68" s="4">
        <v>-4900</v>
      </c>
      <c r="AG68" s="4">
        <f t="shared" si="206"/>
        <v>73775</v>
      </c>
      <c r="AH68" s="4">
        <f t="shared" si="207"/>
        <v>388.78</v>
      </c>
      <c r="AI68" s="30">
        <v>3300</v>
      </c>
      <c r="AJ68" s="4">
        <f t="shared" si="208"/>
        <v>77075</v>
      </c>
      <c r="AK68" s="4">
        <f t="shared" si="209"/>
        <v>406.17</v>
      </c>
      <c r="AL68" s="30">
        <v>-3800</v>
      </c>
      <c r="AM68" s="4">
        <f t="shared" si="210"/>
        <v>73275</v>
      </c>
      <c r="AN68" s="4">
        <f t="shared" si="211"/>
        <v>386.15</v>
      </c>
      <c r="AO68" s="4">
        <f>2000</f>
        <v>2000</v>
      </c>
      <c r="AP68" s="4">
        <f t="shared" si="212"/>
        <v>75275</v>
      </c>
      <c r="AQ68" s="4">
        <f t="shared" si="213"/>
        <v>396.69</v>
      </c>
      <c r="AR68" s="4">
        <v>-1950</v>
      </c>
      <c r="AS68" s="4">
        <f t="shared" si="12"/>
        <v>73325</v>
      </c>
      <c r="AT68" s="20">
        <f t="shared" si="13"/>
        <v>386.40993865600001</v>
      </c>
      <c r="AU68" s="4">
        <v>-2625</v>
      </c>
      <c r="AV68" s="4">
        <f t="shared" si="14"/>
        <v>70700</v>
      </c>
      <c r="AW68" s="20">
        <f t="shared" si="15"/>
        <v>372.57664729599998</v>
      </c>
      <c r="AX68" s="4">
        <v>500</v>
      </c>
      <c r="AY68" s="4">
        <f t="shared" si="16"/>
        <v>71200</v>
      </c>
      <c r="AZ68" s="20">
        <f t="shared" si="17"/>
        <v>375.21155993599996</v>
      </c>
      <c r="BA68" s="4">
        <v>-4750</v>
      </c>
      <c r="BB68" s="4">
        <f t="shared" si="18"/>
        <v>66450</v>
      </c>
      <c r="BC68" s="20">
        <f t="shared" si="19"/>
        <v>350.17988985600005</v>
      </c>
      <c r="BD68" s="4">
        <v>0</v>
      </c>
      <c r="BE68" s="4">
        <f t="shared" si="20"/>
        <v>66450</v>
      </c>
      <c r="BF68" s="20">
        <f t="shared" si="21"/>
        <v>350.17988985600005</v>
      </c>
      <c r="BG68" s="4">
        <v>2600</v>
      </c>
      <c r="BH68" s="4">
        <f t="shared" si="22"/>
        <v>69050</v>
      </c>
      <c r="BI68" s="20">
        <f t="shared" si="23"/>
        <v>363.88143558400003</v>
      </c>
      <c r="BJ68" s="4">
        <v>1000</v>
      </c>
      <c r="BK68" s="4"/>
      <c r="BL68" s="4">
        <f t="shared" ref="BL68:BL100" si="225">BH68+BJ68+BK68</f>
        <v>70050</v>
      </c>
      <c r="BM68" s="20">
        <f t="shared" si="214"/>
        <v>369.15126086399999</v>
      </c>
      <c r="BN68" s="4">
        <v>-2150</v>
      </c>
      <c r="BO68" s="4">
        <f t="shared" si="215"/>
        <v>67900</v>
      </c>
      <c r="BP68" s="20">
        <f t="shared" si="216"/>
        <v>357.82113651200001</v>
      </c>
      <c r="BQ68" s="4">
        <v>1500</v>
      </c>
      <c r="BR68" s="4">
        <f t="shared" si="217"/>
        <v>69400</v>
      </c>
      <c r="BS68" s="20">
        <f t="shared" si="24"/>
        <v>365.72587443199996</v>
      </c>
      <c r="BT68" s="4">
        <v>5500</v>
      </c>
      <c r="BU68" s="4">
        <f t="shared" si="218"/>
        <v>74900</v>
      </c>
      <c r="BV68" s="20">
        <f t="shared" si="25"/>
        <v>394.70991347199998</v>
      </c>
    </row>
    <row r="69" spans="1:75" hidden="1" x14ac:dyDescent="0.25">
      <c r="A69" s="4" t="s">
        <v>39</v>
      </c>
      <c r="B69" s="4" t="s">
        <v>14</v>
      </c>
      <c r="C69" s="4" t="s">
        <v>15</v>
      </c>
      <c r="D69" s="4">
        <v>22.2</v>
      </c>
      <c r="E69" s="4"/>
      <c r="F69" s="4">
        <v>1.2</v>
      </c>
      <c r="G69" s="4" t="str">
        <f t="shared" si="219"/>
        <v>22.2--1.2</v>
      </c>
      <c r="H69" s="10">
        <v>0.62125560000000002</v>
      </c>
      <c r="I69" s="4">
        <v>69405</v>
      </c>
      <c r="J69" s="4"/>
      <c r="K69" s="4"/>
      <c r="L69" s="4"/>
      <c r="M69" s="4">
        <v>9800</v>
      </c>
      <c r="N69" s="4">
        <f t="shared" si="158"/>
        <v>79205</v>
      </c>
      <c r="O69" s="11">
        <f t="shared" si="220"/>
        <v>49.206549797999998</v>
      </c>
      <c r="P69" s="4">
        <v>6000</v>
      </c>
      <c r="Q69" s="4">
        <f t="shared" si="221"/>
        <v>85205</v>
      </c>
      <c r="R69" s="4">
        <f t="shared" si="222"/>
        <v>52.93</v>
      </c>
      <c r="S69" s="4">
        <v>4000</v>
      </c>
      <c r="T69" s="4">
        <f t="shared" si="223"/>
        <v>89205</v>
      </c>
      <c r="U69" s="4">
        <f t="shared" si="224"/>
        <v>55.42</v>
      </c>
      <c r="V69" s="4"/>
      <c r="W69" s="4"/>
      <c r="X69" s="4"/>
      <c r="Y69" s="4">
        <v>49.21</v>
      </c>
      <c r="Z69" s="4">
        <v>5700</v>
      </c>
      <c r="AA69" s="22">
        <f t="shared" ref="AA69:AA72" si="226">T69+Z69</f>
        <v>94905</v>
      </c>
      <c r="AB69" s="23">
        <f t="shared" ref="AB69:AB72" si="227">$H69*AA69/1000</f>
        <v>58.960262718000003</v>
      </c>
      <c r="AC69" s="4">
        <v>-11650</v>
      </c>
      <c r="AD69" s="22">
        <f t="shared" si="204"/>
        <v>83255</v>
      </c>
      <c r="AE69" s="22">
        <f t="shared" si="205"/>
        <v>51.72</v>
      </c>
      <c r="AF69" s="4">
        <v>-4200</v>
      </c>
      <c r="AG69" s="4">
        <f t="shared" si="206"/>
        <v>79055</v>
      </c>
      <c r="AH69" s="4">
        <f t="shared" si="207"/>
        <v>49.11</v>
      </c>
      <c r="AI69" s="30">
        <v>1950</v>
      </c>
      <c r="AJ69" s="4">
        <f t="shared" ref="AJ69:AJ77" si="228">AG69+AI69</f>
        <v>81005</v>
      </c>
      <c r="AK69" s="4">
        <f t="shared" ref="AK69:AK77" si="229">ROUND(AJ69*H69/1000,2)</f>
        <v>50.32</v>
      </c>
      <c r="AL69" s="30">
        <v>-4825</v>
      </c>
      <c r="AM69" s="4">
        <f t="shared" ref="AM69:AM77" si="230">AJ69+AL69</f>
        <v>76180</v>
      </c>
      <c r="AN69" s="4">
        <f t="shared" ref="AN69:AN77" si="231">ROUND(AM69*H69/1000,2)</f>
        <v>47.33</v>
      </c>
      <c r="AO69" s="4">
        <f>1920</f>
        <v>1920</v>
      </c>
      <c r="AP69" s="4">
        <f t="shared" ref="AP69:AP77" si="232">AM69+AO69</f>
        <v>78100</v>
      </c>
      <c r="AQ69" s="4">
        <f t="shared" ref="AQ69:AQ77" si="233">ROUND(AP69*H69/1000,2)</f>
        <v>48.52</v>
      </c>
      <c r="AR69" s="4">
        <v>-1200</v>
      </c>
      <c r="AS69" s="4">
        <f t="shared" ref="AS69:AS100" si="234">AP69+AR69</f>
        <v>76900</v>
      </c>
      <c r="AT69" s="20">
        <f t="shared" ref="AT69:AT100" si="235">AS69*H69/1000</f>
        <v>47.774555639999996</v>
      </c>
      <c r="AU69" s="4">
        <v>-2125</v>
      </c>
      <c r="AV69" s="4">
        <f t="shared" ref="AV69:AV100" si="236">AS69+AU69</f>
        <v>74775</v>
      </c>
      <c r="AW69" s="20">
        <f t="shared" ref="AW69:AW100" si="237">AV69*H69/1000</f>
        <v>46.454387490000002</v>
      </c>
      <c r="AX69" s="4">
        <v>200</v>
      </c>
      <c r="AY69" s="4">
        <f t="shared" ref="AY69:AY100" si="238">AV69+AX69</f>
        <v>74975</v>
      </c>
      <c r="AZ69" s="20">
        <f t="shared" ref="AZ69:AZ100" si="239">AY69*H69/1000</f>
        <v>46.578638609999999</v>
      </c>
      <c r="BA69" s="4">
        <v>-4150</v>
      </c>
      <c r="BB69" s="4">
        <f t="shared" ref="BB69:BB100" si="240">AY69+BA69</f>
        <v>70825</v>
      </c>
      <c r="BC69" s="20">
        <f t="shared" ref="BC69:BC100" si="241">BB69*H69/1000</f>
        <v>44.000427870000003</v>
      </c>
      <c r="BD69" s="4">
        <v>0</v>
      </c>
      <c r="BE69" s="4">
        <f t="shared" ref="BE69:BE100" si="242">BB69+BD69</f>
        <v>70825</v>
      </c>
      <c r="BF69" s="20">
        <f t="shared" ref="BF69:BF100" si="243">BE69*H69/1000</f>
        <v>44.000427870000003</v>
      </c>
      <c r="BG69" s="4">
        <v>2600</v>
      </c>
      <c r="BH69" s="4">
        <f t="shared" ref="BH69:BH100" si="244">BE69+BG69</f>
        <v>73425</v>
      </c>
      <c r="BI69" s="20">
        <f t="shared" ref="BI69:BI100" si="245">BH69*H69/1000</f>
        <v>45.615692430000003</v>
      </c>
      <c r="BJ69" s="4">
        <v>900</v>
      </c>
      <c r="BK69" s="4"/>
      <c r="BL69" s="4">
        <f t="shared" si="225"/>
        <v>74325</v>
      </c>
      <c r="BM69" s="20">
        <f t="shared" si="214"/>
        <v>46.174822470000002</v>
      </c>
      <c r="BN69" s="4">
        <v>-2100</v>
      </c>
      <c r="BO69" s="4">
        <f t="shared" si="215"/>
        <v>72225</v>
      </c>
      <c r="BP69" s="20">
        <f t="shared" si="216"/>
        <v>44.870185710000001</v>
      </c>
      <c r="BQ69" s="4">
        <v>1450</v>
      </c>
      <c r="BR69" s="4">
        <f t="shared" si="217"/>
        <v>73675</v>
      </c>
      <c r="BS69" s="20">
        <f t="shared" ref="BS69:BS100" si="246">BR69*H69/1000</f>
        <v>45.771006330000006</v>
      </c>
      <c r="BT69" s="4">
        <v>5150</v>
      </c>
      <c r="BU69" s="4">
        <f t="shared" si="218"/>
        <v>78825</v>
      </c>
      <c r="BV69" s="20">
        <f t="shared" ref="BV69:BV100" si="247">BU69*H69/1000</f>
        <v>48.970472669999999</v>
      </c>
      <c r="BW69">
        <f>BU69-BU73</f>
        <v>3925</v>
      </c>
    </row>
    <row r="70" spans="1:75" hidden="1" x14ac:dyDescent="0.25">
      <c r="A70" s="4" t="s">
        <v>39</v>
      </c>
      <c r="B70" s="4" t="s">
        <v>14</v>
      </c>
      <c r="C70" s="4" t="s">
        <v>15</v>
      </c>
      <c r="D70" s="4">
        <v>28.6</v>
      </c>
      <c r="E70" s="4"/>
      <c r="F70" s="4">
        <v>1.2</v>
      </c>
      <c r="G70" s="4" t="str">
        <f t="shared" si="219"/>
        <v>28.6--1.2</v>
      </c>
      <c r="H70" s="10">
        <v>0.81059064000000014</v>
      </c>
      <c r="I70" s="4">
        <v>69405</v>
      </c>
      <c r="J70" s="4"/>
      <c r="K70" s="4"/>
      <c r="L70" s="4"/>
      <c r="M70" s="4">
        <v>9800</v>
      </c>
      <c r="N70" s="4">
        <f t="shared" si="158"/>
        <v>79205</v>
      </c>
      <c r="O70" s="11">
        <f t="shared" si="220"/>
        <v>64.202831641200007</v>
      </c>
      <c r="P70" s="4">
        <v>6000</v>
      </c>
      <c r="Q70" s="4">
        <f t="shared" si="221"/>
        <v>85205</v>
      </c>
      <c r="R70" s="4">
        <f t="shared" si="222"/>
        <v>69.069999999999993</v>
      </c>
      <c r="S70" s="4">
        <v>4000</v>
      </c>
      <c r="T70" s="4">
        <f t="shared" si="223"/>
        <v>89205</v>
      </c>
      <c r="U70" s="4">
        <f t="shared" si="224"/>
        <v>72.31</v>
      </c>
      <c r="V70" s="4"/>
      <c r="W70" s="4"/>
      <c r="X70" s="4"/>
      <c r="Y70" s="4">
        <v>64.2</v>
      </c>
      <c r="Z70" s="4">
        <v>5700</v>
      </c>
      <c r="AA70" s="4">
        <f t="shared" si="226"/>
        <v>94905</v>
      </c>
      <c r="AB70" s="20">
        <f t="shared" si="227"/>
        <v>76.929104689200017</v>
      </c>
      <c r="AC70" s="4">
        <v>-11650</v>
      </c>
      <c r="AD70" s="4">
        <f t="shared" si="204"/>
        <v>83255</v>
      </c>
      <c r="AE70" s="4">
        <f t="shared" si="205"/>
        <v>67.489999999999995</v>
      </c>
      <c r="AF70" s="4">
        <v>-4200</v>
      </c>
      <c r="AG70" s="4">
        <f t="shared" si="206"/>
        <v>79055</v>
      </c>
      <c r="AH70" s="4">
        <f t="shared" si="207"/>
        <v>64.08</v>
      </c>
      <c r="AI70" s="30">
        <v>1950</v>
      </c>
      <c r="AJ70" s="4">
        <f t="shared" si="228"/>
        <v>81005</v>
      </c>
      <c r="AK70" s="4">
        <f t="shared" si="229"/>
        <v>65.66</v>
      </c>
      <c r="AL70" s="30">
        <v>-4825</v>
      </c>
      <c r="AM70" s="4">
        <f t="shared" si="230"/>
        <v>76180</v>
      </c>
      <c r="AN70" s="4">
        <f t="shared" si="231"/>
        <v>61.75</v>
      </c>
      <c r="AO70" s="4">
        <f>1920</f>
        <v>1920</v>
      </c>
      <c r="AP70" s="4">
        <f t="shared" si="232"/>
        <v>78100</v>
      </c>
      <c r="AQ70" s="4">
        <f t="shared" si="233"/>
        <v>63.31</v>
      </c>
      <c r="AR70" s="4">
        <v>-1200</v>
      </c>
      <c r="AS70" s="4">
        <f t="shared" si="234"/>
        <v>76900</v>
      </c>
      <c r="AT70" s="20">
        <f t="shared" si="235"/>
        <v>62.334420216000012</v>
      </c>
      <c r="AU70" s="4">
        <v>-2125</v>
      </c>
      <c r="AV70" s="4">
        <f t="shared" si="236"/>
        <v>74775</v>
      </c>
      <c r="AW70" s="20">
        <f t="shared" si="237"/>
        <v>60.611915106000005</v>
      </c>
      <c r="AX70" s="4">
        <v>200</v>
      </c>
      <c r="AY70" s="4">
        <f t="shared" si="238"/>
        <v>74975</v>
      </c>
      <c r="AZ70" s="20">
        <f t="shared" si="239"/>
        <v>60.774033234000008</v>
      </c>
      <c r="BA70" s="4">
        <v>-4150</v>
      </c>
      <c r="BB70" s="4">
        <f t="shared" si="240"/>
        <v>70825</v>
      </c>
      <c r="BC70" s="20">
        <f t="shared" si="241"/>
        <v>57.410082078000009</v>
      </c>
      <c r="BD70" s="4">
        <v>0</v>
      </c>
      <c r="BE70" s="4">
        <f t="shared" si="242"/>
        <v>70825</v>
      </c>
      <c r="BF70" s="20">
        <f t="shared" si="243"/>
        <v>57.410082078000009</v>
      </c>
      <c r="BG70" s="4">
        <v>2600</v>
      </c>
      <c r="BH70" s="4">
        <f t="shared" si="244"/>
        <v>73425</v>
      </c>
      <c r="BI70" s="20">
        <f t="shared" si="245"/>
        <v>59.517617742000013</v>
      </c>
      <c r="BJ70" s="4">
        <v>900</v>
      </c>
      <c r="BK70" s="4"/>
      <c r="BL70" s="4">
        <f t="shared" si="225"/>
        <v>74325</v>
      </c>
      <c r="BM70" s="20">
        <f t="shared" si="214"/>
        <v>60.247149318000012</v>
      </c>
      <c r="BN70" s="4">
        <v>-2100</v>
      </c>
      <c r="BO70" s="4">
        <f t="shared" si="215"/>
        <v>72225</v>
      </c>
      <c r="BP70" s="20">
        <f t="shared" si="216"/>
        <v>58.544908974000016</v>
      </c>
      <c r="BQ70" s="4">
        <v>1450</v>
      </c>
      <c r="BR70" s="4">
        <f t="shared" si="217"/>
        <v>73675</v>
      </c>
      <c r="BS70" s="20">
        <f t="shared" si="246"/>
        <v>59.72026540200001</v>
      </c>
      <c r="BT70" s="4">
        <v>5150</v>
      </c>
      <c r="BU70" s="4">
        <f t="shared" si="218"/>
        <v>78825</v>
      </c>
      <c r="BV70" s="20">
        <f t="shared" si="247"/>
        <v>63.894807198000009</v>
      </c>
    </row>
    <row r="71" spans="1:75" hidden="1" x14ac:dyDescent="0.25">
      <c r="A71" s="4" t="s">
        <v>39</v>
      </c>
      <c r="B71" s="4" t="s">
        <v>14</v>
      </c>
      <c r="C71" s="4" t="s">
        <v>15</v>
      </c>
      <c r="D71" s="4">
        <v>34.9</v>
      </c>
      <c r="E71" s="4"/>
      <c r="F71" s="4">
        <v>1.2</v>
      </c>
      <c r="G71" s="4" t="str">
        <f t="shared" si="219"/>
        <v>34.9--1.2</v>
      </c>
      <c r="H71" s="10">
        <v>0.99696731999999977</v>
      </c>
      <c r="I71" s="4">
        <v>69405</v>
      </c>
      <c r="J71" s="4"/>
      <c r="K71" s="4"/>
      <c r="L71" s="4"/>
      <c r="M71" s="4">
        <v>9800</v>
      </c>
      <c r="N71" s="4">
        <f t="shared" si="158"/>
        <v>79205</v>
      </c>
      <c r="O71" s="11">
        <f t="shared" si="220"/>
        <v>78.96479658059998</v>
      </c>
      <c r="P71" s="4">
        <v>6000</v>
      </c>
      <c r="Q71" s="4">
        <f t="shared" si="221"/>
        <v>85205</v>
      </c>
      <c r="R71" s="4">
        <f t="shared" si="222"/>
        <v>84.95</v>
      </c>
      <c r="S71" s="4">
        <v>4000</v>
      </c>
      <c r="T71" s="4">
        <f t="shared" si="223"/>
        <v>89205</v>
      </c>
      <c r="U71" s="4">
        <f t="shared" si="224"/>
        <v>88.93</v>
      </c>
      <c r="V71" s="4"/>
      <c r="W71" s="4"/>
      <c r="X71" s="4"/>
      <c r="Y71" s="4">
        <v>78.959999999999994</v>
      </c>
      <c r="Z71" s="4">
        <v>5700</v>
      </c>
      <c r="AA71" s="4">
        <f t="shared" si="226"/>
        <v>94905</v>
      </c>
      <c r="AB71" s="20">
        <f t="shared" si="227"/>
        <v>94.617183504599979</v>
      </c>
      <c r="AC71" s="4">
        <v>-11650</v>
      </c>
      <c r="AD71" s="4">
        <f t="shared" si="204"/>
        <v>83255</v>
      </c>
      <c r="AE71" s="4">
        <f t="shared" si="205"/>
        <v>83</v>
      </c>
      <c r="AF71" s="4">
        <v>-4200</v>
      </c>
      <c r="AG71" s="4">
        <f t="shared" si="206"/>
        <v>79055</v>
      </c>
      <c r="AH71" s="4">
        <f t="shared" si="207"/>
        <v>78.819999999999993</v>
      </c>
      <c r="AI71" s="30">
        <v>1950</v>
      </c>
      <c r="AJ71" s="4">
        <f t="shared" si="228"/>
        <v>81005</v>
      </c>
      <c r="AK71" s="4">
        <f t="shared" si="229"/>
        <v>80.760000000000005</v>
      </c>
      <c r="AL71" s="30">
        <v>-4825</v>
      </c>
      <c r="AM71" s="4">
        <f t="shared" si="230"/>
        <v>76180</v>
      </c>
      <c r="AN71" s="4">
        <f t="shared" si="231"/>
        <v>75.95</v>
      </c>
      <c r="AO71" s="4">
        <f>1920</f>
        <v>1920</v>
      </c>
      <c r="AP71" s="4">
        <f t="shared" si="232"/>
        <v>78100</v>
      </c>
      <c r="AQ71" s="4">
        <f t="shared" si="233"/>
        <v>77.86</v>
      </c>
      <c r="AR71" s="4">
        <v>-1200</v>
      </c>
      <c r="AS71" s="4">
        <f t="shared" si="234"/>
        <v>76900</v>
      </c>
      <c r="AT71" s="20">
        <f t="shared" si="235"/>
        <v>76.666786907999978</v>
      </c>
      <c r="AU71" s="4">
        <v>-2125</v>
      </c>
      <c r="AV71" s="4">
        <f t="shared" si="236"/>
        <v>74775</v>
      </c>
      <c r="AW71" s="20">
        <f t="shared" si="237"/>
        <v>74.548231352999977</v>
      </c>
      <c r="AX71" s="4">
        <v>200</v>
      </c>
      <c r="AY71" s="4">
        <f t="shared" si="238"/>
        <v>74975</v>
      </c>
      <c r="AZ71" s="20">
        <f t="shared" si="239"/>
        <v>74.747624816999988</v>
      </c>
      <c r="BA71" s="4">
        <v>-4150</v>
      </c>
      <c r="BB71" s="4">
        <f t="shared" si="240"/>
        <v>70825</v>
      </c>
      <c r="BC71" s="20">
        <f t="shared" si="241"/>
        <v>70.610210438999985</v>
      </c>
      <c r="BD71" s="4">
        <v>0</v>
      </c>
      <c r="BE71" s="4">
        <f t="shared" si="242"/>
        <v>70825</v>
      </c>
      <c r="BF71" s="20">
        <f t="shared" si="243"/>
        <v>70.610210438999985</v>
      </c>
      <c r="BG71" s="4">
        <v>2600</v>
      </c>
      <c r="BH71" s="4">
        <f t="shared" si="244"/>
        <v>73425</v>
      </c>
      <c r="BI71" s="20">
        <f t="shared" si="245"/>
        <v>73.202325470999995</v>
      </c>
      <c r="BJ71" s="4">
        <v>900</v>
      </c>
      <c r="BK71" s="4"/>
      <c r="BL71" s="4">
        <f t="shared" si="225"/>
        <v>74325</v>
      </c>
      <c r="BM71" s="20">
        <f t="shared" si="214"/>
        <v>74.099596058999992</v>
      </c>
      <c r="BN71" s="4">
        <v>-2100</v>
      </c>
      <c r="BO71" s="4">
        <f t="shared" si="215"/>
        <v>72225</v>
      </c>
      <c r="BP71" s="20">
        <f t="shared" si="216"/>
        <v>72.005964686999988</v>
      </c>
      <c r="BQ71" s="4">
        <v>1450</v>
      </c>
      <c r="BR71" s="4">
        <f t="shared" si="217"/>
        <v>73675</v>
      </c>
      <c r="BS71" s="20">
        <f t="shared" si="246"/>
        <v>73.451567300999983</v>
      </c>
      <c r="BT71" s="4">
        <v>5150</v>
      </c>
      <c r="BU71" s="4">
        <f t="shared" si="218"/>
        <v>78825</v>
      </c>
      <c r="BV71" s="20">
        <f t="shared" si="247"/>
        <v>78.585948998999982</v>
      </c>
    </row>
    <row r="72" spans="1:75" hidden="1" x14ac:dyDescent="0.25">
      <c r="A72" s="4" t="s">
        <v>39</v>
      </c>
      <c r="B72" s="4" t="s">
        <v>14</v>
      </c>
      <c r="C72" s="4" t="s">
        <v>15</v>
      </c>
      <c r="D72" s="4">
        <v>22.2</v>
      </c>
      <c r="E72" s="4"/>
      <c r="F72" s="4">
        <v>1.6</v>
      </c>
      <c r="G72" s="4" t="str">
        <f t="shared" si="219"/>
        <v>22.2--1.6</v>
      </c>
      <c r="H72" s="10">
        <v>0.8125628800000001</v>
      </c>
      <c r="I72" s="4">
        <v>69405</v>
      </c>
      <c r="J72" s="4"/>
      <c r="K72" s="4"/>
      <c r="L72" s="4"/>
      <c r="M72" s="4">
        <v>9800</v>
      </c>
      <c r="N72" s="4">
        <f t="shared" si="158"/>
        <v>79205</v>
      </c>
      <c r="O72" s="11">
        <f t="shared" si="220"/>
        <v>64.359042910400007</v>
      </c>
      <c r="P72" s="4">
        <v>6000</v>
      </c>
      <c r="Q72" s="4">
        <f t="shared" si="221"/>
        <v>85205</v>
      </c>
      <c r="R72" s="4">
        <f t="shared" si="222"/>
        <v>69.23</v>
      </c>
      <c r="S72" s="4">
        <v>4000</v>
      </c>
      <c r="T72" s="4">
        <f t="shared" si="223"/>
        <v>89205</v>
      </c>
      <c r="U72" s="4">
        <f t="shared" si="224"/>
        <v>72.48</v>
      </c>
      <c r="V72" s="4"/>
      <c r="W72" s="4"/>
      <c r="X72" s="4"/>
      <c r="Y72" s="4">
        <v>64.36</v>
      </c>
      <c r="Z72" s="4">
        <v>5700</v>
      </c>
      <c r="AA72" s="4">
        <f t="shared" si="226"/>
        <v>94905</v>
      </c>
      <c r="AB72" s="20">
        <f t="shared" si="227"/>
        <v>77.116280126400014</v>
      </c>
      <c r="AC72" s="4">
        <v>-11650</v>
      </c>
      <c r="AD72" s="4">
        <f t="shared" si="204"/>
        <v>83255</v>
      </c>
      <c r="AE72" s="4">
        <f t="shared" si="205"/>
        <v>67.650000000000006</v>
      </c>
      <c r="AF72" s="4">
        <v>-4200</v>
      </c>
      <c r="AG72" s="4">
        <f t="shared" si="206"/>
        <v>79055</v>
      </c>
      <c r="AH72" s="4">
        <f t="shared" si="207"/>
        <v>64.239999999999995</v>
      </c>
      <c r="AI72" s="30">
        <v>1950</v>
      </c>
      <c r="AJ72" s="4">
        <f t="shared" si="228"/>
        <v>81005</v>
      </c>
      <c r="AK72" s="4">
        <f t="shared" si="229"/>
        <v>65.819999999999993</v>
      </c>
      <c r="AL72" s="30">
        <v>-4825</v>
      </c>
      <c r="AM72" s="4">
        <f t="shared" si="230"/>
        <v>76180</v>
      </c>
      <c r="AN72" s="4">
        <f t="shared" si="231"/>
        <v>61.9</v>
      </c>
      <c r="AO72" s="4">
        <f>1920</f>
        <v>1920</v>
      </c>
      <c r="AP72" s="4">
        <f t="shared" si="232"/>
        <v>78100</v>
      </c>
      <c r="AQ72" s="4">
        <f t="shared" si="233"/>
        <v>63.46</v>
      </c>
      <c r="AR72" s="4">
        <v>-1200</v>
      </c>
      <c r="AS72" s="4">
        <f t="shared" si="234"/>
        <v>76900</v>
      </c>
      <c r="AT72" s="20">
        <f t="shared" si="235"/>
        <v>62.486085472000006</v>
      </c>
      <c r="AU72" s="4">
        <v>-2125</v>
      </c>
      <c r="AV72" s="4">
        <f t="shared" si="236"/>
        <v>74775</v>
      </c>
      <c r="AW72" s="20">
        <f t="shared" si="237"/>
        <v>60.759389352000007</v>
      </c>
      <c r="AX72" s="4">
        <v>200</v>
      </c>
      <c r="AY72" s="4">
        <f t="shared" si="238"/>
        <v>74975</v>
      </c>
      <c r="AZ72" s="20">
        <f t="shared" si="239"/>
        <v>60.921901928000004</v>
      </c>
      <c r="BA72" s="4">
        <v>-4150</v>
      </c>
      <c r="BB72" s="4">
        <f t="shared" si="240"/>
        <v>70825</v>
      </c>
      <c r="BC72" s="20">
        <f t="shared" si="241"/>
        <v>57.54976597600001</v>
      </c>
      <c r="BD72" s="4">
        <v>0</v>
      </c>
      <c r="BE72" s="4">
        <f t="shared" si="242"/>
        <v>70825</v>
      </c>
      <c r="BF72" s="20">
        <f t="shared" si="243"/>
        <v>57.54976597600001</v>
      </c>
      <c r="BG72" s="4">
        <v>2600</v>
      </c>
      <c r="BH72" s="4">
        <f t="shared" si="244"/>
        <v>73425</v>
      </c>
      <c r="BI72" s="20">
        <f t="shared" si="245"/>
        <v>59.662429464000006</v>
      </c>
      <c r="BJ72" s="4">
        <v>900</v>
      </c>
      <c r="BK72" s="4"/>
      <c r="BL72" s="4">
        <f t="shared" si="225"/>
        <v>74325</v>
      </c>
      <c r="BM72" s="20">
        <f t="shared" si="214"/>
        <v>60.393736056000009</v>
      </c>
      <c r="BN72" s="4">
        <v>-2100</v>
      </c>
      <c r="BO72" s="4">
        <f t="shared" si="215"/>
        <v>72225</v>
      </c>
      <c r="BP72" s="20">
        <f t="shared" si="216"/>
        <v>58.687354008000007</v>
      </c>
      <c r="BQ72" s="4">
        <v>1450</v>
      </c>
      <c r="BR72" s="4">
        <f t="shared" si="217"/>
        <v>73675</v>
      </c>
      <c r="BS72" s="20">
        <f t="shared" si="246"/>
        <v>59.865570184000006</v>
      </c>
      <c r="BT72" s="4">
        <v>5150</v>
      </c>
      <c r="BU72" s="4">
        <f t="shared" si="218"/>
        <v>78825</v>
      </c>
      <c r="BV72" s="20">
        <f t="shared" si="247"/>
        <v>64.050269016000001</v>
      </c>
      <c r="BW72">
        <f>BU72-BU73</f>
        <v>3925</v>
      </c>
    </row>
    <row r="73" spans="1:75" hidden="1" x14ac:dyDescent="0.25">
      <c r="A73" s="4" t="s">
        <v>39</v>
      </c>
      <c r="B73" s="4" t="s">
        <v>14</v>
      </c>
      <c r="C73" s="4" t="s">
        <v>18</v>
      </c>
      <c r="D73" s="4">
        <v>22.2</v>
      </c>
      <c r="E73" s="4"/>
      <c r="F73" s="4">
        <v>2</v>
      </c>
      <c r="G73" s="4" t="str">
        <f t="shared" si="219"/>
        <v>22.2--2</v>
      </c>
      <c r="H73" s="10">
        <v>0.99598120000000001</v>
      </c>
      <c r="I73" s="4">
        <v>65875</v>
      </c>
      <c r="J73" s="4"/>
      <c r="K73" s="4"/>
      <c r="L73" s="4"/>
      <c r="M73" s="4">
        <v>7500</v>
      </c>
      <c r="N73" s="4">
        <f t="shared" si="158"/>
        <v>73375</v>
      </c>
      <c r="O73" s="11">
        <f t="shared" si="220"/>
        <v>73.080120550000004</v>
      </c>
      <c r="P73" s="4">
        <v>5600</v>
      </c>
      <c r="Q73" s="4">
        <f t="shared" si="221"/>
        <v>78975</v>
      </c>
      <c r="R73" s="4">
        <f t="shared" si="222"/>
        <v>78.66</v>
      </c>
      <c r="S73" s="4">
        <v>3900</v>
      </c>
      <c r="T73" s="4">
        <f t="shared" si="223"/>
        <v>82875</v>
      </c>
      <c r="U73" s="4">
        <f t="shared" si="224"/>
        <v>82.54</v>
      </c>
      <c r="V73" s="4"/>
      <c r="W73" s="4"/>
      <c r="X73" s="4"/>
      <c r="Y73" s="21">
        <v>73.08</v>
      </c>
      <c r="Z73" s="4">
        <v>6000</v>
      </c>
      <c r="AA73" s="4">
        <f t="shared" ref="AA73:AA77" si="248">Z73+T73</f>
        <v>88875</v>
      </c>
      <c r="AB73" s="4">
        <f t="shared" ref="AB73:AB77" si="249">ROUND(AA73*H73/1000,2)</f>
        <v>88.52</v>
      </c>
      <c r="AC73" s="4">
        <v>-10200</v>
      </c>
      <c r="AD73" s="4">
        <f t="shared" si="204"/>
        <v>78675</v>
      </c>
      <c r="AE73" s="4">
        <f t="shared" si="205"/>
        <v>78.36</v>
      </c>
      <c r="AF73" s="4">
        <v>-4900</v>
      </c>
      <c r="AG73" s="4">
        <f t="shared" si="206"/>
        <v>73775</v>
      </c>
      <c r="AH73" s="4">
        <f t="shared" si="207"/>
        <v>73.48</v>
      </c>
      <c r="AI73" s="30">
        <v>3300</v>
      </c>
      <c r="AJ73" s="4">
        <f t="shared" si="228"/>
        <v>77075</v>
      </c>
      <c r="AK73" s="4">
        <f t="shared" si="229"/>
        <v>76.77</v>
      </c>
      <c r="AL73" s="30">
        <v>-3800</v>
      </c>
      <c r="AM73" s="4">
        <f t="shared" si="230"/>
        <v>73275</v>
      </c>
      <c r="AN73" s="4">
        <f t="shared" si="231"/>
        <v>72.98</v>
      </c>
      <c r="AO73" s="4">
        <f>2000</f>
        <v>2000</v>
      </c>
      <c r="AP73" s="4">
        <f t="shared" si="232"/>
        <v>75275</v>
      </c>
      <c r="AQ73" s="4">
        <f t="shared" si="233"/>
        <v>74.97</v>
      </c>
      <c r="AR73" s="4">
        <v>-1950</v>
      </c>
      <c r="AS73" s="4">
        <f t="shared" si="234"/>
        <v>73325</v>
      </c>
      <c r="AT73" s="20">
        <f t="shared" si="235"/>
        <v>73.030321490000006</v>
      </c>
      <c r="AU73" s="4">
        <v>-2625</v>
      </c>
      <c r="AV73" s="4">
        <f t="shared" si="236"/>
        <v>70700</v>
      </c>
      <c r="AW73" s="20">
        <f t="shared" si="237"/>
        <v>70.415870839999997</v>
      </c>
      <c r="AX73" s="4">
        <v>500</v>
      </c>
      <c r="AY73" s="4">
        <f t="shared" si="238"/>
        <v>71200</v>
      </c>
      <c r="AZ73" s="20">
        <f t="shared" si="239"/>
        <v>70.913861440000005</v>
      </c>
      <c r="BA73" s="4">
        <v>-4750</v>
      </c>
      <c r="BB73" s="4">
        <f t="shared" si="240"/>
        <v>66450</v>
      </c>
      <c r="BC73" s="20">
        <f t="shared" si="241"/>
        <v>66.182950739999995</v>
      </c>
      <c r="BD73" s="4">
        <v>0</v>
      </c>
      <c r="BE73" s="4">
        <f t="shared" si="242"/>
        <v>66450</v>
      </c>
      <c r="BF73" s="20">
        <f t="shared" si="243"/>
        <v>66.182950739999995</v>
      </c>
      <c r="BG73" s="4">
        <v>2600</v>
      </c>
      <c r="BH73" s="4">
        <f t="shared" si="244"/>
        <v>69050</v>
      </c>
      <c r="BI73" s="20">
        <f t="shared" si="245"/>
        <v>68.772501860000006</v>
      </c>
      <c r="BJ73" s="4">
        <v>1000</v>
      </c>
      <c r="BK73" s="4"/>
      <c r="BL73" s="4">
        <f t="shared" si="225"/>
        <v>70050</v>
      </c>
      <c r="BM73" s="20">
        <f t="shared" ref="BM73:BM79" si="250">BL73*H73/1000</f>
        <v>69.768483059999994</v>
      </c>
      <c r="BN73" s="4">
        <v>-2150</v>
      </c>
      <c r="BO73" s="4">
        <f t="shared" ref="BO73:BO100" si="251">BL73+BN73</f>
        <v>67900</v>
      </c>
      <c r="BP73" s="20">
        <f t="shared" ref="BP73:BP79" si="252">BO73*H73/1000</f>
        <v>67.627123479999995</v>
      </c>
      <c r="BQ73" s="4">
        <v>1500</v>
      </c>
      <c r="BR73" s="4">
        <f t="shared" si="217"/>
        <v>69400</v>
      </c>
      <c r="BS73" s="20">
        <f t="shared" si="246"/>
        <v>69.121095279999992</v>
      </c>
      <c r="BT73" s="4">
        <v>5500</v>
      </c>
      <c r="BU73" s="4">
        <f t="shared" si="218"/>
        <v>74900</v>
      </c>
      <c r="BV73" s="20">
        <f t="shared" si="247"/>
        <v>74.59899188</v>
      </c>
    </row>
    <row r="74" spans="1:75" hidden="1" x14ac:dyDescent="0.25">
      <c r="A74" s="4" t="s">
        <v>39</v>
      </c>
      <c r="B74" s="4" t="s">
        <v>14</v>
      </c>
      <c r="C74" s="4" t="s">
        <v>18</v>
      </c>
      <c r="D74" s="4">
        <v>22.2</v>
      </c>
      <c r="E74" s="4"/>
      <c r="F74" s="4">
        <v>2.2999999999999998</v>
      </c>
      <c r="G74" s="4" t="str">
        <f t="shared" si="219"/>
        <v>22.2--2.3</v>
      </c>
      <c r="H74" s="10">
        <v>1.1283678099999999</v>
      </c>
      <c r="I74" s="4">
        <v>65875</v>
      </c>
      <c r="J74" s="4"/>
      <c r="K74" s="4"/>
      <c r="L74" s="4"/>
      <c r="M74" s="4">
        <v>7500</v>
      </c>
      <c r="N74" s="4">
        <f t="shared" si="158"/>
        <v>73375</v>
      </c>
      <c r="O74" s="11">
        <f t="shared" si="220"/>
        <v>82.793988058749989</v>
      </c>
      <c r="P74" s="4">
        <v>5600</v>
      </c>
      <c r="Q74" s="4">
        <f t="shared" si="221"/>
        <v>78975</v>
      </c>
      <c r="R74" s="4">
        <f t="shared" si="222"/>
        <v>89.11</v>
      </c>
      <c r="S74" s="4">
        <v>3900</v>
      </c>
      <c r="T74" s="4">
        <f t="shared" si="223"/>
        <v>82875</v>
      </c>
      <c r="U74" s="4">
        <f t="shared" si="224"/>
        <v>93.51</v>
      </c>
      <c r="V74" s="4"/>
      <c r="W74" s="4"/>
      <c r="X74" s="4"/>
      <c r="Y74" s="21">
        <v>82.79</v>
      </c>
      <c r="Z74" s="4">
        <v>6000</v>
      </c>
      <c r="AA74" s="4">
        <f t="shared" si="248"/>
        <v>88875</v>
      </c>
      <c r="AB74" s="4">
        <f t="shared" si="249"/>
        <v>100.28</v>
      </c>
      <c r="AC74" s="4">
        <v>-10200</v>
      </c>
      <c r="AD74" s="4">
        <f t="shared" si="204"/>
        <v>78675</v>
      </c>
      <c r="AE74" s="4">
        <f t="shared" si="205"/>
        <v>88.77</v>
      </c>
      <c r="AF74" s="4">
        <v>-4900</v>
      </c>
      <c r="AG74" s="4">
        <f t="shared" si="206"/>
        <v>73775</v>
      </c>
      <c r="AH74" s="4">
        <f t="shared" si="207"/>
        <v>83.25</v>
      </c>
      <c r="AI74" s="30">
        <v>3300</v>
      </c>
      <c r="AJ74" s="4">
        <f t="shared" si="228"/>
        <v>77075</v>
      </c>
      <c r="AK74" s="4">
        <f t="shared" si="229"/>
        <v>86.97</v>
      </c>
      <c r="AL74" s="30">
        <v>-3800</v>
      </c>
      <c r="AM74" s="4">
        <f t="shared" si="230"/>
        <v>73275</v>
      </c>
      <c r="AN74" s="4">
        <f t="shared" si="231"/>
        <v>82.68</v>
      </c>
      <c r="AO74" s="4">
        <f>2000</f>
        <v>2000</v>
      </c>
      <c r="AP74" s="4">
        <f t="shared" si="232"/>
        <v>75275</v>
      </c>
      <c r="AQ74" s="4">
        <f t="shared" si="233"/>
        <v>84.94</v>
      </c>
      <c r="AR74" s="4">
        <v>-1950</v>
      </c>
      <c r="AS74" s="4">
        <f t="shared" si="234"/>
        <v>73325</v>
      </c>
      <c r="AT74" s="20">
        <f t="shared" si="235"/>
        <v>82.737569668249989</v>
      </c>
      <c r="AU74" s="4">
        <v>-2625</v>
      </c>
      <c r="AV74" s="4">
        <f t="shared" si="236"/>
        <v>70700</v>
      </c>
      <c r="AW74" s="20">
        <f t="shared" si="237"/>
        <v>79.775604166999983</v>
      </c>
      <c r="AX74" s="4">
        <v>500</v>
      </c>
      <c r="AY74" s="4">
        <f t="shared" si="238"/>
        <v>71200</v>
      </c>
      <c r="AZ74" s="20">
        <f t="shared" si="239"/>
        <v>80.33978807199999</v>
      </c>
      <c r="BA74" s="4">
        <v>-4750</v>
      </c>
      <c r="BB74" s="4">
        <f t="shared" si="240"/>
        <v>66450</v>
      </c>
      <c r="BC74" s="20">
        <f t="shared" si="241"/>
        <v>74.980040974499985</v>
      </c>
      <c r="BD74" s="4">
        <v>0</v>
      </c>
      <c r="BE74" s="4">
        <f t="shared" si="242"/>
        <v>66450</v>
      </c>
      <c r="BF74" s="20">
        <f t="shared" si="243"/>
        <v>74.980040974499985</v>
      </c>
      <c r="BG74" s="4">
        <v>2600</v>
      </c>
      <c r="BH74" s="4">
        <f t="shared" si="244"/>
        <v>69050</v>
      </c>
      <c r="BI74" s="20">
        <f t="shared" si="245"/>
        <v>77.913797280499992</v>
      </c>
      <c r="BJ74" s="4">
        <v>1000</v>
      </c>
      <c r="BK74" s="4"/>
      <c r="BL74" s="4">
        <f t="shared" si="225"/>
        <v>70050</v>
      </c>
      <c r="BM74" s="20">
        <f t="shared" si="250"/>
        <v>79.042165090499978</v>
      </c>
      <c r="BN74" s="4">
        <v>-2150</v>
      </c>
      <c r="BO74" s="4">
        <f t="shared" si="251"/>
        <v>67900</v>
      </c>
      <c r="BP74" s="20">
        <f t="shared" si="252"/>
        <v>76.616174298999994</v>
      </c>
      <c r="BQ74" s="4">
        <v>1500</v>
      </c>
      <c r="BR74" s="4">
        <f t="shared" si="217"/>
        <v>69400</v>
      </c>
      <c r="BS74" s="20">
        <f t="shared" si="246"/>
        <v>78.308726013999987</v>
      </c>
      <c r="BT74" s="4">
        <v>5500</v>
      </c>
      <c r="BU74" s="4">
        <f t="shared" si="218"/>
        <v>74900</v>
      </c>
      <c r="BV74" s="20">
        <f t="shared" si="247"/>
        <v>84.514748968999996</v>
      </c>
    </row>
    <row r="75" spans="1:75" hidden="1" x14ac:dyDescent="0.25">
      <c r="A75" s="4" t="s">
        <v>39</v>
      </c>
      <c r="B75" s="4" t="s">
        <v>14</v>
      </c>
      <c r="C75" s="4" t="s">
        <v>18</v>
      </c>
      <c r="D75" s="4">
        <v>31.75</v>
      </c>
      <c r="E75" s="4"/>
      <c r="F75" s="4">
        <v>3.25</v>
      </c>
      <c r="G75" s="4" t="str">
        <f t="shared" si="219"/>
        <v>31.75--3.25</v>
      </c>
      <c r="H75" s="10">
        <v>2.2834841250000002</v>
      </c>
      <c r="I75" s="4">
        <v>65875</v>
      </c>
      <c r="J75" s="4"/>
      <c r="K75" s="4"/>
      <c r="L75" s="4"/>
      <c r="M75" s="4">
        <v>7500</v>
      </c>
      <c r="N75" s="4">
        <f t="shared" si="158"/>
        <v>73375</v>
      </c>
      <c r="O75" s="11">
        <f t="shared" si="220"/>
        <v>167.55064767187503</v>
      </c>
      <c r="P75" s="4">
        <v>5600</v>
      </c>
      <c r="Q75" s="4">
        <f t="shared" si="221"/>
        <v>78975</v>
      </c>
      <c r="R75" s="4">
        <f t="shared" si="222"/>
        <v>180.34</v>
      </c>
      <c r="S75" s="4">
        <v>3900</v>
      </c>
      <c r="T75" s="4">
        <f t="shared" si="223"/>
        <v>82875</v>
      </c>
      <c r="U75" s="4">
        <f t="shared" si="224"/>
        <v>189.24</v>
      </c>
      <c r="V75" s="4"/>
      <c r="W75" s="4"/>
      <c r="X75" s="4"/>
      <c r="Y75" s="21">
        <v>167.55</v>
      </c>
      <c r="Z75" s="4">
        <v>6000</v>
      </c>
      <c r="AA75" s="4">
        <f t="shared" si="248"/>
        <v>88875</v>
      </c>
      <c r="AB75" s="4">
        <f t="shared" si="249"/>
        <v>202.94</v>
      </c>
      <c r="AC75" s="4">
        <v>-10200</v>
      </c>
      <c r="AD75" s="4">
        <f t="shared" si="204"/>
        <v>78675</v>
      </c>
      <c r="AE75" s="4">
        <f t="shared" si="205"/>
        <v>179.65</v>
      </c>
      <c r="AF75" s="4">
        <v>-4900</v>
      </c>
      <c r="AG75" s="4">
        <f t="shared" si="206"/>
        <v>73775</v>
      </c>
      <c r="AH75" s="4">
        <f t="shared" si="207"/>
        <v>168.46</v>
      </c>
      <c r="AI75" s="30">
        <v>3300</v>
      </c>
      <c r="AJ75" s="4">
        <f t="shared" si="228"/>
        <v>77075</v>
      </c>
      <c r="AK75" s="4">
        <f t="shared" si="229"/>
        <v>176</v>
      </c>
      <c r="AL75" s="30">
        <v>-3800</v>
      </c>
      <c r="AM75" s="4">
        <f t="shared" si="230"/>
        <v>73275</v>
      </c>
      <c r="AN75" s="4">
        <f t="shared" si="231"/>
        <v>167.32</v>
      </c>
      <c r="AO75" s="4">
        <f>2000</f>
        <v>2000</v>
      </c>
      <c r="AP75" s="4">
        <f t="shared" si="232"/>
        <v>75275</v>
      </c>
      <c r="AQ75" s="4">
        <f t="shared" si="233"/>
        <v>171.89</v>
      </c>
      <c r="AR75" s="4">
        <v>-1950</v>
      </c>
      <c r="AS75" s="4">
        <f t="shared" si="234"/>
        <v>73325</v>
      </c>
      <c r="AT75" s="20">
        <f t="shared" si="235"/>
        <v>167.43647346562503</v>
      </c>
      <c r="AU75" s="4">
        <v>-2625</v>
      </c>
      <c r="AV75" s="4">
        <f t="shared" si="236"/>
        <v>70700</v>
      </c>
      <c r="AW75" s="20">
        <f t="shared" si="237"/>
        <v>161.4423276375</v>
      </c>
      <c r="AX75" s="4">
        <v>500</v>
      </c>
      <c r="AY75" s="4">
        <f t="shared" si="238"/>
        <v>71200</v>
      </c>
      <c r="AZ75" s="20">
        <f t="shared" si="239"/>
        <v>162.58406970000001</v>
      </c>
      <c r="BA75" s="4">
        <v>-4750</v>
      </c>
      <c r="BB75" s="4">
        <f t="shared" si="240"/>
        <v>66450</v>
      </c>
      <c r="BC75" s="20">
        <f t="shared" si="241"/>
        <v>151.73752010625</v>
      </c>
      <c r="BD75" s="4">
        <v>0</v>
      </c>
      <c r="BE75" s="4">
        <f t="shared" si="242"/>
        <v>66450</v>
      </c>
      <c r="BF75" s="20">
        <f t="shared" si="243"/>
        <v>151.73752010625</v>
      </c>
      <c r="BG75" s="4">
        <v>2600</v>
      </c>
      <c r="BH75" s="4">
        <f t="shared" si="244"/>
        <v>69050</v>
      </c>
      <c r="BI75" s="20">
        <f t="shared" si="245"/>
        <v>157.67457883125002</v>
      </c>
      <c r="BJ75" s="4">
        <v>1000</v>
      </c>
      <c r="BK75" s="4"/>
      <c r="BL75" s="4">
        <f t="shared" si="225"/>
        <v>70050</v>
      </c>
      <c r="BM75" s="20">
        <f t="shared" si="250"/>
        <v>159.95806295625002</v>
      </c>
      <c r="BN75" s="4">
        <v>-2150</v>
      </c>
      <c r="BO75" s="4">
        <f t="shared" si="251"/>
        <v>67900</v>
      </c>
      <c r="BP75" s="20">
        <f t="shared" si="252"/>
        <v>155.04857208750002</v>
      </c>
      <c r="BQ75" s="4">
        <v>1500</v>
      </c>
      <c r="BR75" s="4">
        <f t="shared" si="217"/>
        <v>69400</v>
      </c>
      <c r="BS75" s="20">
        <f t="shared" si="246"/>
        <v>158.47379827500001</v>
      </c>
      <c r="BT75" s="4">
        <v>5500</v>
      </c>
      <c r="BU75" s="4">
        <f t="shared" si="218"/>
        <v>74900</v>
      </c>
      <c r="BV75" s="20">
        <f t="shared" si="247"/>
        <v>171.03296096250003</v>
      </c>
    </row>
    <row r="76" spans="1:75" hidden="1" x14ac:dyDescent="0.25">
      <c r="A76" s="4" t="s">
        <v>39</v>
      </c>
      <c r="B76" s="4" t="s">
        <v>14</v>
      </c>
      <c r="C76" s="4" t="s">
        <v>18</v>
      </c>
      <c r="D76" s="4">
        <v>63.5</v>
      </c>
      <c r="E76" s="4"/>
      <c r="F76" s="4">
        <v>4</v>
      </c>
      <c r="G76" s="4" t="str">
        <f t="shared" si="219"/>
        <v>63.5--4</v>
      </c>
      <c r="H76" s="10">
        <v>5.8674140000000001</v>
      </c>
      <c r="I76" s="4">
        <v>65875</v>
      </c>
      <c r="J76" s="4"/>
      <c r="K76" s="4"/>
      <c r="L76" s="4"/>
      <c r="M76" s="4">
        <v>7500</v>
      </c>
      <c r="N76" s="4">
        <f t="shared" si="158"/>
        <v>73375</v>
      </c>
      <c r="O76" s="11">
        <f t="shared" si="220"/>
        <v>430.52150225000003</v>
      </c>
      <c r="P76" s="4">
        <v>5600</v>
      </c>
      <c r="Q76" s="4">
        <f t="shared" si="221"/>
        <v>78975</v>
      </c>
      <c r="R76" s="4">
        <f t="shared" si="222"/>
        <v>463.38</v>
      </c>
      <c r="S76" s="4">
        <v>3900</v>
      </c>
      <c r="T76" s="4">
        <f t="shared" si="223"/>
        <v>82875</v>
      </c>
      <c r="U76" s="4">
        <f t="shared" si="224"/>
        <v>486.26</v>
      </c>
      <c r="V76" s="4">
        <v>5.87</v>
      </c>
      <c r="W76" s="4"/>
      <c r="X76" s="4"/>
      <c r="Y76" s="21">
        <v>436.39</v>
      </c>
      <c r="Z76" s="4">
        <v>6000</v>
      </c>
      <c r="AA76" s="4">
        <f t="shared" si="248"/>
        <v>88875</v>
      </c>
      <c r="AB76" s="4">
        <f t="shared" si="249"/>
        <v>521.47</v>
      </c>
      <c r="AC76" s="4">
        <v>-10200</v>
      </c>
      <c r="AD76" s="4">
        <f t="shared" si="204"/>
        <v>78675</v>
      </c>
      <c r="AE76" s="4">
        <f t="shared" si="205"/>
        <v>461.62</v>
      </c>
      <c r="AF76" s="4">
        <v>-4900</v>
      </c>
      <c r="AG76" s="4">
        <f t="shared" si="206"/>
        <v>73775</v>
      </c>
      <c r="AH76" s="4">
        <f t="shared" si="207"/>
        <v>432.87</v>
      </c>
      <c r="AI76" s="30">
        <v>3300</v>
      </c>
      <c r="AJ76" s="4">
        <f t="shared" si="228"/>
        <v>77075</v>
      </c>
      <c r="AK76" s="4">
        <f t="shared" si="229"/>
        <v>452.23</v>
      </c>
      <c r="AL76" s="30">
        <v>-3800</v>
      </c>
      <c r="AM76" s="4">
        <f t="shared" si="230"/>
        <v>73275</v>
      </c>
      <c r="AN76" s="4">
        <f t="shared" si="231"/>
        <v>429.93</v>
      </c>
      <c r="AO76" s="4">
        <f>2000</f>
        <v>2000</v>
      </c>
      <c r="AP76" s="4">
        <f t="shared" si="232"/>
        <v>75275</v>
      </c>
      <c r="AQ76" s="4">
        <f t="shared" si="233"/>
        <v>441.67</v>
      </c>
      <c r="AR76" s="4">
        <v>-1950</v>
      </c>
      <c r="AS76" s="4">
        <f t="shared" si="234"/>
        <v>73325</v>
      </c>
      <c r="AT76" s="20">
        <f t="shared" si="235"/>
        <v>430.22813155</v>
      </c>
      <c r="AU76" s="4">
        <v>-2625</v>
      </c>
      <c r="AV76" s="4">
        <f t="shared" si="236"/>
        <v>70700</v>
      </c>
      <c r="AW76" s="20">
        <f t="shared" si="237"/>
        <v>414.82616980000006</v>
      </c>
      <c r="AX76" s="4">
        <v>500</v>
      </c>
      <c r="AY76" s="4">
        <f t="shared" si="238"/>
        <v>71200</v>
      </c>
      <c r="AZ76" s="20">
        <f t="shared" si="239"/>
        <v>417.75987680000003</v>
      </c>
      <c r="BA76" s="4">
        <v>-4750</v>
      </c>
      <c r="BB76" s="4">
        <f t="shared" si="240"/>
        <v>66450</v>
      </c>
      <c r="BC76" s="20">
        <f t="shared" si="241"/>
        <v>389.8896603</v>
      </c>
      <c r="BD76" s="4">
        <v>0</v>
      </c>
      <c r="BE76" s="4">
        <f t="shared" si="242"/>
        <v>66450</v>
      </c>
      <c r="BF76" s="20">
        <f t="shared" si="243"/>
        <v>389.8896603</v>
      </c>
      <c r="BG76" s="4">
        <v>2600</v>
      </c>
      <c r="BH76" s="4">
        <f t="shared" si="244"/>
        <v>69050</v>
      </c>
      <c r="BI76" s="20">
        <f t="shared" si="245"/>
        <v>405.14493670000002</v>
      </c>
      <c r="BJ76" s="4">
        <v>1000</v>
      </c>
      <c r="BK76" s="4"/>
      <c r="BL76" s="4">
        <f t="shared" si="225"/>
        <v>70050</v>
      </c>
      <c r="BM76" s="20">
        <f t="shared" si="250"/>
        <v>411.01235070000001</v>
      </c>
      <c r="BN76" s="4">
        <v>-2150</v>
      </c>
      <c r="BO76" s="4">
        <f t="shared" si="251"/>
        <v>67900</v>
      </c>
      <c r="BP76" s="20">
        <f t="shared" si="252"/>
        <v>398.3974106</v>
      </c>
      <c r="BQ76" s="4">
        <v>1500</v>
      </c>
      <c r="BR76" s="4">
        <f t="shared" si="217"/>
        <v>69400</v>
      </c>
      <c r="BS76" s="20">
        <f t="shared" si="246"/>
        <v>407.19853159999997</v>
      </c>
      <c r="BT76" s="4">
        <v>5500</v>
      </c>
      <c r="BU76" s="4">
        <f t="shared" si="218"/>
        <v>74900</v>
      </c>
      <c r="BV76" s="20">
        <f t="shared" si="247"/>
        <v>439.46930859999998</v>
      </c>
    </row>
    <row r="77" spans="1:75" hidden="1" x14ac:dyDescent="0.25">
      <c r="A77" s="4" t="s">
        <v>39</v>
      </c>
      <c r="B77" s="4" t="s">
        <v>14</v>
      </c>
      <c r="C77" s="4" t="s">
        <v>18</v>
      </c>
      <c r="D77" s="4">
        <v>28.6</v>
      </c>
      <c r="E77" s="4"/>
      <c r="F77" s="4">
        <v>2</v>
      </c>
      <c r="G77" s="4" t="str">
        <f t="shared" si="219"/>
        <v>28.6--2</v>
      </c>
      <c r="H77" s="10">
        <v>1.3115396000000001</v>
      </c>
      <c r="I77" s="4">
        <v>65875</v>
      </c>
      <c r="J77" s="4"/>
      <c r="K77" s="4"/>
      <c r="L77" s="4"/>
      <c r="M77" s="4">
        <v>7500</v>
      </c>
      <c r="N77" s="4">
        <f t="shared" si="158"/>
        <v>73375</v>
      </c>
      <c r="O77" s="11">
        <f t="shared" si="220"/>
        <v>96.234218150000018</v>
      </c>
      <c r="P77" s="4">
        <v>5600</v>
      </c>
      <c r="Q77" s="4">
        <f t="shared" si="221"/>
        <v>78975</v>
      </c>
      <c r="R77" s="4">
        <f t="shared" si="222"/>
        <v>103.58</v>
      </c>
      <c r="S77" s="4">
        <v>3900</v>
      </c>
      <c r="T77" s="4">
        <f t="shared" si="223"/>
        <v>82875</v>
      </c>
      <c r="U77" s="4">
        <f t="shared" si="224"/>
        <v>108.69</v>
      </c>
      <c r="V77" s="4"/>
      <c r="W77" s="4"/>
      <c r="X77" s="4"/>
      <c r="Y77" s="21">
        <v>96.23</v>
      </c>
      <c r="Z77" s="4">
        <v>6000</v>
      </c>
      <c r="AA77" s="4">
        <f t="shared" si="248"/>
        <v>88875</v>
      </c>
      <c r="AB77" s="4">
        <f t="shared" si="249"/>
        <v>116.56</v>
      </c>
      <c r="AC77" s="4">
        <v>-10200</v>
      </c>
      <c r="AD77" s="4">
        <f t="shared" si="204"/>
        <v>78675</v>
      </c>
      <c r="AE77" s="4">
        <f t="shared" si="205"/>
        <v>103.19</v>
      </c>
      <c r="AF77" s="4">
        <v>-4900</v>
      </c>
      <c r="AG77" s="4">
        <f t="shared" si="206"/>
        <v>73775</v>
      </c>
      <c r="AH77" s="4">
        <f t="shared" si="207"/>
        <v>96.76</v>
      </c>
      <c r="AI77" s="30">
        <v>3300</v>
      </c>
      <c r="AJ77" s="4">
        <f t="shared" si="228"/>
        <v>77075</v>
      </c>
      <c r="AK77" s="4">
        <f t="shared" si="229"/>
        <v>101.09</v>
      </c>
      <c r="AL77" s="30">
        <v>-3800</v>
      </c>
      <c r="AM77" s="4">
        <f t="shared" si="230"/>
        <v>73275</v>
      </c>
      <c r="AN77" s="4">
        <f t="shared" si="231"/>
        <v>96.1</v>
      </c>
      <c r="AO77" s="4">
        <f>2000</f>
        <v>2000</v>
      </c>
      <c r="AP77" s="4">
        <f t="shared" si="232"/>
        <v>75275</v>
      </c>
      <c r="AQ77" s="4">
        <f t="shared" si="233"/>
        <v>98.73</v>
      </c>
      <c r="AR77" s="4">
        <v>-1950</v>
      </c>
      <c r="AS77" s="4">
        <f t="shared" si="234"/>
        <v>73325</v>
      </c>
      <c r="AT77" s="20">
        <f t="shared" si="235"/>
        <v>96.168641170000015</v>
      </c>
      <c r="AU77" s="4">
        <v>-2625</v>
      </c>
      <c r="AV77" s="4">
        <f t="shared" si="236"/>
        <v>70700</v>
      </c>
      <c r="AW77" s="20">
        <f t="shared" si="237"/>
        <v>92.725849720000014</v>
      </c>
      <c r="AX77" s="4">
        <v>500</v>
      </c>
      <c r="AY77" s="4">
        <f t="shared" si="238"/>
        <v>71200</v>
      </c>
      <c r="AZ77" s="20">
        <f t="shared" si="239"/>
        <v>93.381619520000001</v>
      </c>
      <c r="BA77" s="4">
        <v>-4750</v>
      </c>
      <c r="BB77" s="4">
        <f t="shared" si="240"/>
        <v>66450</v>
      </c>
      <c r="BC77" s="20">
        <f t="shared" si="241"/>
        <v>87.151806420000014</v>
      </c>
      <c r="BD77" s="4">
        <v>0</v>
      </c>
      <c r="BE77" s="4">
        <f t="shared" si="242"/>
        <v>66450</v>
      </c>
      <c r="BF77" s="20">
        <f t="shared" si="243"/>
        <v>87.151806420000014</v>
      </c>
      <c r="BG77" s="4">
        <v>2600</v>
      </c>
      <c r="BH77" s="4">
        <f t="shared" si="244"/>
        <v>69050</v>
      </c>
      <c r="BI77" s="20">
        <f t="shared" si="245"/>
        <v>90.56180938</v>
      </c>
      <c r="BJ77" s="4">
        <v>1000</v>
      </c>
      <c r="BK77" s="4"/>
      <c r="BL77" s="4">
        <f t="shared" si="225"/>
        <v>70050</v>
      </c>
      <c r="BM77" s="20">
        <f t="shared" si="250"/>
        <v>91.873348980000003</v>
      </c>
      <c r="BN77" s="4">
        <v>-2150</v>
      </c>
      <c r="BO77" s="4">
        <f t="shared" si="251"/>
        <v>67900</v>
      </c>
      <c r="BP77" s="20">
        <f t="shared" si="252"/>
        <v>89.053538840000002</v>
      </c>
      <c r="BQ77" s="4">
        <v>1500</v>
      </c>
      <c r="BR77" s="4">
        <f t="shared" si="217"/>
        <v>69400</v>
      </c>
      <c r="BS77" s="20">
        <f t="shared" si="246"/>
        <v>91.020848240000007</v>
      </c>
      <c r="BT77" s="4">
        <v>5500</v>
      </c>
      <c r="BU77" s="4">
        <f t="shared" si="218"/>
        <v>74900</v>
      </c>
      <c r="BV77" s="20">
        <f t="shared" si="247"/>
        <v>98.23431604000001</v>
      </c>
    </row>
    <row r="78" spans="1:75" hidden="1" x14ac:dyDescent="0.25">
      <c r="A78" s="4" t="s">
        <v>39</v>
      </c>
      <c r="B78" s="4" t="s">
        <v>14</v>
      </c>
      <c r="C78" s="4" t="s">
        <v>15</v>
      </c>
      <c r="D78" s="4">
        <v>28.6</v>
      </c>
      <c r="E78" s="4"/>
      <c r="F78" s="4">
        <v>1.6</v>
      </c>
      <c r="G78" s="4" t="str">
        <f t="shared" si="219"/>
        <v>28.6--1.6</v>
      </c>
      <c r="H78" s="10">
        <v>1.0650096000000002</v>
      </c>
      <c r="I78" s="4">
        <v>69405</v>
      </c>
      <c r="J78" s="4"/>
      <c r="K78" s="4"/>
      <c r="L78" s="4"/>
      <c r="M78" s="4">
        <v>9800</v>
      </c>
      <c r="N78" s="4">
        <f t="shared" si="158"/>
        <v>79205</v>
      </c>
      <c r="O78" s="11">
        <f t="shared" si="220"/>
        <v>84.354085368000014</v>
      </c>
      <c r="P78" s="4">
        <v>6000</v>
      </c>
      <c r="Q78" s="4">
        <f t="shared" si="221"/>
        <v>85205</v>
      </c>
      <c r="R78" s="4">
        <f t="shared" si="222"/>
        <v>90.74</v>
      </c>
      <c r="S78" s="4">
        <v>4000</v>
      </c>
      <c r="T78" s="4">
        <f t="shared" si="223"/>
        <v>89205</v>
      </c>
      <c r="U78" s="4">
        <f t="shared" si="224"/>
        <v>95</v>
      </c>
      <c r="V78" s="4"/>
      <c r="W78" s="4"/>
      <c r="X78" s="4"/>
      <c r="Y78" s="4">
        <v>84.35</v>
      </c>
      <c r="Z78" s="4">
        <v>5700</v>
      </c>
      <c r="AA78" s="22">
        <f t="shared" ref="AA78:AA79" si="253">T78+Z78</f>
        <v>94905</v>
      </c>
      <c r="AB78" s="23">
        <f t="shared" ref="AB78:AB79" si="254">$H78*AA78/1000</f>
        <v>101.07473608800002</v>
      </c>
      <c r="AC78" s="4">
        <v>-11650</v>
      </c>
      <c r="AD78" s="22">
        <f t="shared" si="204"/>
        <v>83255</v>
      </c>
      <c r="AE78" s="22">
        <f t="shared" si="205"/>
        <v>88.67</v>
      </c>
      <c r="AF78" s="4">
        <v>-4200</v>
      </c>
      <c r="AG78" s="4">
        <f t="shared" si="206"/>
        <v>79055</v>
      </c>
      <c r="AH78" s="4">
        <f t="shared" si="207"/>
        <v>84.19</v>
      </c>
      <c r="AI78" s="30">
        <v>1950</v>
      </c>
      <c r="AJ78" s="4">
        <f t="shared" ref="AJ78:AJ79" si="255">AG78+AI78</f>
        <v>81005</v>
      </c>
      <c r="AK78" s="4">
        <f t="shared" ref="AK78:AK79" si="256">ROUND(AJ78*H78/1000,2)</f>
        <v>86.27</v>
      </c>
      <c r="AL78" s="30">
        <v>-4825</v>
      </c>
      <c r="AM78" s="4">
        <f t="shared" ref="AM78:AM79" si="257">AJ78+AL78</f>
        <v>76180</v>
      </c>
      <c r="AN78" s="4">
        <f t="shared" ref="AN78:AN79" si="258">ROUND(AM78*H78/1000,2)</f>
        <v>81.13</v>
      </c>
      <c r="AO78" s="4">
        <f>1920</f>
        <v>1920</v>
      </c>
      <c r="AP78" s="4">
        <f t="shared" ref="AP78:AP79" si="259">AM78+AO78</f>
        <v>78100</v>
      </c>
      <c r="AQ78" s="4">
        <f t="shared" ref="AQ78:AQ79" si="260">ROUND(AP78*H78/1000,2)</f>
        <v>83.18</v>
      </c>
      <c r="AR78" s="4">
        <v>-1200</v>
      </c>
      <c r="AS78" s="4">
        <f t="shared" si="234"/>
        <v>76900</v>
      </c>
      <c r="AT78" s="20">
        <f t="shared" si="235"/>
        <v>81.899238240000017</v>
      </c>
      <c r="AU78" s="4">
        <v>-2125</v>
      </c>
      <c r="AV78" s="4">
        <f t="shared" si="236"/>
        <v>74775</v>
      </c>
      <c r="AW78" s="20">
        <f t="shared" si="237"/>
        <v>79.636092840000018</v>
      </c>
      <c r="AX78" s="4">
        <v>200</v>
      </c>
      <c r="AY78" s="4">
        <f t="shared" si="238"/>
        <v>74975</v>
      </c>
      <c r="AZ78" s="20">
        <f t="shared" si="239"/>
        <v>79.849094760000028</v>
      </c>
      <c r="BA78" s="4">
        <v>-4150</v>
      </c>
      <c r="BB78" s="4">
        <f t="shared" si="240"/>
        <v>70825</v>
      </c>
      <c r="BC78" s="20">
        <f t="shared" si="241"/>
        <v>75.429304920000007</v>
      </c>
      <c r="BD78" s="4">
        <v>0</v>
      </c>
      <c r="BE78" s="4">
        <f t="shared" si="242"/>
        <v>70825</v>
      </c>
      <c r="BF78" s="20">
        <f t="shared" si="243"/>
        <v>75.429304920000007</v>
      </c>
      <c r="BG78" s="4">
        <v>2600</v>
      </c>
      <c r="BH78" s="4">
        <f t="shared" si="244"/>
        <v>73425</v>
      </c>
      <c r="BI78" s="20">
        <f t="shared" si="245"/>
        <v>78.198329880000017</v>
      </c>
      <c r="BJ78" s="4">
        <v>900</v>
      </c>
      <c r="BK78" s="4"/>
      <c r="BL78" s="4">
        <f t="shared" si="225"/>
        <v>74325</v>
      </c>
      <c r="BM78" s="20">
        <f t="shared" si="250"/>
        <v>79.156838520000022</v>
      </c>
      <c r="BN78" s="4">
        <v>-2100</v>
      </c>
      <c r="BO78" s="4">
        <f t="shared" si="251"/>
        <v>72225</v>
      </c>
      <c r="BP78" s="20">
        <f t="shared" si="252"/>
        <v>76.920318360000024</v>
      </c>
      <c r="BQ78" s="4">
        <v>1450</v>
      </c>
      <c r="BR78" s="4">
        <f t="shared" si="217"/>
        <v>73675</v>
      </c>
      <c r="BS78" s="20">
        <f t="shared" si="246"/>
        <v>78.464582280000016</v>
      </c>
      <c r="BT78" s="4">
        <v>5150</v>
      </c>
      <c r="BU78" s="4">
        <f t="shared" si="218"/>
        <v>78825</v>
      </c>
      <c r="BV78" s="20">
        <f t="shared" si="247"/>
        <v>83.949381720000019</v>
      </c>
    </row>
    <row r="79" spans="1:75" hidden="1" x14ac:dyDescent="0.25">
      <c r="A79" s="4" t="s">
        <v>39</v>
      </c>
      <c r="B79" s="4" t="s">
        <v>14</v>
      </c>
      <c r="C79" s="4" t="s">
        <v>15</v>
      </c>
      <c r="D79" s="4">
        <v>34.93</v>
      </c>
      <c r="E79" s="4"/>
      <c r="F79" s="4">
        <v>0.91</v>
      </c>
      <c r="G79" s="4" t="str">
        <f t="shared" si="219"/>
        <v>34.93--0.91</v>
      </c>
      <c r="H79" s="10">
        <v>0.76321250460000012</v>
      </c>
      <c r="I79" s="4">
        <v>69405</v>
      </c>
      <c r="J79" s="4"/>
      <c r="K79" s="4">
        <v>4000</v>
      </c>
      <c r="L79" s="4"/>
      <c r="M79" s="4">
        <v>9800</v>
      </c>
      <c r="N79" s="4">
        <f t="shared" si="158"/>
        <v>83205</v>
      </c>
      <c r="O79" s="11">
        <f t="shared" si="220"/>
        <v>63.50309644524301</v>
      </c>
      <c r="P79" s="4">
        <v>6000</v>
      </c>
      <c r="Q79" s="4">
        <f t="shared" si="221"/>
        <v>89205</v>
      </c>
      <c r="R79" s="4">
        <f t="shared" si="222"/>
        <v>68.08</v>
      </c>
      <c r="S79" s="4">
        <v>4000</v>
      </c>
      <c r="T79" s="4">
        <f t="shared" si="223"/>
        <v>93205</v>
      </c>
      <c r="U79" s="4">
        <f t="shared" si="224"/>
        <v>71.14</v>
      </c>
      <c r="V79" s="4"/>
      <c r="W79" s="4"/>
      <c r="X79" s="4"/>
      <c r="Y79" s="4">
        <v>63.5</v>
      </c>
      <c r="Z79" s="4">
        <v>5700</v>
      </c>
      <c r="AA79" s="4">
        <f t="shared" si="253"/>
        <v>98905</v>
      </c>
      <c r="AB79" s="20">
        <f t="shared" si="254"/>
        <v>75.485532767463013</v>
      </c>
      <c r="AC79" s="4">
        <v>-11650</v>
      </c>
      <c r="AD79" s="4">
        <f t="shared" si="204"/>
        <v>87255</v>
      </c>
      <c r="AE79" s="4">
        <f t="shared" si="205"/>
        <v>66.59</v>
      </c>
      <c r="AF79" s="4">
        <v>-4200</v>
      </c>
      <c r="AG79" s="4">
        <f t="shared" si="206"/>
        <v>83055</v>
      </c>
      <c r="AH79" s="4">
        <f t="shared" si="207"/>
        <v>63.39</v>
      </c>
      <c r="AI79" s="30">
        <v>1950</v>
      </c>
      <c r="AJ79" s="4">
        <f t="shared" si="255"/>
        <v>85005</v>
      </c>
      <c r="AK79" s="4">
        <f t="shared" si="256"/>
        <v>64.88</v>
      </c>
      <c r="AL79" s="30">
        <v>-4825</v>
      </c>
      <c r="AM79" s="4">
        <f t="shared" si="257"/>
        <v>80180</v>
      </c>
      <c r="AN79" s="4">
        <f t="shared" si="258"/>
        <v>61.19</v>
      </c>
      <c r="AO79" s="4">
        <f>1920</f>
        <v>1920</v>
      </c>
      <c r="AP79" s="4">
        <f t="shared" si="259"/>
        <v>82100</v>
      </c>
      <c r="AQ79" s="4">
        <f t="shared" si="260"/>
        <v>62.66</v>
      </c>
      <c r="AR79" s="4">
        <v>-1200</v>
      </c>
      <c r="AS79" s="4">
        <f t="shared" si="234"/>
        <v>80900</v>
      </c>
      <c r="AT79" s="20">
        <f t="shared" si="235"/>
        <v>61.743891622140005</v>
      </c>
      <c r="AU79" s="4">
        <v>-2125</v>
      </c>
      <c r="AV79" s="4">
        <f t="shared" si="236"/>
        <v>78775</v>
      </c>
      <c r="AW79" s="20">
        <f t="shared" si="237"/>
        <v>60.122065049865007</v>
      </c>
      <c r="AX79" s="4">
        <v>200</v>
      </c>
      <c r="AY79" s="4">
        <f t="shared" si="238"/>
        <v>78975</v>
      </c>
      <c r="AZ79" s="20">
        <f t="shared" si="239"/>
        <v>60.27470755078501</v>
      </c>
      <c r="BA79" s="4">
        <v>-4150</v>
      </c>
      <c r="BB79" s="4">
        <f t="shared" si="240"/>
        <v>74825</v>
      </c>
      <c r="BC79" s="20">
        <f t="shared" si="241"/>
        <v>57.107375656695012</v>
      </c>
      <c r="BD79" s="4">
        <v>0</v>
      </c>
      <c r="BE79" s="4">
        <f t="shared" si="242"/>
        <v>74825</v>
      </c>
      <c r="BF79" s="20">
        <f t="shared" si="243"/>
        <v>57.107375656695012</v>
      </c>
      <c r="BG79" s="4">
        <v>2600</v>
      </c>
      <c r="BH79" s="4">
        <f t="shared" si="244"/>
        <v>77425</v>
      </c>
      <c r="BI79" s="20">
        <f t="shared" si="245"/>
        <v>59.09172816865501</v>
      </c>
      <c r="BJ79" s="4">
        <v>900</v>
      </c>
      <c r="BK79" s="4"/>
      <c r="BL79" s="4">
        <f t="shared" si="225"/>
        <v>78325</v>
      </c>
      <c r="BM79" s="20">
        <f t="shared" si="250"/>
        <v>59.778619422795011</v>
      </c>
      <c r="BN79" s="4">
        <v>-2100</v>
      </c>
      <c r="BO79" s="4">
        <f t="shared" si="251"/>
        <v>76225</v>
      </c>
      <c r="BP79" s="20">
        <f t="shared" si="252"/>
        <v>58.175873163135009</v>
      </c>
      <c r="BQ79" s="4">
        <v>1450</v>
      </c>
      <c r="BR79" s="4">
        <f t="shared" si="217"/>
        <v>77675</v>
      </c>
      <c r="BS79" s="20">
        <f t="shared" si="246"/>
        <v>59.282531294805011</v>
      </c>
      <c r="BT79" s="4">
        <v>5150</v>
      </c>
      <c r="BU79" s="4">
        <f t="shared" si="218"/>
        <v>82825</v>
      </c>
      <c r="BV79" s="20">
        <f t="shared" si="247"/>
        <v>63.213075693495014</v>
      </c>
    </row>
    <row r="80" spans="1:75" hidden="1" x14ac:dyDescent="0.25">
      <c r="A80" s="4" t="s">
        <v>39</v>
      </c>
      <c r="B80" s="4" t="s">
        <v>14</v>
      </c>
      <c r="C80" s="4" t="s">
        <v>18</v>
      </c>
      <c r="D80" s="4">
        <v>50.8</v>
      </c>
      <c r="E80" s="4"/>
      <c r="F80" s="4">
        <v>2.5</v>
      </c>
      <c r="G80" s="4" t="str">
        <f t="shared" si="219"/>
        <v>50.8--2.5</v>
      </c>
      <c r="H80" s="10">
        <v>2.97684975</v>
      </c>
      <c r="I80" s="4">
        <v>65875</v>
      </c>
      <c r="J80" s="4"/>
      <c r="K80" s="4"/>
      <c r="L80" s="4"/>
      <c r="M80" s="4">
        <v>7500</v>
      </c>
      <c r="N80" s="4">
        <f t="shared" si="158"/>
        <v>73375</v>
      </c>
      <c r="O80" s="11">
        <f t="shared" si="220"/>
        <v>218.42635040624998</v>
      </c>
      <c r="P80" s="4">
        <v>5600</v>
      </c>
      <c r="Q80" s="4">
        <f t="shared" si="221"/>
        <v>78975</v>
      </c>
      <c r="R80" s="4">
        <f t="shared" si="222"/>
        <v>235.1</v>
      </c>
      <c r="S80" s="4">
        <v>3900</v>
      </c>
      <c r="T80" s="4">
        <f t="shared" si="223"/>
        <v>82875</v>
      </c>
      <c r="U80" s="4">
        <f t="shared" si="224"/>
        <v>246.71</v>
      </c>
      <c r="V80" s="4"/>
      <c r="W80" s="4"/>
      <c r="X80" s="4"/>
      <c r="Y80" s="21">
        <v>218.43</v>
      </c>
      <c r="Z80" s="4">
        <v>6000</v>
      </c>
      <c r="AA80" s="4">
        <f>Z80+T80</f>
        <v>88875</v>
      </c>
      <c r="AB80" s="4">
        <f>ROUND(AA80*H80/1000,2)</f>
        <v>264.57</v>
      </c>
      <c r="AC80" s="4">
        <v>-10200</v>
      </c>
      <c r="AD80" s="4">
        <f>AC80+AA80</f>
        <v>78675</v>
      </c>
      <c r="AE80" s="4">
        <f>ROUND(AD80*H80/1000,2)</f>
        <v>234.2</v>
      </c>
      <c r="AF80" s="4">
        <v>-4900</v>
      </c>
      <c r="AG80" s="4">
        <f>AD80+AF80</f>
        <v>73775</v>
      </c>
      <c r="AH80" s="4">
        <f>ROUND(AG80*H80/1000,2)</f>
        <v>219.62</v>
      </c>
      <c r="AI80" s="30">
        <v>3300</v>
      </c>
      <c r="AJ80" s="4">
        <f>AG80+AI80</f>
        <v>77075</v>
      </c>
      <c r="AK80" s="4">
        <f>ROUND(AJ80*H80/1000,2)</f>
        <v>229.44</v>
      </c>
      <c r="AL80" s="30">
        <v>-3800</v>
      </c>
      <c r="AM80" s="4">
        <f>AJ80+AL80</f>
        <v>73275</v>
      </c>
      <c r="AN80" s="4">
        <f>ROUND(AM80*H80/1000,2)</f>
        <v>218.13</v>
      </c>
      <c r="AO80" s="4">
        <f>2000</f>
        <v>2000</v>
      </c>
      <c r="AP80" s="4">
        <f>AM80+AO80</f>
        <v>75275</v>
      </c>
      <c r="AQ80" s="4">
        <f>ROUND(AP80*H80/1000,2)</f>
        <v>224.08</v>
      </c>
      <c r="AR80" s="4">
        <v>-1950</v>
      </c>
      <c r="AS80" s="4">
        <f t="shared" si="234"/>
        <v>73325</v>
      </c>
      <c r="AT80" s="20">
        <f t="shared" si="235"/>
        <v>218.27750791874999</v>
      </c>
      <c r="AU80" s="4">
        <v>-2625</v>
      </c>
      <c r="AV80" s="4">
        <f t="shared" si="236"/>
        <v>70700</v>
      </c>
      <c r="AW80" s="20">
        <f t="shared" si="237"/>
        <v>210.46327732500001</v>
      </c>
      <c r="AX80" s="4">
        <v>500</v>
      </c>
      <c r="AY80" s="4">
        <f t="shared" si="238"/>
        <v>71200</v>
      </c>
      <c r="AZ80" s="20">
        <f t="shared" si="239"/>
        <v>211.9517022</v>
      </c>
      <c r="BA80" s="4">
        <v>-4750</v>
      </c>
      <c r="BB80" s="4">
        <f t="shared" si="240"/>
        <v>66450</v>
      </c>
      <c r="BC80" s="20">
        <f t="shared" si="241"/>
        <v>197.8116658875</v>
      </c>
      <c r="BD80" s="4">
        <v>0</v>
      </c>
      <c r="BE80" s="4">
        <f t="shared" si="242"/>
        <v>66450</v>
      </c>
      <c r="BF80" s="20">
        <f t="shared" si="243"/>
        <v>197.8116658875</v>
      </c>
      <c r="BG80" s="4">
        <v>2600</v>
      </c>
      <c r="BH80" s="4">
        <f t="shared" si="244"/>
        <v>69050</v>
      </c>
      <c r="BI80" s="20">
        <f t="shared" si="245"/>
        <v>205.5514752375</v>
      </c>
      <c r="BJ80" s="4">
        <v>1000</v>
      </c>
      <c r="BK80" s="4"/>
      <c r="BL80" s="4">
        <f t="shared" si="225"/>
        <v>70050</v>
      </c>
      <c r="BM80" s="20">
        <f>BL80*H80/1000</f>
        <v>208.52832498750001</v>
      </c>
      <c r="BN80" s="4">
        <v>-2150</v>
      </c>
      <c r="BO80" s="4">
        <f t="shared" si="251"/>
        <v>67900</v>
      </c>
      <c r="BP80" s="20">
        <f>BO80*H80/1000</f>
        <v>202.12809802499999</v>
      </c>
      <c r="BQ80" s="4">
        <v>1500</v>
      </c>
      <c r="BR80" s="4">
        <f t="shared" si="217"/>
        <v>69400</v>
      </c>
      <c r="BS80" s="20">
        <f t="shared" si="246"/>
        <v>206.59337264999999</v>
      </c>
      <c r="BT80" s="4">
        <v>5500</v>
      </c>
      <c r="BU80" s="4">
        <f t="shared" si="218"/>
        <v>74900</v>
      </c>
      <c r="BV80" s="20">
        <f t="shared" si="247"/>
        <v>222.966046275</v>
      </c>
    </row>
    <row r="81" spans="1:74" hidden="1" x14ac:dyDescent="0.25">
      <c r="A81" s="4" t="s">
        <v>39</v>
      </c>
      <c r="B81" s="4" t="s">
        <v>14</v>
      </c>
      <c r="C81" s="4" t="s">
        <v>15</v>
      </c>
      <c r="D81" s="4">
        <v>41.28</v>
      </c>
      <c r="E81" s="4"/>
      <c r="F81" s="4">
        <v>1.6</v>
      </c>
      <c r="G81" s="4" t="str">
        <f t="shared" si="219"/>
        <v>41.28--1.6</v>
      </c>
      <c r="H81" s="10">
        <v>1.5651696640000001</v>
      </c>
      <c r="I81" s="4">
        <v>69405</v>
      </c>
      <c r="J81" s="4"/>
      <c r="K81" s="4"/>
      <c r="L81" s="4"/>
      <c r="M81" s="4">
        <v>9800</v>
      </c>
      <c r="N81" s="4">
        <f t="shared" si="158"/>
        <v>79205</v>
      </c>
      <c r="O81" s="11">
        <f t="shared" si="220"/>
        <v>123.96926323712002</v>
      </c>
      <c r="P81" s="4">
        <v>6000</v>
      </c>
      <c r="Q81" s="4">
        <f t="shared" si="221"/>
        <v>85205</v>
      </c>
      <c r="R81" s="4">
        <f t="shared" si="222"/>
        <v>133.36000000000001</v>
      </c>
      <c r="S81" s="4">
        <v>4000</v>
      </c>
      <c r="T81" s="4">
        <f t="shared" si="223"/>
        <v>89205</v>
      </c>
      <c r="U81" s="4">
        <f t="shared" si="224"/>
        <v>139.62</v>
      </c>
      <c r="V81" s="4"/>
      <c r="W81" s="4"/>
      <c r="X81" s="4"/>
      <c r="Y81" s="4">
        <v>123.97</v>
      </c>
      <c r="Z81" s="4">
        <v>5700</v>
      </c>
      <c r="AA81" s="22">
        <f>T81+Z81</f>
        <v>94905</v>
      </c>
      <c r="AB81" s="23">
        <f>$H81*AA81/1000</f>
        <v>148.54242696192003</v>
      </c>
      <c r="AC81" s="4">
        <v>-11650</v>
      </c>
      <c r="AD81" s="22">
        <f>AC81+AA81</f>
        <v>83255</v>
      </c>
      <c r="AE81" s="22">
        <f>ROUND(AD81*H81/1000,2)</f>
        <v>130.31</v>
      </c>
      <c r="AF81" s="4">
        <v>-4200</v>
      </c>
      <c r="AG81" s="4">
        <f>AD81+AF81</f>
        <v>79055</v>
      </c>
      <c r="AH81" s="4">
        <f>ROUND(AG81*H81/1000,2)</f>
        <v>123.73</v>
      </c>
      <c r="AI81" s="30">
        <v>1950</v>
      </c>
      <c r="AJ81" s="4">
        <f>AG81+AI81</f>
        <v>81005</v>
      </c>
      <c r="AK81" s="4">
        <f>ROUND(AJ81*H81/1000,2)</f>
        <v>126.79</v>
      </c>
      <c r="AL81" s="30">
        <v>-4825</v>
      </c>
      <c r="AM81" s="4">
        <f>AJ81+AL81</f>
        <v>76180</v>
      </c>
      <c r="AN81" s="4">
        <f>ROUND(AM81*H81/1000,2)</f>
        <v>119.23</v>
      </c>
      <c r="AO81" s="4">
        <f>1920</f>
        <v>1920</v>
      </c>
      <c r="AP81" s="4">
        <f>AM81+AO81</f>
        <v>78100</v>
      </c>
      <c r="AQ81" s="4">
        <f>ROUND(AP81*H81/1000,2)</f>
        <v>122.24</v>
      </c>
      <c r="AR81" s="4">
        <v>-1200</v>
      </c>
      <c r="AS81" s="4">
        <f t="shared" si="234"/>
        <v>76900</v>
      </c>
      <c r="AT81" s="20">
        <f t="shared" si="235"/>
        <v>120.36154716160001</v>
      </c>
      <c r="AU81" s="4">
        <v>-2125</v>
      </c>
      <c r="AV81" s="4">
        <f t="shared" si="236"/>
        <v>74775</v>
      </c>
      <c r="AW81" s="20">
        <f t="shared" si="237"/>
        <v>117.03556162560001</v>
      </c>
      <c r="AX81" s="4">
        <v>200</v>
      </c>
      <c r="AY81" s="4">
        <f t="shared" si="238"/>
        <v>74975</v>
      </c>
      <c r="AZ81" s="20">
        <f t="shared" si="239"/>
        <v>117.34859555840001</v>
      </c>
      <c r="BA81" s="4">
        <v>-4150</v>
      </c>
      <c r="BB81" s="4">
        <f t="shared" si="240"/>
        <v>70825</v>
      </c>
      <c r="BC81" s="20">
        <f t="shared" si="241"/>
        <v>110.8531414528</v>
      </c>
      <c r="BD81" s="4">
        <v>0</v>
      </c>
      <c r="BE81" s="4">
        <f t="shared" si="242"/>
        <v>70825</v>
      </c>
      <c r="BF81" s="20">
        <f t="shared" si="243"/>
        <v>110.8531414528</v>
      </c>
      <c r="BG81" s="4">
        <v>2600</v>
      </c>
      <c r="BH81" s="4">
        <f t="shared" si="244"/>
        <v>73425</v>
      </c>
      <c r="BI81" s="20">
        <f t="shared" si="245"/>
        <v>114.92258257920001</v>
      </c>
      <c r="BJ81" s="4">
        <v>900</v>
      </c>
      <c r="BK81" s="4"/>
      <c r="BL81" s="4">
        <f t="shared" si="225"/>
        <v>74325</v>
      </c>
      <c r="BM81" s="20">
        <f>BL81*H81/1000</f>
        <v>116.33123527680002</v>
      </c>
      <c r="BN81" s="4">
        <v>-2100</v>
      </c>
      <c r="BO81" s="4">
        <f>BL81+BN81</f>
        <v>72225</v>
      </c>
      <c r="BP81" s="20">
        <f>BO81*H81/1000</f>
        <v>113.04437898240002</v>
      </c>
      <c r="BQ81" s="4">
        <v>1450</v>
      </c>
      <c r="BR81" s="4">
        <f>BO81+BQ81</f>
        <v>73675</v>
      </c>
      <c r="BS81" s="20">
        <f t="shared" si="246"/>
        <v>115.31387499520001</v>
      </c>
      <c r="BT81" s="4">
        <v>5150</v>
      </c>
      <c r="BU81" s="4">
        <f>BR81+BT81</f>
        <v>78825</v>
      </c>
      <c r="BV81" s="20">
        <f t="shared" si="247"/>
        <v>123.37449876480001</v>
      </c>
    </row>
    <row r="82" spans="1:74" hidden="1" x14ac:dyDescent="0.25">
      <c r="A82" s="4" t="s">
        <v>39</v>
      </c>
      <c r="B82" s="4" t="s">
        <v>14</v>
      </c>
      <c r="C82" s="4" t="s">
        <v>18</v>
      </c>
      <c r="D82" s="4">
        <v>48.6</v>
      </c>
      <c r="E82" s="4"/>
      <c r="F82" s="4">
        <v>3.5</v>
      </c>
      <c r="G82" s="4" t="str">
        <f t="shared" si="219"/>
        <v>48.6--3.5</v>
      </c>
      <c r="H82" s="10">
        <v>3.8914760500000001</v>
      </c>
      <c r="I82" s="4">
        <v>65875</v>
      </c>
      <c r="J82" s="4"/>
      <c r="K82" s="4"/>
      <c r="L82" s="4"/>
      <c r="M82" s="4">
        <v>7500</v>
      </c>
      <c r="N82" s="4">
        <f t="shared" si="158"/>
        <v>73375</v>
      </c>
      <c r="O82" s="11">
        <f t="shared" si="220"/>
        <v>285.53705516874999</v>
      </c>
      <c r="P82" s="4">
        <v>5600</v>
      </c>
      <c r="Q82" s="4">
        <f t="shared" si="221"/>
        <v>78975</v>
      </c>
      <c r="R82" s="4">
        <f t="shared" si="222"/>
        <v>307.33</v>
      </c>
      <c r="S82" s="4">
        <v>3900</v>
      </c>
      <c r="T82" s="4">
        <f t="shared" si="223"/>
        <v>82875</v>
      </c>
      <c r="U82" s="4">
        <f t="shared" si="224"/>
        <v>322.51</v>
      </c>
      <c r="V82" s="4">
        <v>3.89</v>
      </c>
      <c r="W82" s="4"/>
      <c r="X82" s="4"/>
      <c r="Y82" s="21">
        <v>289.43</v>
      </c>
      <c r="Z82" s="4">
        <v>6000</v>
      </c>
      <c r="AA82" s="4">
        <f t="shared" ref="AA82:AA86" si="261">Z82+T82</f>
        <v>88875</v>
      </c>
      <c r="AB82" s="4">
        <f t="shared" ref="AB82:AB86" si="262">ROUND(AA82*H82/1000,2)</f>
        <v>345.85</v>
      </c>
      <c r="AC82" s="4">
        <v>-10200</v>
      </c>
      <c r="AD82" s="4">
        <f t="shared" ref="AD82:AD93" si="263">AC82+AA82</f>
        <v>78675</v>
      </c>
      <c r="AE82" s="4">
        <f t="shared" ref="AE82:AE93" si="264">ROUND(AD82*H82/1000,2)</f>
        <v>306.16000000000003</v>
      </c>
      <c r="AF82" s="4">
        <v>-4900</v>
      </c>
      <c r="AG82" s="4">
        <f t="shared" ref="AG82:AG93" si="265">AD82+AF82</f>
        <v>73775</v>
      </c>
      <c r="AH82" s="4">
        <f t="shared" ref="AH82:AH93" si="266">ROUND(AG82*H82/1000,2)</f>
        <v>287.08999999999997</v>
      </c>
      <c r="AI82" s="30">
        <v>3300</v>
      </c>
      <c r="AJ82" s="4">
        <f t="shared" ref="AJ82:AJ86" si="267">AG82+AI82</f>
        <v>77075</v>
      </c>
      <c r="AK82" s="4">
        <f t="shared" ref="AK82:AK86" si="268">ROUND(AJ82*H82/1000,2)</f>
        <v>299.94</v>
      </c>
      <c r="AL82" s="30">
        <v>-3800</v>
      </c>
      <c r="AM82" s="4">
        <f t="shared" ref="AM82:AM86" si="269">AJ82+AL82</f>
        <v>73275</v>
      </c>
      <c r="AN82" s="4">
        <f t="shared" ref="AN82:AN86" si="270">ROUND(AM82*H82/1000,2)</f>
        <v>285.14999999999998</v>
      </c>
      <c r="AO82" s="4">
        <f>2000</f>
        <v>2000</v>
      </c>
      <c r="AP82" s="4">
        <f t="shared" ref="AP82:AP86" si="271">AM82+AO82</f>
        <v>75275</v>
      </c>
      <c r="AQ82" s="4">
        <f t="shared" ref="AQ82:AQ86" si="272">ROUND(AP82*H82/1000,2)</f>
        <v>292.93</v>
      </c>
      <c r="AR82" s="4">
        <v>-1950</v>
      </c>
      <c r="AS82" s="4">
        <f t="shared" si="234"/>
        <v>73325</v>
      </c>
      <c r="AT82" s="20">
        <f t="shared" si="235"/>
        <v>285.34248136625001</v>
      </c>
      <c r="AU82" s="4">
        <v>-2625</v>
      </c>
      <c r="AV82" s="4">
        <f t="shared" si="236"/>
        <v>70700</v>
      </c>
      <c r="AW82" s="20">
        <f t="shared" si="237"/>
        <v>275.12735673499998</v>
      </c>
      <c r="AX82" s="4">
        <v>500</v>
      </c>
      <c r="AY82" s="4">
        <f t="shared" si="238"/>
        <v>71200</v>
      </c>
      <c r="AZ82" s="20">
        <f t="shared" si="239"/>
        <v>277.07309476</v>
      </c>
      <c r="BA82" s="4">
        <v>-4750</v>
      </c>
      <c r="BB82" s="4">
        <f t="shared" si="240"/>
        <v>66450</v>
      </c>
      <c r="BC82" s="20">
        <f t="shared" si="241"/>
        <v>258.58858352250002</v>
      </c>
      <c r="BD82" s="4">
        <v>0</v>
      </c>
      <c r="BE82" s="4">
        <f t="shared" si="242"/>
        <v>66450</v>
      </c>
      <c r="BF82" s="20">
        <f t="shared" si="243"/>
        <v>258.58858352250002</v>
      </c>
      <c r="BG82" s="4">
        <v>2600</v>
      </c>
      <c r="BH82" s="4">
        <f t="shared" si="244"/>
        <v>69050</v>
      </c>
      <c r="BI82" s="20">
        <f t="shared" si="245"/>
        <v>268.70642125250004</v>
      </c>
      <c r="BJ82" s="4">
        <v>1000</v>
      </c>
      <c r="BK82" s="4"/>
      <c r="BL82" s="4">
        <f t="shared" si="225"/>
        <v>70050</v>
      </c>
      <c r="BM82" s="20">
        <f t="shared" ref="BM82:BM93" si="273">BL82*H82/1000</f>
        <v>272.59789730250003</v>
      </c>
      <c r="BN82" s="4">
        <v>-2150</v>
      </c>
      <c r="BO82" s="4">
        <f t="shared" si="251"/>
        <v>67900</v>
      </c>
      <c r="BP82" s="20">
        <f t="shared" ref="BP82:BP93" si="274">BO82*H82/1000</f>
        <v>264.23122379500001</v>
      </c>
      <c r="BQ82" s="4">
        <v>1500</v>
      </c>
      <c r="BR82" s="4">
        <f t="shared" ref="BR82:BR94" si="275">BO82+BQ82</f>
        <v>69400</v>
      </c>
      <c r="BS82" s="20">
        <f t="shared" si="246"/>
        <v>270.06843787000003</v>
      </c>
      <c r="BT82" s="4">
        <v>5500</v>
      </c>
      <c r="BU82" s="4">
        <f t="shared" ref="BU82:BU94" si="276">BR82+BT82</f>
        <v>74900</v>
      </c>
      <c r="BV82" s="20">
        <f t="shared" si="247"/>
        <v>291.47155614499997</v>
      </c>
    </row>
    <row r="83" spans="1:74" hidden="1" x14ac:dyDescent="0.25">
      <c r="A83" s="4" t="s">
        <v>39</v>
      </c>
      <c r="B83" s="4" t="s">
        <v>14</v>
      </c>
      <c r="C83" s="4" t="s">
        <v>18</v>
      </c>
      <c r="D83" s="4">
        <v>42.7</v>
      </c>
      <c r="E83" s="4"/>
      <c r="F83" s="4">
        <v>3.5</v>
      </c>
      <c r="G83" s="4" t="str">
        <f t="shared" si="219"/>
        <v>42.7--3.5</v>
      </c>
      <c r="H83" s="10">
        <v>3.3823916000000005</v>
      </c>
      <c r="I83" s="4">
        <v>65875</v>
      </c>
      <c r="J83" s="4"/>
      <c r="K83" s="4"/>
      <c r="L83" s="4"/>
      <c r="M83" s="4">
        <v>7500</v>
      </c>
      <c r="N83" s="4">
        <f t="shared" si="158"/>
        <v>73375</v>
      </c>
      <c r="O83" s="11">
        <f t="shared" si="220"/>
        <v>248.18298365000004</v>
      </c>
      <c r="P83" s="4">
        <v>5600</v>
      </c>
      <c r="Q83" s="4">
        <f t="shared" si="221"/>
        <v>78975</v>
      </c>
      <c r="R83" s="4">
        <f t="shared" si="222"/>
        <v>267.12</v>
      </c>
      <c r="S83" s="4">
        <v>3900</v>
      </c>
      <c r="T83" s="4">
        <f t="shared" si="223"/>
        <v>82875</v>
      </c>
      <c r="U83" s="4">
        <f t="shared" si="224"/>
        <v>280.32</v>
      </c>
      <c r="V83" s="4">
        <v>3.38</v>
      </c>
      <c r="W83" s="4"/>
      <c r="X83" s="4"/>
      <c r="Y83" s="21">
        <v>251.56</v>
      </c>
      <c r="Z83" s="4">
        <v>6000</v>
      </c>
      <c r="AA83" s="4">
        <f t="shared" si="261"/>
        <v>88875</v>
      </c>
      <c r="AB83" s="4">
        <f t="shared" si="262"/>
        <v>300.61</v>
      </c>
      <c r="AC83" s="4">
        <v>-10200</v>
      </c>
      <c r="AD83" s="4">
        <f t="shared" si="263"/>
        <v>78675</v>
      </c>
      <c r="AE83" s="4">
        <f t="shared" si="264"/>
        <v>266.11</v>
      </c>
      <c r="AF83" s="4">
        <v>-4900</v>
      </c>
      <c r="AG83" s="4">
        <f t="shared" si="265"/>
        <v>73775</v>
      </c>
      <c r="AH83" s="4">
        <f t="shared" si="266"/>
        <v>249.54</v>
      </c>
      <c r="AI83" s="30">
        <v>3300</v>
      </c>
      <c r="AJ83" s="4">
        <f t="shared" si="267"/>
        <v>77075</v>
      </c>
      <c r="AK83" s="4">
        <f t="shared" si="268"/>
        <v>260.7</v>
      </c>
      <c r="AL83" s="30">
        <v>-3800</v>
      </c>
      <c r="AM83" s="4">
        <f t="shared" si="269"/>
        <v>73275</v>
      </c>
      <c r="AN83" s="4">
        <f t="shared" si="270"/>
        <v>247.84</v>
      </c>
      <c r="AO83" s="4">
        <f>2000</f>
        <v>2000</v>
      </c>
      <c r="AP83" s="4">
        <f t="shared" si="271"/>
        <v>75275</v>
      </c>
      <c r="AQ83" s="4">
        <f t="shared" si="272"/>
        <v>254.61</v>
      </c>
      <c r="AR83" s="4">
        <v>-1950</v>
      </c>
      <c r="AS83" s="4">
        <f t="shared" si="234"/>
        <v>73325</v>
      </c>
      <c r="AT83" s="20">
        <f t="shared" si="235"/>
        <v>248.01386407000004</v>
      </c>
      <c r="AU83" s="4">
        <v>-2625</v>
      </c>
      <c r="AV83" s="4">
        <f t="shared" si="236"/>
        <v>70700</v>
      </c>
      <c r="AW83" s="20">
        <f t="shared" si="237"/>
        <v>239.13508612000001</v>
      </c>
      <c r="AX83" s="4">
        <v>500</v>
      </c>
      <c r="AY83" s="4">
        <f t="shared" si="238"/>
        <v>71200</v>
      </c>
      <c r="AZ83" s="20">
        <f t="shared" si="239"/>
        <v>240.82628192000004</v>
      </c>
      <c r="BA83" s="4">
        <v>-4750</v>
      </c>
      <c r="BB83" s="4">
        <f t="shared" si="240"/>
        <v>66450</v>
      </c>
      <c r="BC83" s="20">
        <f t="shared" si="241"/>
        <v>224.75992182000005</v>
      </c>
      <c r="BD83" s="4">
        <v>0</v>
      </c>
      <c r="BE83" s="4">
        <f t="shared" si="242"/>
        <v>66450</v>
      </c>
      <c r="BF83" s="20">
        <f t="shared" si="243"/>
        <v>224.75992182000005</v>
      </c>
      <c r="BG83" s="4">
        <v>2600</v>
      </c>
      <c r="BH83" s="4">
        <f t="shared" si="244"/>
        <v>69050</v>
      </c>
      <c r="BI83" s="20">
        <f t="shared" si="245"/>
        <v>233.55413998000003</v>
      </c>
      <c r="BJ83" s="4">
        <v>1000</v>
      </c>
      <c r="BK83" s="4"/>
      <c r="BL83" s="4">
        <f t="shared" si="225"/>
        <v>70050</v>
      </c>
      <c r="BM83" s="20">
        <f t="shared" si="273"/>
        <v>236.93653158000004</v>
      </c>
      <c r="BN83" s="4">
        <v>-2150</v>
      </c>
      <c r="BO83" s="4">
        <f t="shared" si="251"/>
        <v>67900</v>
      </c>
      <c r="BP83" s="20">
        <f t="shared" si="274"/>
        <v>229.66438964000002</v>
      </c>
      <c r="BQ83" s="4">
        <v>1500</v>
      </c>
      <c r="BR83" s="4">
        <f t="shared" si="275"/>
        <v>69400</v>
      </c>
      <c r="BS83" s="20">
        <f t="shared" si="246"/>
        <v>234.73797704000003</v>
      </c>
      <c r="BT83" s="4">
        <v>5500</v>
      </c>
      <c r="BU83" s="4">
        <f t="shared" si="276"/>
        <v>74900</v>
      </c>
      <c r="BV83" s="20">
        <f t="shared" si="247"/>
        <v>253.34113084000003</v>
      </c>
    </row>
    <row r="84" spans="1:74" hidden="1" x14ac:dyDescent="0.25">
      <c r="A84" s="4" t="s">
        <v>39</v>
      </c>
      <c r="B84" s="4" t="s">
        <v>14</v>
      </c>
      <c r="C84" s="4" t="s">
        <v>18</v>
      </c>
      <c r="D84" s="4">
        <v>34.93</v>
      </c>
      <c r="E84" s="4"/>
      <c r="F84" s="4">
        <v>2.5</v>
      </c>
      <c r="G84" s="4" t="str">
        <f t="shared" si="219"/>
        <v>34.93--2.5</v>
      </c>
      <c r="H84" s="10">
        <v>1.9987419750000002</v>
      </c>
      <c r="I84" s="4">
        <v>65875</v>
      </c>
      <c r="J84" s="4"/>
      <c r="K84" s="4"/>
      <c r="L84" s="4"/>
      <c r="M84" s="4">
        <v>7500</v>
      </c>
      <c r="N84" s="4">
        <f t="shared" si="158"/>
        <v>73375</v>
      </c>
      <c r="O84" s="11">
        <f t="shared" si="220"/>
        <v>146.65769241562501</v>
      </c>
      <c r="P84" s="4">
        <v>5600</v>
      </c>
      <c r="Q84" s="4">
        <f t="shared" si="221"/>
        <v>78975</v>
      </c>
      <c r="R84" s="4">
        <f t="shared" si="222"/>
        <v>157.85</v>
      </c>
      <c r="S84" s="4">
        <v>3900</v>
      </c>
      <c r="T84" s="4">
        <f t="shared" si="223"/>
        <v>82875</v>
      </c>
      <c r="U84" s="4">
        <f t="shared" si="224"/>
        <v>165.65</v>
      </c>
      <c r="V84" s="4">
        <v>2</v>
      </c>
      <c r="W84" s="4"/>
      <c r="X84" s="4"/>
      <c r="Y84" s="21">
        <v>148.66</v>
      </c>
      <c r="Z84" s="4">
        <v>6000</v>
      </c>
      <c r="AA84" s="4">
        <f t="shared" si="261"/>
        <v>88875</v>
      </c>
      <c r="AB84" s="4">
        <f t="shared" si="262"/>
        <v>177.64</v>
      </c>
      <c r="AC84" s="4">
        <v>-10200</v>
      </c>
      <c r="AD84" s="4">
        <f t="shared" si="263"/>
        <v>78675</v>
      </c>
      <c r="AE84" s="4">
        <f t="shared" si="264"/>
        <v>157.25</v>
      </c>
      <c r="AF84" s="4">
        <v>-4900</v>
      </c>
      <c r="AG84" s="4">
        <f t="shared" si="265"/>
        <v>73775</v>
      </c>
      <c r="AH84" s="4">
        <f t="shared" si="266"/>
        <v>147.46</v>
      </c>
      <c r="AI84" s="30">
        <v>3300</v>
      </c>
      <c r="AJ84" s="4">
        <f t="shared" si="267"/>
        <v>77075</v>
      </c>
      <c r="AK84" s="4">
        <f t="shared" si="268"/>
        <v>154.05000000000001</v>
      </c>
      <c r="AL84" s="30">
        <v>-3800</v>
      </c>
      <c r="AM84" s="4">
        <f t="shared" si="269"/>
        <v>73275</v>
      </c>
      <c r="AN84" s="4">
        <f t="shared" si="270"/>
        <v>146.46</v>
      </c>
      <c r="AO84" s="4">
        <f>2000</f>
        <v>2000</v>
      </c>
      <c r="AP84" s="4">
        <f t="shared" si="271"/>
        <v>75275</v>
      </c>
      <c r="AQ84" s="4">
        <f t="shared" si="272"/>
        <v>150.46</v>
      </c>
      <c r="AR84" s="4">
        <v>-1950</v>
      </c>
      <c r="AS84" s="4">
        <f t="shared" si="234"/>
        <v>73325</v>
      </c>
      <c r="AT84" s="20">
        <f t="shared" si="235"/>
        <v>146.55775531687499</v>
      </c>
      <c r="AU84" s="4">
        <v>-2625</v>
      </c>
      <c r="AV84" s="4">
        <f t="shared" si="236"/>
        <v>70700</v>
      </c>
      <c r="AW84" s="20">
        <f t="shared" si="237"/>
        <v>141.31105763250002</v>
      </c>
      <c r="AX84" s="4">
        <v>500</v>
      </c>
      <c r="AY84" s="4">
        <f t="shared" si="238"/>
        <v>71200</v>
      </c>
      <c r="AZ84" s="20">
        <f t="shared" si="239"/>
        <v>142.31042862000001</v>
      </c>
      <c r="BA84" s="4">
        <v>-4750</v>
      </c>
      <c r="BB84" s="4">
        <f t="shared" si="240"/>
        <v>66450</v>
      </c>
      <c r="BC84" s="20">
        <f t="shared" si="241"/>
        <v>132.81640423875001</v>
      </c>
      <c r="BD84" s="4">
        <v>0</v>
      </c>
      <c r="BE84" s="4">
        <f t="shared" si="242"/>
        <v>66450</v>
      </c>
      <c r="BF84" s="20">
        <f t="shared" si="243"/>
        <v>132.81640423875001</v>
      </c>
      <c r="BG84" s="4">
        <v>2600</v>
      </c>
      <c r="BH84" s="4">
        <f t="shared" si="244"/>
        <v>69050</v>
      </c>
      <c r="BI84" s="20">
        <f t="shared" si="245"/>
        <v>138.01313337375004</v>
      </c>
      <c r="BJ84" s="4">
        <v>1000</v>
      </c>
      <c r="BK84" s="4"/>
      <c r="BL84" s="4">
        <f t="shared" si="225"/>
        <v>70050</v>
      </c>
      <c r="BM84" s="20">
        <f t="shared" si="273"/>
        <v>140.01187534875001</v>
      </c>
      <c r="BN84" s="4">
        <v>-2150</v>
      </c>
      <c r="BO84" s="4">
        <f t="shared" si="251"/>
        <v>67900</v>
      </c>
      <c r="BP84" s="20">
        <f t="shared" si="274"/>
        <v>135.71458010250001</v>
      </c>
      <c r="BQ84" s="4">
        <v>1500</v>
      </c>
      <c r="BR84" s="4">
        <f t="shared" si="275"/>
        <v>69400</v>
      </c>
      <c r="BS84" s="20">
        <f t="shared" si="246"/>
        <v>138.712693065</v>
      </c>
      <c r="BT84" s="4">
        <v>5500</v>
      </c>
      <c r="BU84" s="4">
        <f t="shared" si="276"/>
        <v>74900</v>
      </c>
      <c r="BV84" s="20">
        <f t="shared" si="247"/>
        <v>149.70577392750002</v>
      </c>
    </row>
    <row r="85" spans="1:74" hidden="1" x14ac:dyDescent="0.25">
      <c r="A85" s="4" t="s">
        <v>39</v>
      </c>
      <c r="B85" s="4" t="s">
        <v>14</v>
      </c>
      <c r="C85" s="4" t="s">
        <v>18</v>
      </c>
      <c r="D85" s="4">
        <v>48.6</v>
      </c>
      <c r="E85" s="4"/>
      <c r="F85" s="4">
        <v>2</v>
      </c>
      <c r="G85" s="4" t="str">
        <f t="shared" si="219"/>
        <v>48.6--2</v>
      </c>
      <c r="H85" s="10">
        <v>2.2976596000000002</v>
      </c>
      <c r="I85" s="4">
        <v>65875</v>
      </c>
      <c r="J85" s="4"/>
      <c r="K85" s="4"/>
      <c r="L85" s="4"/>
      <c r="M85" s="4">
        <v>7500</v>
      </c>
      <c r="N85" s="4">
        <f t="shared" si="158"/>
        <v>73375</v>
      </c>
      <c r="O85" s="11">
        <f t="shared" si="220"/>
        <v>168.59077315000002</v>
      </c>
      <c r="P85" s="4">
        <v>5600</v>
      </c>
      <c r="Q85" s="4">
        <f t="shared" si="221"/>
        <v>78975</v>
      </c>
      <c r="R85" s="4">
        <f t="shared" si="222"/>
        <v>181.46</v>
      </c>
      <c r="S85" s="4">
        <v>3900</v>
      </c>
      <c r="T85" s="4">
        <f t="shared" si="223"/>
        <v>82875</v>
      </c>
      <c r="U85" s="4">
        <f t="shared" si="224"/>
        <v>190.42</v>
      </c>
      <c r="V85" s="4"/>
      <c r="W85" s="4"/>
      <c r="X85" s="4"/>
      <c r="Y85" s="21">
        <v>168.59</v>
      </c>
      <c r="Z85" s="4">
        <v>6000</v>
      </c>
      <c r="AA85" s="4">
        <f t="shared" si="261"/>
        <v>88875</v>
      </c>
      <c r="AB85" s="4">
        <f t="shared" si="262"/>
        <v>204.2</v>
      </c>
      <c r="AC85" s="4">
        <v>-10200</v>
      </c>
      <c r="AD85" s="4">
        <f t="shared" si="263"/>
        <v>78675</v>
      </c>
      <c r="AE85" s="4">
        <f t="shared" si="264"/>
        <v>180.77</v>
      </c>
      <c r="AF85" s="4">
        <v>-4900</v>
      </c>
      <c r="AG85" s="4">
        <f t="shared" si="265"/>
        <v>73775</v>
      </c>
      <c r="AH85" s="4">
        <f t="shared" si="266"/>
        <v>169.51</v>
      </c>
      <c r="AI85" s="30">
        <v>3300</v>
      </c>
      <c r="AJ85" s="4">
        <f t="shared" si="267"/>
        <v>77075</v>
      </c>
      <c r="AK85" s="4">
        <f t="shared" si="268"/>
        <v>177.09</v>
      </c>
      <c r="AL85" s="30">
        <v>-3800</v>
      </c>
      <c r="AM85" s="4">
        <f t="shared" si="269"/>
        <v>73275</v>
      </c>
      <c r="AN85" s="4">
        <f t="shared" si="270"/>
        <v>168.36</v>
      </c>
      <c r="AO85" s="4">
        <f>2000</f>
        <v>2000</v>
      </c>
      <c r="AP85" s="4">
        <f t="shared" si="271"/>
        <v>75275</v>
      </c>
      <c r="AQ85" s="4">
        <f t="shared" si="272"/>
        <v>172.96</v>
      </c>
      <c r="AR85" s="4">
        <v>-1950</v>
      </c>
      <c r="AS85" s="4">
        <f t="shared" si="234"/>
        <v>73325</v>
      </c>
      <c r="AT85" s="20">
        <f t="shared" si="235"/>
        <v>168.47589017000001</v>
      </c>
      <c r="AU85" s="4">
        <v>-2625</v>
      </c>
      <c r="AV85" s="4">
        <f t="shared" si="236"/>
        <v>70700</v>
      </c>
      <c r="AW85" s="20">
        <f t="shared" si="237"/>
        <v>162.44453372000001</v>
      </c>
      <c r="AX85" s="4">
        <v>500</v>
      </c>
      <c r="AY85" s="4">
        <f t="shared" si="238"/>
        <v>71200</v>
      </c>
      <c r="AZ85" s="20">
        <f t="shared" si="239"/>
        <v>163.59336352000003</v>
      </c>
      <c r="BA85" s="4">
        <v>-4750</v>
      </c>
      <c r="BB85" s="4">
        <f t="shared" si="240"/>
        <v>66450</v>
      </c>
      <c r="BC85" s="20">
        <f t="shared" si="241"/>
        <v>152.67948042</v>
      </c>
      <c r="BD85" s="4">
        <v>0</v>
      </c>
      <c r="BE85" s="4">
        <f t="shared" si="242"/>
        <v>66450</v>
      </c>
      <c r="BF85" s="20">
        <f t="shared" si="243"/>
        <v>152.67948042</v>
      </c>
      <c r="BG85" s="4">
        <v>2600</v>
      </c>
      <c r="BH85" s="4">
        <f t="shared" si="244"/>
        <v>69050</v>
      </c>
      <c r="BI85" s="20">
        <f t="shared" si="245"/>
        <v>158.65339538000003</v>
      </c>
      <c r="BJ85" s="4">
        <v>1000</v>
      </c>
      <c r="BK85" s="4"/>
      <c r="BL85" s="4">
        <f t="shared" si="225"/>
        <v>70050</v>
      </c>
      <c r="BM85" s="20">
        <f t="shared" si="273"/>
        <v>160.95105498000001</v>
      </c>
      <c r="BN85" s="4">
        <v>-2150</v>
      </c>
      <c r="BO85" s="4">
        <f t="shared" si="251"/>
        <v>67900</v>
      </c>
      <c r="BP85" s="20">
        <f t="shared" si="274"/>
        <v>156.01108683999999</v>
      </c>
      <c r="BQ85" s="4">
        <v>1500</v>
      </c>
      <c r="BR85" s="4">
        <f t="shared" si="275"/>
        <v>69400</v>
      </c>
      <c r="BS85" s="20">
        <f t="shared" si="246"/>
        <v>159.45757624000004</v>
      </c>
      <c r="BT85" s="4">
        <v>5500</v>
      </c>
      <c r="BU85" s="4">
        <f t="shared" si="276"/>
        <v>74900</v>
      </c>
      <c r="BV85" s="20">
        <f t="shared" si="247"/>
        <v>172.09470404000001</v>
      </c>
    </row>
    <row r="86" spans="1:74" hidden="1" x14ac:dyDescent="0.25">
      <c r="A86" s="4" t="s">
        <v>39</v>
      </c>
      <c r="B86" s="4" t="s">
        <v>14</v>
      </c>
      <c r="C86" s="4" t="s">
        <v>18</v>
      </c>
      <c r="D86" s="4">
        <v>28.58</v>
      </c>
      <c r="E86" s="4"/>
      <c r="F86" s="4">
        <v>2.5</v>
      </c>
      <c r="G86" s="4" t="str">
        <f t="shared" si="219"/>
        <v>28.58--2.5</v>
      </c>
      <c r="H86" s="10">
        <v>1.6073755999999999</v>
      </c>
      <c r="I86" s="4">
        <v>65875</v>
      </c>
      <c r="J86" s="4"/>
      <c r="K86" s="4"/>
      <c r="L86" s="4"/>
      <c r="M86" s="4">
        <v>7500</v>
      </c>
      <c r="N86" s="4">
        <f t="shared" si="158"/>
        <v>73375</v>
      </c>
      <c r="O86" s="11">
        <f t="shared" si="220"/>
        <v>117.94118465</v>
      </c>
      <c r="P86" s="4">
        <v>5600</v>
      </c>
      <c r="Q86" s="4">
        <f t="shared" si="221"/>
        <v>78975</v>
      </c>
      <c r="R86" s="4">
        <f t="shared" si="222"/>
        <v>126.94</v>
      </c>
      <c r="S86" s="4">
        <v>3900</v>
      </c>
      <c r="T86" s="4">
        <f t="shared" si="223"/>
        <v>82875</v>
      </c>
      <c r="U86" s="4">
        <f t="shared" si="224"/>
        <v>133.21</v>
      </c>
      <c r="V86" s="4"/>
      <c r="W86" s="4"/>
      <c r="X86" s="4"/>
      <c r="Y86" s="21">
        <v>117.94</v>
      </c>
      <c r="Z86" s="4">
        <v>6000</v>
      </c>
      <c r="AA86" s="4">
        <f t="shared" si="261"/>
        <v>88875</v>
      </c>
      <c r="AB86" s="4">
        <f t="shared" si="262"/>
        <v>142.86000000000001</v>
      </c>
      <c r="AC86" s="4">
        <v>-10200</v>
      </c>
      <c r="AD86" s="4">
        <f t="shared" si="263"/>
        <v>78675</v>
      </c>
      <c r="AE86" s="4">
        <f t="shared" si="264"/>
        <v>126.46</v>
      </c>
      <c r="AF86" s="4">
        <v>-4900</v>
      </c>
      <c r="AG86" s="4">
        <f t="shared" si="265"/>
        <v>73775</v>
      </c>
      <c r="AH86" s="4">
        <f t="shared" si="266"/>
        <v>118.58</v>
      </c>
      <c r="AI86" s="30">
        <v>3300</v>
      </c>
      <c r="AJ86" s="4">
        <f t="shared" si="267"/>
        <v>77075</v>
      </c>
      <c r="AK86" s="4">
        <f t="shared" si="268"/>
        <v>123.89</v>
      </c>
      <c r="AL86" s="30">
        <v>-3800</v>
      </c>
      <c r="AM86" s="4">
        <f t="shared" si="269"/>
        <v>73275</v>
      </c>
      <c r="AN86" s="4">
        <f t="shared" si="270"/>
        <v>117.78</v>
      </c>
      <c r="AO86" s="4">
        <f>2000</f>
        <v>2000</v>
      </c>
      <c r="AP86" s="4">
        <f t="shared" si="271"/>
        <v>75275</v>
      </c>
      <c r="AQ86" s="4">
        <f t="shared" si="272"/>
        <v>121</v>
      </c>
      <c r="AR86" s="4">
        <v>-1950</v>
      </c>
      <c r="AS86" s="4">
        <f t="shared" si="234"/>
        <v>73325</v>
      </c>
      <c r="AT86" s="20">
        <f t="shared" si="235"/>
        <v>117.86081587</v>
      </c>
      <c r="AU86" s="4">
        <v>-2625</v>
      </c>
      <c r="AV86" s="4">
        <f t="shared" si="236"/>
        <v>70700</v>
      </c>
      <c r="AW86" s="20">
        <f t="shared" si="237"/>
        <v>113.64145491999999</v>
      </c>
      <c r="AX86" s="4">
        <v>500</v>
      </c>
      <c r="AY86" s="4">
        <f t="shared" si="238"/>
        <v>71200</v>
      </c>
      <c r="AZ86" s="20">
        <f t="shared" si="239"/>
        <v>114.44514271999999</v>
      </c>
      <c r="BA86" s="4">
        <v>-4750</v>
      </c>
      <c r="BB86" s="4">
        <f t="shared" si="240"/>
        <v>66450</v>
      </c>
      <c r="BC86" s="20">
        <f t="shared" si="241"/>
        <v>106.81010861999999</v>
      </c>
      <c r="BD86" s="4">
        <v>0</v>
      </c>
      <c r="BE86" s="4">
        <f t="shared" si="242"/>
        <v>66450</v>
      </c>
      <c r="BF86" s="20">
        <f t="shared" si="243"/>
        <v>106.81010861999999</v>
      </c>
      <c r="BG86" s="4">
        <v>2600</v>
      </c>
      <c r="BH86" s="4">
        <f t="shared" si="244"/>
        <v>69050</v>
      </c>
      <c r="BI86" s="20">
        <f t="shared" si="245"/>
        <v>110.98928518</v>
      </c>
      <c r="BJ86" s="4">
        <v>1000</v>
      </c>
      <c r="BK86" s="4"/>
      <c r="BL86" s="4">
        <f t="shared" si="225"/>
        <v>70050</v>
      </c>
      <c r="BM86" s="20">
        <f t="shared" si="273"/>
        <v>112.59666077999999</v>
      </c>
      <c r="BN86" s="4">
        <v>-2150</v>
      </c>
      <c r="BO86" s="4">
        <f t="shared" si="251"/>
        <v>67900</v>
      </c>
      <c r="BP86" s="20">
        <f t="shared" si="274"/>
        <v>109.14080324</v>
      </c>
      <c r="BQ86" s="4">
        <v>1500</v>
      </c>
      <c r="BR86" s="4">
        <f t="shared" si="275"/>
        <v>69400</v>
      </c>
      <c r="BS86" s="20">
        <f t="shared" si="246"/>
        <v>111.55186663999999</v>
      </c>
      <c r="BT86" s="4">
        <v>5500</v>
      </c>
      <c r="BU86" s="4">
        <f t="shared" si="276"/>
        <v>74900</v>
      </c>
      <c r="BV86" s="20">
        <f t="shared" si="247"/>
        <v>120.39243243999999</v>
      </c>
    </row>
    <row r="87" spans="1:74" x14ac:dyDescent="0.25">
      <c r="A87" s="4" t="s">
        <v>41</v>
      </c>
      <c r="B87" s="4" t="s">
        <v>40</v>
      </c>
      <c r="C87" s="4" t="s">
        <v>15</v>
      </c>
      <c r="D87" s="4">
        <v>19</v>
      </c>
      <c r="E87" s="4">
        <v>19</v>
      </c>
      <c r="F87" s="4">
        <v>1.2</v>
      </c>
      <c r="G87" s="4" t="str">
        <f t="shared" ref="G87:G92" si="277">_xlfn.CONCAT(D87,"-",E87,"-",F87,"-ST")</f>
        <v>19-19-1.2-ST</v>
      </c>
      <c r="H87" s="10">
        <v>0.65100000000000002</v>
      </c>
      <c r="I87" s="4">
        <v>65000</v>
      </c>
      <c r="J87" s="4"/>
      <c r="K87" s="4"/>
      <c r="L87" s="4"/>
      <c r="M87" s="4">
        <v>11800</v>
      </c>
      <c r="N87" s="4">
        <f t="shared" si="158"/>
        <v>76800</v>
      </c>
      <c r="O87" s="11">
        <f t="shared" si="220"/>
        <v>49.9968</v>
      </c>
      <c r="P87" s="4">
        <v>6000</v>
      </c>
      <c r="Q87" s="4">
        <f t="shared" si="221"/>
        <v>82800</v>
      </c>
      <c r="R87" s="4">
        <f t="shared" si="222"/>
        <v>53.9</v>
      </c>
      <c r="S87" s="4">
        <v>4000</v>
      </c>
      <c r="T87" s="4">
        <f t="shared" si="223"/>
        <v>86800</v>
      </c>
      <c r="U87" s="4">
        <f t="shared" si="224"/>
        <v>56.51</v>
      </c>
      <c r="V87" s="4"/>
      <c r="W87" s="4"/>
      <c r="X87" s="4"/>
      <c r="Y87" s="4">
        <v>50</v>
      </c>
      <c r="Z87" s="4">
        <v>5700</v>
      </c>
      <c r="AA87" s="4">
        <f t="shared" ref="AA87:AA93" si="278">T87+Z87</f>
        <v>92500</v>
      </c>
      <c r="AB87" s="20">
        <f t="shared" ref="AB87:AB93" si="279">$H87*AA87/1000</f>
        <v>60.217500000000001</v>
      </c>
      <c r="AC87" s="4">
        <v>-11650</v>
      </c>
      <c r="AD87" s="4">
        <f t="shared" si="263"/>
        <v>80850</v>
      </c>
      <c r="AE87" s="4">
        <f t="shared" si="264"/>
        <v>52.63</v>
      </c>
      <c r="AF87" s="4">
        <v>-4200</v>
      </c>
      <c r="AG87" s="4">
        <f t="shared" si="265"/>
        <v>76650</v>
      </c>
      <c r="AH87" s="4">
        <f t="shared" si="266"/>
        <v>49.9</v>
      </c>
      <c r="AI87" s="30">
        <v>1950</v>
      </c>
      <c r="AJ87" s="4">
        <f t="shared" ref="AJ87:AJ93" si="280">AG87+AI87</f>
        <v>78600</v>
      </c>
      <c r="AK87" s="4">
        <f t="shared" ref="AK87:AK93" si="281">ROUND(AJ87*H87/1000,2)</f>
        <v>51.17</v>
      </c>
      <c r="AL87" s="30">
        <v>-4825</v>
      </c>
      <c r="AM87" s="4">
        <f t="shared" ref="AM87:AM93" si="282">AJ87+AL87</f>
        <v>73775</v>
      </c>
      <c r="AN87" s="4">
        <f t="shared" ref="AN87:AN93" si="283">ROUND(AM87*H87/1000,2)</f>
        <v>48.03</v>
      </c>
      <c r="AO87" s="4">
        <f>1920</f>
        <v>1920</v>
      </c>
      <c r="AP87" s="4">
        <f t="shared" ref="AP87:AP93" si="284">AM87+AO87</f>
        <v>75695</v>
      </c>
      <c r="AQ87" s="4">
        <f t="shared" ref="AQ87:AQ93" si="285">ROUND(AP87*H87/1000,2)</f>
        <v>49.28</v>
      </c>
      <c r="AR87" s="4">
        <v>-1200</v>
      </c>
      <c r="AS87" s="4">
        <f t="shared" si="234"/>
        <v>74495</v>
      </c>
      <c r="AT87" s="20">
        <f t="shared" si="235"/>
        <v>48.496245000000002</v>
      </c>
      <c r="AU87" s="4">
        <v>-2125</v>
      </c>
      <c r="AV87" s="4">
        <f t="shared" si="236"/>
        <v>72370</v>
      </c>
      <c r="AW87" s="20">
        <f t="shared" si="237"/>
        <v>47.112870000000001</v>
      </c>
      <c r="AX87" s="4">
        <v>200</v>
      </c>
      <c r="AY87" s="4">
        <f t="shared" si="238"/>
        <v>72570</v>
      </c>
      <c r="AZ87" s="20">
        <f t="shared" si="239"/>
        <v>47.243070000000003</v>
      </c>
      <c r="BA87" s="4">
        <v>-4150</v>
      </c>
      <c r="BB87" s="4">
        <f t="shared" si="240"/>
        <v>68420</v>
      </c>
      <c r="BC87" s="20">
        <f t="shared" si="241"/>
        <v>44.541419999999995</v>
      </c>
      <c r="BD87" s="4">
        <v>0</v>
      </c>
      <c r="BE87" s="4">
        <f t="shared" si="242"/>
        <v>68420</v>
      </c>
      <c r="BF87" s="20">
        <f t="shared" si="243"/>
        <v>44.541419999999995</v>
      </c>
      <c r="BG87" s="4">
        <v>2600</v>
      </c>
      <c r="BH87" s="4">
        <f t="shared" si="244"/>
        <v>71020</v>
      </c>
      <c r="BI87" s="20">
        <f t="shared" si="245"/>
        <v>46.234020000000001</v>
      </c>
      <c r="BJ87" s="4">
        <v>900</v>
      </c>
      <c r="BK87" s="4">
        <v>-1000</v>
      </c>
      <c r="BL87" s="4">
        <f t="shared" si="225"/>
        <v>70920</v>
      </c>
      <c r="BM87" s="20">
        <f t="shared" si="273"/>
        <v>46.16892</v>
      </c>
      <c r="BN87" s="4">
        <v>-2100</v>
      </c>
      <c r="BO87" s="4">
        <f t="shared" si="251"/>
        <v>68820</v>
      </c>
      <c r="BP87" s="20">
        <f t="shared" si="274"/>
        <v>44.801819999999999</v>
      </c>
      <c r="BQ87" s="4">
        <v>1450</v>
      </c>
      <c r="BR87" s="4">
        <f t="shared" si="275"/>
        <v>70270</v>
      </c>
      <c r="BS87" s="20">
        <f t="shared" si="246"/>
        <v>45.745770000000007</v>
      </c>
      <c r="BT87" s="4">
        <v>5150</v>
      </c>
      <c r="BU87" s="4">
        <f t="shared" si="276"/>
        <v>75420</v>
      </c>
      <c r="BV87" s="20">
        <f t="shared" si="247"/>
        <v>49.098419999999997</v>
      </c>
    </row>
    <row r="88" spans="1:74" x14ac:dyDescent="0.25">
      <c r="A88" s="4" t="s">
        <v>41</v>
      </c>
      <c r="B88" s="4" t="s">
        <v>40</v>
      </c>
      <c r="C88" s="4" t="s">
        <v>15</v>
      </c>
      <c r="D88" s="4">
        <v>25</v>
      </c>
      <c r="E88" s="4">
        <v>25</v>
      </c>
      <c r="F88" s="4">
        <v>1.2</v>
      </c>
      <c r="G88" s="4" t="str">
        <f t="shared" si="277"/>
        <v>25-25-1.2-ST</v>
      </c>
      <c r="H88" s="10">
        <v>0.877</v>
      </c>
      <c r="I88" s="4">
        <v>65000</v>
      </c>
      <c r="J88" s="4"/>
      <c r="K88" s="4"/>
      <c r="L88" s="4"/>
      <c r="M88" s="4">
        <v>11800</v>
      </c>
      <c r="N88" s="4">
        <f t="shared" si="158"/>
        <v>76800</v>
      </c>
      <c r="O88" s="11">
        <f t="shared" si="220"/>
        <v>67.3536</v>
      </c>
      <c r="P88" s="4">
        <v>6000</v>
      </c>
      <c r="Q88" s="4">
        <f t="shared" si="221"/>
        <v>82800</v>
      </c>
      <c r="R88" s="4">
        <f t="shared" si="222"/>
        <v>72.62</v>
      </c>
      <c r="S88" s="4">
        <v>4000</v>
      </c>
      <c r="T88" s="4">
        <f t="shared" si="223"/>
        <v>86800</v>
      </c>
      <c r="U88" s="4">
        <f t="shared" si="224"/>
        <v>76.12</v>
      </c>
      <c r="V88" s="4"/>
      <c r="W88" s="4"/>
      <c r="X88" s="4"/>
      <c r="Y88" s="4">
        <v>67.349999999999994</v>
      </c>
      <c r="Z88" s="4">
        <v>5700</v>
      </c>
      <c r="AA88" s="4">
        <f t="shared" si="278"/>
        <v>92500</v>
      </c>
      <c r="AB88" s="20">
        <f t="shared" si="279"/>
        <v>81.122500000000002</v>
      </c>
      <c r="AC88" s="4">
        <v>-11650</v>
      </c>
      <c r="AD88" s="4">
        <f t="shared" si="263"/>
        <v>80850</v>
      </c>
      <c r="AE88" s="4">
        <f t="shared" si="264"/>
        <v>70.91</v>
      </c>
      <c r="AF88" s="4">
        <v>-4200</v>
      </c>
      <c r="AG88" s="4">
        <f t="shared" si="265"/>
        <v>76650</v>
      </c>
      <c r="AH88" s="4">
        <f t="shared" si="266"/>
        <v>67.22</v>
      </c>
      <c r="AI88" s="30">
        <v>1950</v>
      </c>
      <c r="AJ88" s="4">
        <f t="shared" si="280"/>
        <v>78600</v>
      </c>
      <c r="AK88" s="4">
        <f t="shared" si="281"/>
        <v>68.930000000000007</v>
      </c>
      <c r="AL88" s="30">
        <v>-4825</v>
      </c>
      <c r="AM88" s="4">
        <f t="shared" si="282"/>
        <v>73775</v>
      </c>
      <c r="AN88" s="4">
        <f t="shared" si="283"/>
        <v>64.7</v>
      </c>
      <c r="AO88" s="4">
        <f>1920</f>
        <v>1920</v>
      </c>
      <c r="AP88" s="4">
        <f t="shared" si="284"/>
        <v>75695</v>
      </c>
      <c r="AQ88" s="4">
        <f t="shared" si="285"/>
        <v>66.38</v>
      </c>
      <c r="AR88" s="4">
        <v>-1200</v>
      </c>
      <c r="AS88" s="4">
        <f t="shared" si="234"/>
        <v>74495</v>
      </c>
      <c r="AT88" s="20">
        <f t="shared" si="235"/>
        <v>65.332115000000002</v>
      </c>
      <c r="AU88" s="4">
        <v>-2125</v>
      </c>
      <c r="AV88" s="4">
        <f t="shared" si="236"/>
        <v>72370</v>
      </c>
      <c r="AW88" s="20">
        <f t="shared" si="237"/>
        <v>63.468489999999996</v>
      </c>
      <c r="AX88" s="4">
        <v>200</v>
      </c>
      <c r="AY88" s="4">
        <f t="shared" si="238"/>
        <v>72570</v>
      </c>
      <c r="AZ88" s="20">
        <f t="shared" si="239"/>
        <v>63.643889999999999</v>
      </c>
      <c r="BA88" s="4">
        <v>-4150</v>
      </c>
      <c r="BB88" s="4">
        <f t="shared" si="240"/>
        <v>68420</v>
      </c>
      <c r="BC88" s="20">
        <f t="shared" si="241"/>
        <v>60.004339999999999</v>
      </c>
      <c r="BD88" s="4">
        <v>0</v>
      </c>
      <c r="BE88" s="4">
        <f t="shared" si="242"/>
        <v>68420</v>
      </c>
      <c r="BF88" s="20">
        <f t="shared" si="243"/>
        <v>60.004339999999999</v>
      </c>
      <c r="BG88" s="4">
        <v>2600</v>
      </c>
      <c r="BH88" s="4">
        <f t="shared" si="244"/>
        <v>71020</v>
      </c>
      <c r="BI88" s="20">
        <f t="shared" si="245"/>
        <v>62.28454</v>
      </c>
      <c r="BJ88" s="4">
        <v>900</v>
      </c>
      <c r="BK88" s="4">
        <v>-1000</v>
      </c>
      <c r="BL88" s="4">
        <f t="shared" si="225"/>
        <v>70920</v>
      </c>
      <c r="BM88" s="20">
        <f t="shared" si="273"/>
        <v>62.196839999999995</v>
      </c>
      <c r="BN88" s="4">
        <v>-2100</v>
      </c>
      <c r="BO88" s="4">
        <f t="shared" si="251"/>
        <v>68820</v>
      </c>
      <c r="BP88" s="20">
        <f t="shared" si="274"/>
        <v>60.355139999999999</v>
      </c>
      <c r="BQ88" s="4">
        <v>1450</v>
      </c>
      <c r="BR88" s="4">
        <f t="shared" si="275"/>
        <v>70270</v>
      </c>
      <c r="BS88" s="20">
        <f t="shared" si="246"/>
        <v>61.62679</v>
      </c>
      <c r="BT88" s="4">
        <v>5150</v>
      </c>
      <c r="BU88" s="4">
        <f t="shared" si="276"/>
        <v>75420</v>
      </c>
      <c r="BV88" s="20">
        <f t="shared" si="247"/>
        <v>66.143339999999995</v>
      </c>
    </row>
    <row r="89" spans="1:74" x14ac:dyDescent="0.25">
      <c r="A89" s="4" t="s">
        <v>41</v>
      </c>
      <c r="B89" s="4" t="s">
        <v>40</v>
      </c>
      <c r="C89" s="4" t="s">
        <v>15</v>
      </c>
      <c r="D89" s="4">
        <v>25</v>
      </c>
      <c r="E89" s="4">
        <v>25</v>
      </c>
      <c r="F89" s="4">
        <v>1.6</v>
      </c>
      <c r="G89" s="4" t="str">
        <f t="shared" si="277"/>
        <v>25-25-1.6-ST</v>
      </c>
      <c r="H89" s="10">
        <v>1.141</v>
      </c>
      <c r="I89" s="4">
        <v>65000</v>
      </c>
      <c r="J89" s="4"/>
      <c r="K89" s="4"/>
      <c r="L89" s="4"/>
      <c r="M89" s="4">
        <v>11800</v>
      </c>
      <c r="N89" s="4">
        <f t="shared" si="158"/>
        <v>76800</v>
      </c>
      <c r="O89" s="11">
        <f t="shared" si="220"/>
        <v>87.628799999999998</v>
      </c>
      <c r="P89" s="4">
        <v>6000</v>
      </c>
      <c r="Q89" s="4">
        <f t="shared" si="221"/>
        <v>82800</v>
      </c>
      <c r="R89" s="4">
        <f t="shared" si="222"/>
        <v>94.47</v>
      </c>
      <c r="S89" s="4">
        <v>4000</v>
      </c>
      <c r="T89" s="4">
        <f t="shared" si="223"/>
        <v>86800</v>
      </c>
      <c r="U89" s="4">
        <f t="shared" si="224"/>
        <v>99.04</v>
      </c>
      <c r="V89" s="4"/>
      <c r="W89" s="4"/>
      <c r="X89" s="4"/>
      <c r="Y89" s="4">
        <v>87.63</v>
      </c>
      <c r="Z89" s="4">
        <v>5700</v>
      </c>
      <c r="AA89" s="4">
        <f t="shared" si="278"/>
        <v>92500</v>
      </c>
      <c r="AB89" s="20">
        <f t="shared" si="279"/>
        <v>105.5425</v>
      </c>
      <c r="AC89" s="4">
        <v>-11650</v>
      </c>
      <c r="AD89" s="4">
        <f t="shared" si="263"/>
        <v>80850</v>
      </c>
      <c r="AE89" s="4">
        <f t="shared" si="264"/>
        <v>92.25</v>
      </c>
      <c r="AF89" s="4">
        <v>-4200</v>
      </c>
      <c r="AG89" s="4">
        <f t="shared" si="265"/>
        <v>76650</v>
      </c>
      <c r="AH89" s="4">
        <f t="shared" si="266"/>
        <v>87.46</v>
      </c>
      <c r="AI89" s="30">
        <v>1950</v>
      </c>
      <c r="AJ89" s="4">
        <f t="shared" si="280"/>
        <v>78600</v>
      </c>
      <c r="AK89" s="4">
        <f t="shared" si="281"/>
        <v>89.68</v>
      </c>
      <c r="AL89" s="30">
        <v>-4825</v>
      </c>
      <c r="AM89" s="4">
        <f t="shared" si="282"/>
        <v>73775</v>
      </c>
      <c r="AN89" s="4">
        <f t="shared" si="283"/>
        <v>84.18</v>
      </c>
      <c r="AO89" s="4">
        <f>1920</f>
        <v>1920</v>
      </c>
      <c r="AP89" s="4">
        <f t="shared" si="284"/>
        <v>75695</v>
      </c>
      <c r="AQ89" s="4">
        <f t="shared" si="285"/>
        <v>86.37</v>
      </c>
      <c r="AR89" s="4">
        <v>-1200</v>
      </c>
      <c r="AS89" s="4">
        <f t="shared" si="234"/>
        <v>74495</v>
      </c>
      <c r="AT89" s="20">
        <f t="shared" si="235"/>
        <v>84.998795000000001</v>
      </c>
      <c r="AU89" s="4">
        <v>-2125</v>
      </c>
      <c r="AV89" s="4">
        <f t="shared" si="236"/>
        <v>72370</v>
      </c>
      <c r="AW89" s="20">
        <f t="shared" si="237"/>
        <v>82.574169999999995</v>
      </c>
      <c r="AX89" s="4">
        <v>200</v>
      </c>
      <c r="AY89" s="4">
        <f t="shared" si="238"/>
        <v>72570</v>
      </c>
      <c r="AZ89" s="20">
        <f t="shared" si="239"/>
        <v>82.802369999999996</v>
      </c>
      <c r="BA89" s="4">
        <v>-4150</v>
      </c>
      <c r="BB89" s="4">
        <f t="shared" si="240"/>
        <v>68420</v>
      </c>
      <c r="BC89" s="20">
        <f t="shared" si="241"/>
        <v>78.067220000000006</v>
      </c>
      <c r="BD89" s="4">
        <v>0</v>
      </c>
      <c r="BE89" s="4">
        <f t="shared" si="242"/>
        <v>68420</v>
      </c>
      <c r="BF89" s="20">
        <f t="shared" si="243"/>
        <v>78.067220000000006</v>
      </c>
      <c r="BG89" s="4">
        <v>2600</v>
      </c>
      <c r="BH89" s="4">
        <f t="shared" si="244"/>
        <v>71020</v>
      </c>
      <c r="BI89" s="20">
        <f t="shared" si="245"/>
        <v>81.033820000000006</v>
      </c>
      <c r="BJ89" s="4">
        <v>900</v>
      </c>
      <c r="BK89" s="4">
        <v>-1000</v>
      </c>
      <c r="BL89" s="4">
        <f t="shared" si="225"/>
        <v>70920</v>
      </c>
      <c r="BM89" s="20">
        <f t="shared" si="273"/>
        <v>80.919719999999998</v>
      </c>
      <c r="BN89" s="4">
        <v>-2100</v>
      </c>
      <c r="BO89" s="4">
        <f t="shared" si="251"/>
        <v>68820</v>
      </c>
      <c r="BP89" s="20">
        <f t="shared" si="274"/>
        <v>78.523619999999994</v>
      </c>
      <c r="BQ89" s="4">
        <v>1450</v>
      </c>
      <c r="BR89" s="4">
        <f t="shared" si="275"/>
        <v>70270</v>
      </c>
      <c r="BS89" s="20">
        <f t="shared" si="246"/>
        <v>80.178070000000005</v>
      </c>
      <c r="BT89" s="4">
        <v>5150</v>
      </c>
      <c r="BU89" s="4">
        <f t="shared" si="276"/>
        <v>75420</v>
      </c>
      <c r="BV89" s="20">
        <f t="shared" si="247"/>
        <v>86.054220000000001</v>
      </c>
    </row>
    <row r="90" spans="1:74" hidden="1" x14ac:dyDescent="0.25">
      <c r="A90" s="4" t="s">
        <v>41</v>
      </c>
      <c r="B90" s="4" t="s">
        <v>40</v>
      </c>
      <c r="C90" s="4" t="s">
        <v>15</v>
      </c>
      <c r="D90" s="4">
        <v>30</v>
      </c>
      <c r="E90" s="4">
        <v>30</v>
      </c>
      <c r="F90" s="4">
        <v>2</v>
      </c>
      <c r="G90" s="4" t="str">
        <f t="shared" si="277"/>
        <v>30-30-2-ST</v>
      </c>
      <c r="H90" s="10">
        <v>1.704</v>
      </c>
      <c r="I90" s="4">
        <v>65000</v>
      </c>
      <c r="J90" s="4"/>
      <c r="K90" s="4"/>
      <c r="L90" s="4"/>
      <c r="M90" s="4">
        <v>11800</v>
      </c>
      <c r="N90" s="4">
        <f t="shared" si="158"/>
        <v>76800</v>
      </c>
      <c r="O90" s="11">
        <f t="shared" si="220"/>
        <v>130.8672</v>
      </c>
      <c r="P90" s="4">
        <v>5600</v>
      </c>
      <c r="Q90" s="4">
        <f t="shared" si="221"/>
        <v>82400</v>
      </c>
      <c r="R90" s="4">
        <f t="shared" si="222"/>
        <v>140.41</v>
      </c>
      <c r="S90" s="4">
        <v>3900</v>
      </c>
      <c r="T90" s="4">
        <f t="shared" si="223"/>
        <v>86300</v>
      </c>
      <c r="U90" s="4">
        <f t="shared" si="224"/>
        <v>147.06</v>
      </c>
      <c r="V90" s="4"/>
      <c r="W90" s="4"/>
      <c r="X90" s="4"/>
      <c r="Y90" s="4">
        <v>130.87</v>
      </c>
      <c r="Z90" s="4">
        <v>5700</v>
      </c>
      <c r="AA90" s="4">
        <f t="shared" si="278"/>
        <v>92000</v>
      </c>
      <c r="AB90" s="20">
        <f t="shared" si="279"/>
        <v>156.768</v>
      </c>
      <c r="AC90" s="4">
        <v>-11650</v>
      </c>
      <c r="AD90" s="4">
        <f t="shared" si="263"/>
        <v>80350</v>
      </c>
      <c r="AE90" s="4">
        <f t="shared" si="264"/>
        <v>136.91999999999999</v>
      </c>
      <c r="AF90" s="4">
        <v>-4200</v>
      </c>
      <c r="AG90" s="4">
        <f t="shared" si="265"/>
        <v>76150</v>
      </c>
      <c r="AH90" s="4">
        <f t="shared" si="266"/>
        <v>129.76</v>
      </c>
      <c r="AI90" s="30">
        <v>1950</v>
      </c>
      <c r="AJ90" s="4">
        <f t="shared" si="280"/>
        <v>78100</v>
      </c>
      <c r="AK90" s="4">
        <f t="shared" si="281"/>
        <v>133.08000000000001</v>
      </c>
      <c r="AL90" s="30">
        <v>-4825</v>
      </c>
      <c r="AM90" s="4">
        <f t="shared" si="282"/>
        <v>73275</v>
      </c>
      <c r="AN90" s="4">
        <f t="shared" si="283"/>
        <v>124.86</v>
      </c>
      <c r="AO90" s="4">
        <f>1920</f>
        <v>1920</v>
      </c>
      <c r="AP90" s="4">
        <f t="shared" si="284"/>
        <v>75195</v>
      </c>
      <c r="AQ90" s="4">
        <f t="shared" si="285"/>
        <v>128.13</v>
      </c>
      <c r="AR90" s="4">
        <v>-1200</v>
      </c>
      <c r="AS90" s="4">
        <f t="shared" si="234"/>
        <v>73995</v>
      </c>
      <c r="AT90" s="20">
        <f t="shared" si="235"/>
        <v>126.08748</v>
      </c>
      <c r="AU90" s="4">
        <v>-2125</v>
      </c>
      <c r="AV90" s="4">
        <f t="shared" si="236"/>
        <v>71870</v>
      </c>
      <c r="AW90" s="20">
        <f t="shared" si="237"/>
        <v>122.46647999999999</v>
      </c>
      <c r="AX90" s="4">
        <v>200</v>
      </c>
      <c r="AY90" s="4">
        <f t="shared" si="238"/>
        <v>72070</v>
      </c>
      <c r="AZ90" s="20">
        <f t="shared" si="239"/>
        <v>122.80728000000001</v>
      </c>
      <c r="BA90" s="4">
        <v>-4150</v>
      </c>
      <c r="BB90" s="4">
        <f t="shared" si="240"/>
        <v>67920</v>
      </c>
      <c r="BC90" s="20">
        <f t="shared" si="241"/>
        <v>115.73567999999999</v>
      </c>
      <c r="BD90" s="4">
        <v>0</v>
      </c>
      <c r="BE90" s="4">
        <f t="shared" si="242"/>
        <v>67920</v>
      </c>
      <c r="BF90" s="20">
        <f t="shared" si="243"/>
        <v>115.73567999999999</v>
      </c>
      <c r="BG90" s="4">
        <v>2600</v>
      </c>
      <c r="BH90" s="4">
        <f t="shared" si="244"/>
        <v>70520</v>
      </c>
      <c r="BI90" s="41">
        <f t="shared" si="245"/>
        <v>120.16608000000001</v>
      </c>
      <c r="BJ90" s="4">
        <v>900</v>
      </c>
      <c r="BK90" s="4">
        <v>-1000</v>
      </c>
      <c r="BL90" s="4">
        <f t="shared" si="225"/>
        <v>70420</v>
      </c>
      <c r="BM90" s="41">
        <f t="shared" si="273"/>
        <v>119.99567999999999</v>
      </c>
      <c r="BN90" s="4">
        <v>-2100</v>
      </c>
      <c r="BO90" s="4">
        <f t="shared" si="251"/>
        <v>68320</v>
      </c>
      <c r="BP90" s="41">
        <f t="shared" si="274"/>
        <v>116.41728000000001</v>
      </c>
      <c r="BQ90" s="4">
        <v>1450</v>
      </c>
      <c r="BR90" s="4">
        <f t="shared" si="275"/>
        <v>69770</v>
      </c>
      <c r="BS90" s="20">
        <f t="shared" si="246"/>
        <v>118.88808</v>
      </c>
      <c r="BT90" s="4">
        <v>5150</v>
      </c>
      <c r="BU90" s="4">
        <f t="shared" si="276"/>
        <v>74920</v>
      </c>
      <c r="BV90" s="20">
        <f t="shared" si="247"/>
        <v>127.66368</v>
      </c>
    </row>
    <row r="91" spans="1:74" x14ac:dyDescent="0.25">
      <c r="A91" s="4" t="s">
        <v>41</v>
      </c>
      <c r="B91" s="4" t="s">
        <v>40</v>
      </c>
      <c r="C91" s="4" t="s">
        <v>15</v>
      </c>
      <c r="D91" s="4">
        <v>40</v>
      </c>
      <c r="E91" s="4">
        <v>20</v>
      </c>
      <c r="F91" s="4">
        <v>1.2</v>
      </c>
      <c r="G91" s="4" t="str">
        <f t="shared" si="277"/>
        <v>40-20-1.2-ST</v>
      </c>
      <c r="H91" s="10">
        <v>1.0660000000000001</v>
      </c>
      <c r="I91" s="4">
        <v>65000</v>
      </c>
      <c r="J91" s="4"/>
      <c r="K91" s="4"/>
      <c r="L91" s="4"/>
      <c r="M91" s="4">
        <v>11800</v>
      </c>
      <c r="N91" s="4">
        <f t="shared" si="158"/>
        <v>76800</v>
      </c>
      <c r="O91" s="11">
        <f t="shared" si="220"/>
        <v>81.868800000000007</v>
      </c>
      <c r="P91" s="4">
        <v>6000</v>
      </c>
      <c r="Q91" s="4">
        <f t="shared" si="221"/>
        <v>82800</v>
      </c>
      <c r="R91" s="4">
        <f t="shared" si="222"/>
        <v>88.26</v>
      </c>
      <c r="S91" s="4">
        <v>4000</v>
      </c>
      <c r="T91" s="4">
        <f t="shared" si="223"/>
        <v>86800</v>
      </c>
      <c r="U91" s="4">
        <f t="shared" si="224"/>
        <v>92.53</v>
      </c>
      <c r="V91" s="4"/>
      <c r="W91" s="4"/>
      <c r="X91" s="4"/>
      <c r="Y91" s="4">
        <v>81.87</v>
      </c>
      <c r="Z91" s="4">
        <v>5700</v>
      </c>
      <c r="AA91" s="4">
        <f t="shared" si="278"/>
        <v>92500</v>
      </c>
      <c r="AB91" s="20">
        <f t="shared" si="279"/>
        <v>98.605000000000004</v>
      </c>
      <c r="AC91" s="4">
        <v>-11650</v>
      </c>
      <c r="AD91" s="4">
        <f t="shared" si="263"/>
        <v>80850</v>
      </c>
      <c r="AE91" s="4">
        <f t="shared" si="264"/>
        <v>86.19</v>
      </c>
      <c r="AF91" s="4">
        <v>-4200</v>
      </c>
      <c r="AG91" s="4">
        <f t="shared" si="265"/>
        <v>76650</v>
      </c>
      <c r="AH91" s="4">
        <f t="shared" si="266"/>
        <v>81.709999999999994</v>
      </c>
      <c r="AI91" s="30">
        <v>1950</v>
      </c>
      <c r="AJ91" s="4">
        <f t="shared" si="280"/>
        <v>78600</v>
      </c>
      <c r="AK91" s="4">
        <f t="shared" si="281"/>
        <v>83.79</v>
      </c>
      <c r="AL91" s="30">
        <v>-4825</v>
      </c>
      <c r="AM91" s="4">
        <f t="shared" si="282"/>
        <v>73775</v>
      </c>
      <c r="AN91" s="4">
        <f t="shared" si="283"/>
        <v>78.64</v>
      </c>
      <c r="AO91" s="4">
        <f>1920</f>
        <v>1920</v>
      </c>
      <c r="AP91" s="4">
        <f t="shared" si="284"/>
        <v>75695</v>
      </c>
      <c r="AQ91" s="4">
        <f t="shared" si="285"/>
        <v>80.69</v>
      </c>
      <c r="AR91" s="4">
        <v>-1200</v>
      </c>
      <c r="AS91" s="4">
        <f t="shared" si="234"/>
        <v>74495</v>
      </c>
      <c r="AT91" s="20">
        <f t="shared" si="235"/>
        <v>79.411670000000001</v>
      </c>
      <c r="AU91" s="4">
        <v>-2125</v>
      </c>
      <c r="AV91" s="4">
        <f t="shared" si="236"/>
        <v>72370</v>
      </c>
      <c r="AW91" s="20">
        <f t="shared" si="237"/>
        <v>77.146419999999992</v>
      </c>
      <c r="AX91" s="4">
        <v>200</v>
      </c>
      <c r="AY91" s="4">
        <f t="shared" si="238"/>
        <v>72570</v>
      </c>
      <c r="AZ91" s="20">
        <f t="shared" si="239"/>
        <v>77.359620000000007</v>
      </c>
      <c r="BA91" s="4">
        <v>-4150</v>
      </c>
      <c r="BB91" s="4">
        <f t="shared" si="240"/>
        <v>68420</v>
      </c>
      <c r="BC91" s="20">
        <f t="shared" si="241"/>
        <v>72.935720000000003</v>
      </c>
      <c r="BD91" s="4">
        <v>0</v>
      </c>
      <c r="BE91" s="4">
        <f t="shared" si="242"/>
        <v>68420</v>
      </c>
      <c r="BF91" s="20">
        <f t="shared" si="243"/>
        <v>72.935720000000003</v>
      </c>
      <c r="BG91" s="4">
        <v>2600</v>
      </c>
      <c r="BH91" s="4">
        <f t="shared" si="244"/>
        <v>71020</v>
      </c>
      <c r="BI91" s="20">
        <f t="shared" si="245"/>
        <v>75.70732000000001</v>
      </c>
      <c r="BJ91" s="4">
        <v>900</v>
      </c>
      <c r="BK91" s="4">
        <v>-1000</v>
      </c>
      <c r="BL91" s="4">
        <f t="shared" si="225"/>
        <v>70920</v>
      </c>
      <c r="BM91" s="20">
        <f t="shared" si="273"/>
        <v>75.600719999999995</v>
      </c>
      <c r="BN91" s="4">
        <v>-2100</v>
      </c>
      <c r="BO91" s="4">
        <f t="shared" si="251"/>
        <v>68820</v>
      </c>
      <c r="BP91" s="20">
        <f t="shared" si="274"/>
        <v>73.362120000000004</v>
      </c>
      <c r="BQ91" s="4">
        <v>1450</v>
      </c>
      <c r="BR91" s="4">
        <f t="shared" si="275"/>
        <v>70270</v>
      </c>
      <c r="BS91" s="20">
        <f t="shared" si="246"/>
        <v>74.907820000000001</v>
      </c>
      <c r="BT91" s="4">
        <v>5150</v>
      </c>
      <c r="BU91" s="4">
        <f t="shared" si="276"/>
        <v>75420</v>
      </c>
      <c r="BV91" s="20">
        <f t="shared" si="247"/>
        <v>80.397720000000007</v>
      </c>
    </row>
    <row r="92" spans="1:74" x14ac:dyDescent="0.25">
      <c r="A92" s="4" t="s">
        <v>41</v>
      </c>
      <c r="B92" s="4" t="s">
        <v>40</v>
      </c>
      <c r="C92" s="4" t="s">
        <v>15</v>
      </c>
      <c r="D92" s="4">
        <v>40</v>
      </c>
      <c r="E92" s="4">
        <v>40</v>
      </c>
      <c r="F92" s="4">
        <v>1.2</v>
      </c>
      <c r="G92" s="4" t="str">
        <f t="shared" si="277"/>
        <v>40-40-1.2-ST</v>
      </c>
      <c r="H92" s="10">
        <v>1.4430000000000001</v>
      </c>
      <c r="I92" s="4">
        <v>65000</v>
      </c>
      <c r="J92" s="4"/>
      <c r="K92" s="4"/>
      <c r="L92" s="4"/>
      <c r="M92" s="4">
        <v>11800</v>
      </c>
      <c r="N92" s="4">
        <f t="shared" si="158"/>
        <v>76800</v>
      </c>
      <c r="O92" s="11">
        <f t="shared" si="220"/>
        <v>110.8224</v>
      </c>
      <c r="P92" s="4">
        <v>6000</v>
      </c>
      <c r="Q92" s="4">
        <f t="shared" si="221"/>
        <v>82800</v>
      </c>
      <c r="R92" s="4">
        <f t="shared" si="222"/>
        <v>119.48</v>
      </c>
      <c r="S92" s="4">
        <v>4000</v>
      </c>
      <c r="T92" s="4">
        <f t="shared" si="223"/>
        <v>86800</v>
      </c>
      <c r="U92" s="4">
        <f t="shared" si="224"/>
        <v>125.25</v>
      </c>
      <c r="V92" s="4"/>
      <c r="W92" s="4"/>
      <c r="X92" s="4"/>
      <c r="Y92" s="4">
        <v>110.82</v>
      </c>
      <c r="Z92" s="4">
        <v>5700</v>
      </c>
      <c r="AA92" s="4">
        <f t="shared" si="278"/>
        <v>92500</v>
      </c>
      <c r="AB92" s="20">
        <f t="shared" si="279"/>
        <v>133.47749999999999</v>
      </c>
      <c r="AC92" s="4">
        <v>-11650</v>
      </c>
      <c r="AD92" s="4">
        <f t="shared" si="263"/>
        <v>80850</v>
      </c>
      <c r="AE92" s="4">
        <f t="shared" si="264"/>
        <v>116.67</v>
      </c>
      <c r="AF92" s="4">
        <v>-4200</v>
      </c>
      <c r="AG92" s="4">
        <f t="shared" si="265"/>
        <v>76650</v>
      </c>
      <c r="AH92" s="4">
        <f t="shared" si="266"/>
        <v>110.61</v>
      </c>
      <c r="AI92" s="30">
        <v>1950</v>
      </c>
      <c r="AJ92" s="4">
        <f t="shared" si="280"/>
        <v>78600</v>
      </c>
      <c r="AK92" s="4">
        <f t="shared" si="281"/>
        <v>113.42</v>
      </c>
      <c r="AL92" s="30">
        <v>-4825</v>
      </c>
      <c r="AM92" s="4">
        <f t="shared" si="282"/>
        <v>73775</v>
      </c>
      <c r="AN92" s="4">
        <f t="shared" si="283"/>
        <v>106.46</v>
      </c>
      <c r="AO92" s="4">
        <f>1920</f>
        <v>1920</v>
      </c>
      <c r="AP92" s="4">
        <f t="shared" si="284"/>
        <v>75695</v>
      </c>
      <c r="AQ92" s="4">
        <f t="shared" si="285"/>
        <v>109.23</v>
      </c>
      <c r="AR92" s="4">
        <v>-1200</v>
      </c>
      <c r="AS92" s="4">
        <f t="shared" si="234"/>
        <v>74495</v>
      </c>
      <c r="AT92" s="20">
        <f t="shared" si="235"/>
        <v>107.496285</v>
      </c>
      <c r="AU92" s="4">
        <v>-2125</v>
      </c>
      <c r="AV92" s="4">
        <f t="shared" si="236"/>
        <v>72370</v>
      </c>
      <c r="AW92" s="20">
        <f t="shared" si="237"/>
        <v>104.42991000000001</v>
      </c>
      <c r="AX92" s="4">
        <v>200</v>
      </c>
      <c r="AY92" s="4">
        <f t="shared" si="238"/>
        <v>72570</v>
      </c>
      <c r="AZ92" s="20">
        <f t="shared" si="239"/>
        <v>104.71851000000001</v>
      </c>
      <c r="BA92" s="4">
        <v>-4150</v>
      </c>
      <c r="BB92" s="4">
        <f t="shared" si="240"/>
        <v>68420</v>
      </c>
      <c r="BC92" s="20">
        <f t="shared" si="241"/>
        <v>98.730059999999995</v>
      </c>
      <c r="BD92" s="4">
        <v>0</v>
      </c>
      <c r="BE92" s="4">
        <f t="shared" si="242"/>
        <v>68420</v>
      </c>
      <c r="BF92" s="20">
        <f t="shared" si="243"/>
        <v>98.730059999999995</v>
      </c>
      <c r="BG92" s="4">
        <v>2600</v>
      </c>
      <c r="BH92" s="4">
        <f t="shared" si="244"/>
        <v>71020</v>
      </c>
      <c r="BI92" s="20">
        <f t="shared" si="245"/>
        <v>102.48186</v>
      </c>
      <c r="BJ92" s="4">
        <v>900</v>
      </c>
      <c r="BK92" s="4">
        <v>-1000</v>
      </c>
      <c r="BL92" s="4">
        <f t="shared" si="225"/>
        <v>70920</v>
      </c>
      <c r="BM92" s="20">
        <f t="shared" si="273"/>
        <v>102.33756</v>
      </c>
      <c r="BN92" s="4">
        <v>-2100</v>
      </c>
      <c r="BO92" s="4">
        <f t="shared" si="251"/>
        <v>68820</v>
      </c>
      <c r="BP92" s="20">
        <f t="shared" si="274"/>
        <v>99.307260000000014</v>
      </c>
      <c r="BQ92" s="4">
        <v>1450</v>
      </c>
      <c r="BR92" s="4">
        <f t="shared" si="275"/>
        <v>70270</v>
      </c>
      <c r="BS92" s="20">
        <f t="shared" si="246"/>
        <v>101.39961</v>
      </c>
      <c r="BT92" s="4">
        <v>5150</v>
      </c>
      <c r="BU92" s="4">
        <f t="shared" si="276"/>
        <v>75420</v>
      </c>
      <c r="BV92" s="20">
        <f t="shared" si="247"/>
        <v>108.83105999999999</v>
      </c>
    </row>
    <row r="93" spans="1:74" s="15" customFormat="1" hidden="1" x14ac:dyDescent="0.25">
      <c r="A93" s="4" t="s">
        <v>43</v>
      </c>
      <c r="B93" s="4" t="s">
        <v>14</v>
      </c>
      <c r="C93" s="4" t="s">
        <v>15</v>
      </c>
      <c r="D93" s="4">
        <v>19.05</v>
      </c>
      <c r="E93" s="4"/>
      <c r="F93" s="4">
        <v>1.6</v>
      </c>
      <c r="G93" s="4" t="str">
        <f t="shared" ref="G93:G98" si="286">_xlfn.CONCAT(D93,"-",E93,"-",F93,"-HST")</f>
        <v>19.05--1.6-HST</v>
      </c>
      <c r="H93" s="26">
        <v>0.68831176000000005</v>
      </c>
      <c r="I93" s="13">
        <v>69405</v>
      </c>
      <c r="J93" s="13"/>
      <c r="K93" s="16">
        <v>250</v>
      </c>
      <c r="L93" s="16">
        <v>3500</v>
      </c>
      <c r="M93" s="13">
        <v>9800</v>
      </c>
      <c r="N93" s="13">
        <f t="shared" si="158"/>
        <v>82955</v>
      </c>
      <c r="O93" s="17">
        <f t="shared" si="220"/>
        <v>57.0989020508</v>
      </c>
      <c r="P93" s="13">
        <v>6000</v>
      </c>
      <c r="Q93" s="13">
        <f t="shared" si="221"/>
        <v>88955</v>
      </c>
      <c r="R93" s="13">
        <f t="shared" si="222"/>
        <v>61.23</v>
      </c>
      <c r="S93" s="4">
        <v>4000</v>
      </c>
      <c r="T93" s="4">
        <f t="shared" si="223"/>
        <v>92955</v>
      </c>
      <c r="U93" s="4">
        <f t="shared" si="224"/>
        <v>63.98</v>
      </c>
      <c r="V93" s="13"/>
      <c r="W93" s="13"/>
      <c r="X93" s="13"/>
      <c r="Y93" s="13">
        <v>54.52</v>
      </c>
      <c r="Z93" s="4">
        <v>5700</v>
      </c>
      <c r="AA93" s="4">
        <f t="shared" si="278"/>
        <v>98655</v>
      </c>
      <c r="AB93" s="20">
        <f t="shared" si="279"/>
        <v>67.905396682800017</v>
      </c>
      <c r="AC93" s="4">
        <v>-11650</v>
      </c>
      <c r="AD93" s="4">
        <f t="shared" si="263"/>
        <v>87005</v>
      </c>
      <c r="AE93" s="4">
        <f t="shared" si="264"/>
        <v>59.89</v>
      </c>
      <c r="AF93" s="4">
        <v>-4200</v>
      </c>
      <c r="AG93" s="4">
        <f t="shared" si="265"/>
        <v>82805</v>
      </c>
      <c r="AH93" s="4">
        <f t="shared" si="266"/>
        <v>57</v>
      </c>
      <c r="AI93" s="30">
        <v>1950</v>
      </c>
      <c r="AJ93" s="4">
        <f t="shared" si="280"/>
        <v>84755</v>
      </c>
      <c r="AK93" s="4">
        <f t="shared" si="281"/>
        <v>58.34</v>
      </c>
      <c r="AL93" s="30">
        <v>-4825</v>
      </c>
      <c r="AM93" s="4">
        <f t="shared" si="282"/>
        <v>79930</v>
      </c>
      <c r="AN93" s="4">
        <f t="shared" si="283"/>
        <v>55.02</v>
      </c>
      <c r="AO93" s="4">
        <f>1920</f>
        <v>1920</v>
      </c>
      <c r="AP93" s="4">
        <f t="shared" si="284"/>
        <v>81850</v>
      </c>
      <c r="AQ93" s="4">
        <f t="shared" si="285"/>
        <v>56.34</v>
      </c>
      <c r="AR93" s="4">
        <v>-1200</v>
      </c>
      <c r="AS93" s="4">
        <f t="shared" si="234"/>
        <v>80650</v>
      </c>
      <c r="AT93" s="20">
        <f t="shared" si="235"/>
        <v>55.512343444000003</v>
      </c>
      <c r="AU93" s="4">
        <v>-2125</v>
      </c>
      <c r="AV93" s="4">
        <f t="shared" si="236"/>
        <v>78525</v>
      </c>
      <c r="AW93" s="20">
        <f t="shared" si="237"/>
        <v>54.049680954000003</v>
      </c>
      <c r="AX93" s="4">
        <v>200</v>
      </c>
      <c r="AY93" s="4">
        <f t="shared" si="238"/>
        <v>78725</v>
      </c>
      <c r="AZ93" s="20">
        <f t="shared" si="239"/>
        <v>54.187343306000002</v>
      </c>
      <c r="BA93" s="4">
        <v>-4150</v>
      </c>
      <c r="BB93" s="4">
        <f t="shared" si="240"/>
        <v>74575</v>
      </c>
      <c r="BC93" s="20">
        <f t="shared" si="241"/>
        <v>51.330849502000007</v>
      </c>
      <c r="BD93" s="4">
        <v>0</v>
      </c>
      <c r="BE93" s="4">
        <f t="shared" si="242"/>
        <v>74575</v>
      </c>
      <c r="BF93" s="20">
        <f t="shared" si="243"/>
        <v>51.330849502000007</v>
      </c>
      <c r="BG93" s="4">
        <v>2600</v>
      </c>
      <c r="BH93" s="4">
        <f t="shared" si="244"/>
        <v>77175</v>
      </c>
      <c r="BI93" s="20">
        <f t="shared" si="245"/>
        <v>53.120460078000001</v>
      </c>
      <c r="BJ93" s="4">
        <v>900</v>
      </c>
      <c r="BK93" s="4"/>
      <c r="BL93" s="4">
        <f t="shared" si="225"/>
        <v>78075</v>
      </c>
      <c r="BM93" s="20">
        <f t="shared" si="273"/>
        <v>53.739940662000002</v>
      </c>
      <c r="BN93" s="4">
        <v>-2100</v>
      </c>
      <c r="BO93" s="4">
        <f t="shared" si="251"/>
        <v>75975</v>
      </c>
      <c r="BP93" s="20">
        <f t="shared" si="274"/>
        <v>52.294485966000003</v>
      </c>
      <c r="BQ93" s="4">
        <v>1450</v>
      </c>
      <c r="BR93" s="4">
        <f t="shared" si="275"/>
        <v>77425</v>
      </c>
      <c r="BS93" s="20">
        <f t="shared" si="246"/>
        <v>53.292538018000009</v>
      </c>
      <c r="BT93" s="4">
        <v>5150</v>
      </c>
      <c r="BU93" s="4">
        <f t="shared" si="276"/>
        <v>82575</v>
      </c>
      <c r="BV93" s="20">
        <f t="shared" si="247"/>
        <v>56.837343582000003</v>
      </c>
    </row>
    <row r="94" spans="1:74" hidden="1" x14ac:dyDescent="0.25">
      <c r="A94" s="4" t="s">
        <v>43</v>
      </c>
      <c r="B94" s="4" t="s">
        <v>14</v>
      </c>
      <c r="C94" s="4" t="s">
        <v>18</v>
      </c>
      <c r="D94" s="4">
        <v>38.1</v>
      </c>
      <c r="E94" s="4"/>
      <c r="F94" s="4">
        <v>2</v>
      </c>
      <c r="G94" s="4" t="str">
        <f t="shared" si="286"/>
        <v>38.1--2-HST</v>
      </c>
      <c r="H94" s="10">
        <v>1.7799466000000002</v>
      </c>
      <c r="I94" s="4">
        <v>65875</v>
      </c>
      <c r="J94" s="4"/>
      <c r="K94" s="4"/>
      <c r="L94" s="4">
        <v>3500</v>
      </c>
      <c r="M94" s="4">
        <v>7500</v>
      </c>
      <c r="N94" s="4">
        <f t="shared" si="158"/>
        <v>76875</v>
      </c>
      <c r="O94" s="11">
        <f t="shared" si="220"/>
        <v>136.83339487500001</v>
      </c>
      <c r="P94" s="4">
        <v>5600</v>
      </c>
      <c r="Q94" s="4">
        <f t="shared" si="221"/>
        <v>82475</v>
      </c>
      <c r="R94" s="4">
        <f t="shared" si="222"/>
        <v>146.80000000000001</v>
      </c>
      <c r="S94" s="4">
        <v>3900</v>
      </c>
      <c r="T94" s="4">
        <f t="shared" si="223"/>
        <v>86375</v>
      </c>
      <c r="U94" s="4">
        <f t="shared" si="224"/>
        <v>153.74</v>
      </c>
      <c r="V94" s="4"/>
      <c r="W94" s="4"/>
      <c r="X94" s="4"/>
      <c r="Y94" s="21">
        <v>136.83000000000001</v>
      </c>
      <c r="Z94" s="4">
        <v>6000</v>
      </c>
      <c r="AA94" s="4">
        <f>Z94+T94</f>
        <v>92375</v>
      </c>
      <c r="AB94" s="4">
        <f>ROUND(AA94*H94/1000,2)</f>
        <v>164.42</v>
      </c>
      <c r="AC94" s="4">
        <v>-10200</v>
      </c>
      <c r="AD94" s="4">
        <f>AC94+AA94</f>
        <v>82175</v>
      </c>
      <c r="AE94" s="4">
        <f>ROUND(AD94*H94/1000,2)</f>
        <v>146.27000000000001</v>
      </c>
      <c r="AF94" s="4">
        <v>-4900</v>
      </c>
      <c r="AG94" s="4">
        <f>AD94+AF94</f>
        <v>77275</v>
      </c>
      <c r="AH94" s="4">
        <f>ROUND(AG94*H94/1000,2)</f>
        <v>137.55000000000001</v>
      </c>
      <c r="AI94" s="30">
        <v>3300</v>
      </c>
      <c r="AJ94" s="4">
        <f>AG94+AI94</f>
        <v>80575</v>
      </c>
      <c r="AK94" s="4">
        <f>ROUND(AJ94*H94/1000,2)</f>
        <v>143.41999999999999</v>
      </c>
      <c r="AL94" s="30">
        <v>-3800</v>
      </c>
      <c r="AM94" s="4">
        <f>AJ94+AL94</f>
        <v>76775</v>
      </c>
      <c r="AN94" s="4">
        <f>ROUND(AM94*H94/1000,2)</f>
        <v>136.66</v>
      </c>
      <c r="AO94" s="4">
        <f>2000</f>
        <v>2000</v>
      </c>
      <c r="AP94" s="4">
        <f>AM94+AO94</f>
        <v>78775</v>
      </c>
      <c r="AQ94" s="4">
        <f>ROUND(AP94*H94/1000,2)</f>
        <v>140.22</v>
      </c>
      <c r="AR94" s="4">
        <v>-1950</v>
      </c>
      <c r="AS94" s="4">
        <f t="shared" si="234"/>
        <v>76825</v>
      </c>
      <c r="AT94" s="20">
        <f t="shared" si="235"/>
        <v>136.74439754500003</v>
      </c>
      <c r="AU94" s="4">
        <v>-2625</v>
      </c>
      <c r="AV94" s="4">
        <f t="shared" si="236"/>
        <v>74200</v>
      </c>
      <c r="AW94" s="20">
        <f t="shared" si="237"/>
        <v>132.07203772000003</v>
      </c>
      <c r="AX94" s="4">
        <v>500</v>
      </c>
      <c r="AY94" s="4">
        <f t="shared" si="238"/>
        <v>74700</v>
      </c>
      <c r="AZ94" s="20">
        <f t="shared" si="239"/>
        <v>132.96201102000001</v>
      </c>
      <c r="BA94" s="4">
        <v>-4750</v>
      </c>
      <c r="BB94" s="4">
        <f t="shared" si="240"/>
        <v>69950</v>
      </c>
      <c r="BC94" s="20">
        <f t="shared" si="241"/>
        <v>124.50726467</v>
      </c>
      <c r="BD94" s="4">
        <v>0</v>
      </c>
      <c r="BE94" s="4">
        <f t="shared" si="242"/>
        <v>69950</v>
      </c>
      <c r="BF94" s="20">
        <f t="shared" si="243"/>
        <v>124.50726467</v>
      </c>
      <c r="BG94" s="4">
        <v>2600</v>
      </c>
      <c r="BH94" s="4">
        <f t="shared" si="244"/>
        <v>72550</v>
      </c>
      <c r="BI94" s="20">
        <f t="shared" si="245"/>
        <v>129.13512582999999</v>
      </c>
      <c r="BJ94" s="4">
        <v>1000</v>
      </c>
      <c r="BK94" s="4"/>
      <c r="BL94" s="4">
        <f t="shared" si="225"/>
        <v>73550</v>
      </c>
      <c r="BM94" s="20">
        <f>BL94*H94/1000</f>
        <v>130.91507243000001</v>
      </c>
      <c r="BN94" s="4">
        <v>-2150</v>
      </c>
      <c r="BO94" s="4">
        <f t="shared" si="251"/>
        <v>71400</v>
      </c>
      <c r="BP94" s="20">
        <f>BO94*H94/1000</f>
        <v>127.08818724000001</v>
      </c>
      <c r="BQ94" s="4">
        <v>1500</v>
      </c>
      <c r="BR94" s="4">
        <f t="shared" si="275"/>
        <v>72900</v>
      </c>
      <c r="BS94" s="20">
        <f t="shared" si="246"/>
        <v>129.75810714000002</v>
      </c>
      <c r="BT94" s="4">
        <v>5500</v>
      </c>
      <c r="BU94" s="4">
        <f t="shared" si="276"/>
        <v>78400</v>
      </c>
      <c r="BV94" s="20">
        <f t="shared" si="247"/>
        <v>139.54781344</v>
      </c>
    </row>
    <row r="95" spans="1:74" hidden="1" x14ac:dyDescent="0.25">
      <c r="A95" s="4" t="s">
        <v>43</v>
      </c>
      <c r="B95" s="4" t="s">
        <v>14</v>
      </c>
      <c r="C95" s="4" t="s">
        <v>15</v>
      </c>
      <c r="D95" s="4">
        <v>38.1</v>
      </c>
      <c r="E95" s="4"/>
      <c r="F95" s="4">
        <v>1.6</v>
      </c>
      <c r="G95" s="4" t="str">
        <f t="shared" si="286"/>
        <v>38.1--1.6-HST</v>
      </c>
      <c r="H95" s="10">
        <v>1.4397352000000003</v>
      </c>
      <c r="I95" s="4">
        <v>69405</v>
      </c>
      <c r="J95" s="4"/>
      <c r="K95" s="4"/>
      <c r="L95" s="4">
        <v>3500</v>
      </c>
      <c r="M95" s="4">
        <v>9800</v>
      </c>
      <c r="N95" s="4">
        <f t="shared" si="158"/>
        <v>82705</v>
      </c>
      <c r="O95" s="11">
        <f t="shared" si="220"/>
        <v>119.07329971600002</v>
      </c>
      <c r="P95" s="4">
        <v>6000</v>
      </c>
      <c r="Q95" s="4">
        <f t="shared" si="221"/>
        <v>88705</v>
      </c>
      <c r="R95" s="4">
        <f t="shared" si="222"/>
        <v>127.71</v>
      </c>
      <c r="S95" s="4">
        <v>4000</v>
      </c>
      <c r="T95" s="4">
        <f t="shared" si="223"/>
        <v>92705</v>
      </c>
      <c r="U95" s="4">
        <f t="shared" si="224"/>
        <v>133.47</v>
      </c>
      <c r="V95" s="4"/>
      <c r="W95" s="4"/>
      <c r="X95" s="4"/>
      <c r="Y95" s="4">
        <v>119.07</v>
      </c>
      <c r="Z95" s="4">
        <v>5700</v>
      </c>
      <c r="AA95" s="22">
        <f>T95+Z95</f>
        <v>98405</v>
      </c>
      <c r="AB95" s="23">
        <f>$H95*AA95/1000</f>
        <v>141.67714235600002</v>
      </c>
      <c r="AC95" s="4">
        <v>-11650</v>
      </c>
      <c r="AD95" s="22">
        <f>AC95+AA95</f>
        <v>86755</v>
      </c>
      <c r="AE95" s="22">
        <f>ROUND(AD95*H95/1000,2)</f>
        <v>124.9</v>
      </c>
      <c r="AF95" s="4">
        <v>-4200</v>
      </c>
      <c r="AG95" s="4">
        <f>AD95+AF95</f>
        <v>82555</v>
      </c>
      <c r="AH95" s="4">
        <f>ROUND(AG95*H95/1000,2)</f>
        <v>118.86</v>
      </c>
      <c r="AI95" s="30">
        <v>1950</v>
      </c>
      <c r="AJ95" s="4">
        <f>AG95+AI95</f>
        <v>84505</v>
      </c>
      <c r="AK95" s="4">
        <f>ROUND(AJ95*H95/1000,2)</f>
        <v>121.66</v>
      </c>
      <c r="AL95" s="30">
        <v>-4825</v>
      </c>
      <c r="AM95" s="4">
        <f>AJ95+AL95</f>
        <v>79680</v>
      </c>
      <c r="AN95" s="4">
        <f>ROUND(AM95*H95/1000,2)</f>
        <v>114.72</v>
      </c>
      <c r="AO95" s="4">
        <f>1920</f>
        <v>1920</v>
      </c>
      <c r="AP95" s="4">
        <f>AM95+AO95</f>
        <v>81600</v>
      </c>
      <c r="AQ95" s="4">
        <f>ROUND(AP95*H95/1000,2)</f>
        <v>117.48</v>
      </c>
      <c r="AR95" s="4">
        <v>-1200</v>
      </c>
      <c r="AS95" s="4">
        <f t="shared" si="234"/>
        <v>80400</v>
      </c>
      <c r="AT95" s="20">
        <f t="shared" si="235"/>
        <v>115.75471008000002</v>
      </c>
      <c r="AU95" s="4">
        <v>-2125</v>
      </c>
      <c r="AV95" s="4">
        <f t="shared" si="236"/>
        <v>78275</v>
      </c>
      <c r="AW95" s="20">
        <f t="shared" si="237"/>
        <v>112.69527278000002</v>
      </c>
      <c r="AX95" s="4">
        <v>200</v>
      </c>
      <c r="AY95" s="4">
        <f t="shared" si="238"/>
        <v>78475</v>
      </c>
      <c r="AZ95" s="20">
        <f t="shared" si="239"/>
        <v>112.98321982000003</v>
      </c>
      <c r="BA95" s="4">
        <v>-4150</v>
      </c>
      <c r="BB95" s="4">
        <f t="shared" si="240"/>
        <v>74325</v>
      </c>
      <c r="BC95" s="20">
        <f t="shared" si="241"/>
        <v>107.00831874000002</v>
      </c>
      <c r="BD95" s="4">
        <v>0</v>
      </c>
      <c r="BE95" s="4">
        <f t="shared" si="242"/>
        <v>74325</v>
      </c>
      <c r="BF95" s="20">
        <f t="shared" si="243"/>
        <v>107.00831874000002</v>
      </c>
      <c r="BG95" s="4">
        <v>2600</v>
      </c>
      <c r="BH95" s="4">
        <f t="shared" si="244"/>
        <v>76925</v>
      </c>
      <c r="BI95" s="20">
        <f t="shared" si="245"/>
        <v>110.75163026000001</v>
      </c>
      <c r="BJ95" s="4">
        <v>900</v>
      </c>
      <c r="BK95" s="4"/>
      <c r="BL95" s="4">
        <f t="shared" si="225"/>
        <v>77825</v>
      </c>
      <c r="BM95" s="20">
        <f>BL95*H95/1000</f>
        <v>112.04739194000003</v>
      </c>
      <c r="BN95" s="4">
        <v>-2100</v>
      </c>
      <c r="BO95" s="4">
        <f>BL95+BN95</f>
        <v>75725</v>
      </c>
      <c r="BP95" s="20">
        <f>BO95*H95/1000</f>
        <v>109.02394802000002</v>
      </c>
      <c r="BQ95" s="4">
        <v>1450</v>
      </c>
      <c r="BR95" s="4">
        <f>BO95+BQ95</f>
        <v>77175</v>
      </c>
      <c r="BS95" s="20">
        <f t="shared" si="246"/>
        <v>111.11156406000002</v>
      </c>
      <c r="BT95" s="4">
        <v>5150</v>
      </c>
      <c r="BU95" s="4">
        <f>BR95+BT95</f>
        <v>82325</v>
      </c>
      <c r="BV95" s="20">
        <f t="shared" si="247"/>
        <v>118.52620034000003</v>
      </c>
    </row>
    <row r="96" spans="1:74" hidden="1" x14ac:dyDescent="0.25">
      <c r="A96" s="4" t="s">
        <v>43</v>
      </c>
      <c r="B96" s="4" t="s">
        <v>14</v>
      </c>
      <c r="C96" s="4" t="s">
        <v>18</v>
      </c>
      <c r="D96" s="4">
        <v>57.15</v>
      </c>
      <c r="E96" s="4"/>
      <c r="F96" s="4">
        <v>2.2999999999999998</v>
      </c>
      <c r="G96" s="4" t="str">
        <f t="shared" si="286"/>
        <v>57.15--2.3-HST</v>
      </c>
      <c r="H96" s="10">
        <v>3.110099215</v>
      </c>
      <c r="I96" s="4">
        <v>65875</v>
      </c>
      <c r="J96" s="4"/>
      <c r="K96" s="4"/>
      <c r="L96" s="4">
        <v>3500</v>
      </c>
      <c r="M96" s="4">
        <v>7500</v>
      </c>
      <c r="N96" s="4">
        <f t="shared" si="158"/>
        <v>76875</v>
      </c>
      <c r="O96" s="11">
        <f t="shared" si="220"/>
        <v>239.088877153125</v>
      </c>
      <c r="P96" s="4">
        <v>5600</v>
      </c>
      <c r="Q96" s="4">
        <f t="shared" si="221"/>
        <v>82475</v>
      </c>
      <c r="R96" s="4">
        <f t="shared" si="222"/>
        <v>256.51</v>
      </c>
      <c r="S96" s="4">
        <v>3900</v>
      </c>
      <c r="T96" s="4">
        <f t="shared" si="223"/>
        <v>86375</v>
      </c>
      <c r="U96" s="4">
        <f t="shared" si="224"/>
        <v>268.63</v>
      </c>
      <c r="V96" s="4"/>
      <c r="W96" s="4"/>
      <c r="X96" s="4"/>
      <c r="Y96" s="21">
        <v>239.09</v>
      </c>
      <c r="Z96" s="4">
        <v>6000</v>
      </c>
      <c r="AA96" s="4">
        <f t="shared" ref="AA96:AA97" si="287">Z96+T96</f>
        <v>92375</v>
      </c>
      <c r="AB96" s="4">
        <f t="shared" ref="AB96:AB97" si="288">ROUND(AA96*H96/1000,2)</f>
        <v>287.3</v>
      </c>
      <c r="AC96" s="4">
        <v>-10200</v>
      </c>
      <c r="AD96" s="4">
        <f t="shared" ref="AD96:AD97" si="289">AC96+AA96</f>
        <v>82175</v>
      </c>
      <c r="AE96" s="4">
        <f t="shared" ref="AE96:AE97" si="290">ROUND(AD96*H96/1000,2)</f>
        <v>255.57</v>
      </c>
      <c r="AF96" s="4">
        <v>-4900</v>
      </c>
      <c r="AG96" s="4">
        <f t="shared" ref="AG96:AG100" si="291">AD96+AF96</f>
        <v>77275</v>
      </c>
      <c r="AH96" s="4">
        <f t="shared" ref="AH96:AH100" si="292">ROUND(AG96*H96/1000,2)</f>
        <v>240.33</v>
      </c>
      <c r="AI96" s="30">
        <v>3300</v>
      </c>
      <c r="AJ96" s="4">
        <f t="shared" ref="AJ96:AJ98" si="293">AG96+AI96</f>
        <v>80575</v>
      </c>
      <c r="AK96" s="4">
        <f t="shared" ref="AK96:AK98" si="294">ROUND(AJ96*H96/1000,2)</f>
        <v>250.6</v>
      </c>
      <c r="AL96" s="30">
        <v>-3800</v>
      </c>
      <c r="AM96" s="13">
        <f t="shared" ref="AM96:AM98" si="295">AJ96+AL96</f>
        <v>76775</v>
      </c>
      <c r="AN96" s="4">
        <f t="shared" ref="AN96:AN98" si="296">ROUND(AM96*H96/1000,2)</f>
        <v>238.78</v>
      </c>
      <c r="AO96" s="4">
        <f>2000</f>
        <v>2000</v>
      </c>
      <c r="AP96" s="4">
        <f t="shared" ref="AP96:AP98" si="297">AM96+AO96</f>
        <v>78775</v>
      </c>
      <c r="AQ96" s="4">
        <f t="shared" ref="AQ96:AQ98" si="298">ROUND(AP96*H96/1000,2)</f>
        <v>245</v>
      </c>
      <c r="AR96" s="4">
        <v>-1950</v>
      </c>
      <c r="AS96" s="4">
        <f t="shared" si="234"/>
        <v>76825</v>
      </c>
      <c r="AT96" s="20">
        <f t="shared" si="235"/>
        <v>238.93337219237497</v>
      </c>
      <c r="AU96" s="4">
        <v>-2625</v>
      </c>
      <c r="AV96" s="4">
        <f t="shared" si="236"/>
        <v>74200</v>
      </c>
      <c r="AW96" s="20">
        <f t="shared" si="237"/>
        <v>230.769361753</v>
      </c>
      <c r="AX96" s="4">
        <v>500</v>
      </c>
      <c r="AY96" s="4">
        <f t="shared" si="238"/>
        <v>74700</v>
      </c>
      <c r="AZ96" s="20">
        <f t="shared" si="239"/>
        <v>232.32441136049999</v>
      </c>
      <c r="BA96" s="4">
        <v>-4750</v>
      </c>
      <c r="BB96" s="4">
        <f t="shared" si="240"/>
        <v>69950</v>
      </c>
      <c r="BC96" s="20">
        <f t="shared" si="241"/>
        <v>217.55144008925001</v>
      </c>
      <c r="BD96" s="4">
        <v>0</v>
      </c>
      <c r="BE96" s="4">
        <f t="shared" si="242"/>
        <v>69950</v>
      </c>
      <c r="BF96" s="20">
        <f t="shared" si="243"/>
        <v>217.55144008925001</v>
      </c>
      <c r="BG96" s="4">
        <v>2600</v>
      </c>
      <c r="BH96" s="4">
        <f t="shared" si="244"/>
        <v>72550</v>
      </c>
      <c r="BI96" s="20">
        <f t="shared" si="245"/>
        <v>225.63769804825</v>
      </c>
      <c r="BJ96" s="4">
        <v>1000</v>
      </c>
      <c r="BK96" s="4"/>
      <c r="BL96" s="4">
        <f t="shared" si="225"/>
        <v>73550</v>
      </c>
      <c r="BM96" s="20">
        <f t="shared" ref="BM96:BM100" si="299">BL96*H96/1000</f>
        <v>228.74779726324999</v>
      </c>
      <c r="BN96" s="4">
        <v>-2150</v>
      </c>
      <c r="BO96" s="4">
        <f t="shared" si="251"/>
        <v>71400</v>
      </c>
      <c r="BP96" s="20">
        <f t="shared" ref="BP96:BP100" si="300">BO96*H96/1000</f>
        <v>222.061083951</v>
      </c>
      <c r="BQ96" s="4">
        <v>1500</v>
      </c>
      <c r="BR96" s="4">
        <f t="shared" ref="BR96:BR100" si="301">BO96+BQ96</f>
        <v>72900</v>
      </c>
      <c r="BS96" s="20">
        <f t="shared" si="246"/>
        <v>226.72623277349999</v>
      </c>
      <c r="BT96" s="4">
        <v>5500</v>
      </c>
      <c r="BU96" s="4">
        <f t="shared" ref="BU96:BU100" si="302">BR96+BT96</f>
        <v>78400</v>
      </c>
      <c r="BV96" s="20">
        <f t="shared" si="247"/>
        <v>243.831778456</v>
      </c>
    </row>
    <row r="97" spans="1:74" hidden="1" x14ac:dyDescent="0.25">
      <c r="A97" s="4" t="s">
        <v>43</v>
      </c>
      <c r="B97" s="4" t="s">
        <v>14</v>
      </c>
      <c r="C97" s="4" t="s">
        <v>18</v>
      </c>
      <c r="D97" s="4">
        <v>54</v>
      </c>
      <c r="E97" s="4"/>
      <c r="F97" s="4">
        <v>3</v>
      </c>
      <c r="G97" s="4" t="str">
        <f t="shared" si="286"/>
        <v>54--3-HST</v>
      </c>
      <c r="H97" s="10">
        <v>3.7719090000000004</v>
      </c>
      <c r="I97" s="4">
        <v>65875</v>
      </c>
      <c r="J97" s="4"/>
      <c r="K97" s="4"/>
      <c r="L97" s="4">
        <v>3500</v>
      </c>
      <c r="M97" s="4">
        <v>7500</v>
      </c>
      <c r="N97" s="4">
        <f t="shared" si="158"/>
        <v>76875</v>
      </c>
      <c r="O97" s="11">
        <f t="shared" si="220"/>
        <v>289.96550437500002</v>
      </c>
      <c r="P97" s="4">
        <v>5600</v>
      </c>
      <c r="Q97" s="4">
        <f t="shared" si="221"/>
        <v>82475</v>
      </c>
      <c r="R97" s="4">
        <f t="shared" si="222"/>
        <v>311.08999999999997</v>
      </c>
      <c r="S97" s="4">
        <v>3900</v>
      </c>
      <c r="T97" s="4">
        <f t="shared" si="223"/>
        <v>86375</v>
      </c>
      <c r="U97" s="4">
        <f t="shared" si="224"/>
        <v>325.8</v>
      </c>
      <c r="V97" s="4">
        <v>3.77</v>
      </c>
      <c r="W97" s="4"/>
      <c r="X97" s="4"/>
      <c r="Y97" s="21">
        <v>293.74</v>
      </c>
      <c r="Z97" s="4">
        <v>6000</v>
      </c>
      <c r="AA97" s="4">
        <f t="shared" si="287"/>
        <v>92375</v>
      </c>
      <c r="AB97" s="4">
        <f t="shared" si="288"/>
        <v>348.43</v>
      </c>
      <c r="AC97" s="4">
        <v>-10200</v>
      </c>
      <c r="AD97" s="4">
        <f t="shared" si="289"/>
        <v>82175</v>
      </c>
      <c r="AE97" s="4">
        <f t="shared" si="290"/>
        <v>309.95999999999998</v>
      </c>
      <c r="AF97" s="4">
        <v>-4900</v>
      </c>
      <c r="AG97" s="4">
        <f t="shared" si="291"/>
        <v>77275</v>
      </c>
      <c r="AH97" s="4">
        <f t="shared" si="292"/>
        <v>291.47000000000003</v>
      </c>
      <c r="AI97" s="30">
        <v>3300</v>
      </c>
      <c r="AJ97" s="4">
        <f t="shared" si="293"/>
        <v>80575</v>
      </c>
      <c r="AK97" s="4">
        <f t="shared" si="294"/>
        <v>303.92</v>
      </c>
      <c r="AL97" s="30">
        <v>-3800</v>
      </c>
      <c r="AM97" s="4">
        <f t="shared" si="295"/>
        <v>76775</v>
      </c>
      <c r="AN97" s="4">
        <f t="shared" si="296"/>
        <v>289.58999999999997</v>
      </c>
      <c r="AO97" s="4">
        <f>2000</f>
        <v>2000</v>
      </c>
      <c r="AP97" s="4">
        <f t="shared" si="297"/>
        <v>78775</v>
      </c>
      <c r="AQ97" s="4">
        <f t="shared" si="298"/>
        <v>297.13</v>
      </c>
      <c r="AR97" s="4">
        <v>-1950</v>
      </c>
      <c r="AS97" s="4">
        <f t="shared" si="234"/>
        <v>76825</v>
      </c>
      <c r="AT97" s="20">
        <f t="shared" si="235"/>
        <v>289.77690892500004</v>
      </c>
      <c r="AU97" s="4">
        <v>-2625</v>
      </c>
      <c r="AV97" s="4">
        <f t="shared" si="236"/>
        <v>74200</v>
      </c>
      <c r="AW97" s="20">
        <f t="shared" si="237"/>
        <v>279.87564780000002</v>
      </c>
      <c r="AX97" s="4">
        <v>500</v>
      </c>
      <c r="AY97" s="4">
        <f t="shared" si="238"/>
        <v>74700</v>
      </c>
      <c r="AZ97" s="20">
        <f t="shared" si="239"/>
        <v>281.76160230000005</v>
      </c>
      <c r="BA97" s="4">
        <v>-4750</v>
      </c>
      <c r="BB97" s="4">
        <f t="shared" si="240"/>
        <v>69950</v>
      </c>
      <c r="BC97" s="20">
        <f t="shared" si="241"/>
        <v>263.84503455000004</v>
      </c>
      <c r="BD97" s="4">
        <v>0</v>
      </c>
      <c r="BE97" s="4">
        <f t="shared" si="242"/>
        <v>69950</v>
      </c>
      <c r="BF97" s="20">
        <f t="shared" si="243"/>
        <v>263.84503455000004</v>
      </c>
      <c r="BG97" s="4">
        <v>2600</v>
      </c>
      <c r="BH97" s="4">
        <f t="shared" si="244"/>
        <v>72550</v>
      </c>
      <c r="BI97" s="20">
        <f t="shared" si="245"/>
        <v>273.65199795000007</v>
      </c>
      <c r="BJ97" s="4">
        <v>1000</v>
      </c>
      <c r="BK97" s="4"/>
      <c r="BL97" s="4">
        <f t="shared" si="225"/>
        <v>73550</v>
      </c>
      <c r="BM97" s="20">
        <f t="shared" si="299"/>
        <v>277.42390695000006</v>
      </c>
      <c r="BN97" s="4">
        <v>-2150</v>
      </c>
      <c r="BO97" s="4">
        <f t="shared" si="251"/>
        <v>71400</v>
      </c>
      <c r="BP97" s="20">
        <f t="shared" si="300"/>
        <v>269.31430260000008</v>
      </c>
      <c r="BQ97" s="4">
        <v>1500</v>
      </c>
      <c r="BR97" s="4">
        <f t="shared" si="301"/>
        <v>72900</v>
      </c>
      <c r="BS97" s="20">
        <f t="shared" si="246"/>
        <v>274.97216610000004</v>
      </c>
      <c r="BT97" s="4">
        <v>5500</v>
      </c>
      <c r="BU97" s="4">
        <f t="shared" si="302"/>
        <v>78400</v>
      </c>
      <c r="BV97" s="20">
        <f t="shared" si="247"/>
        <v>295.71766560000003</v>
      </c>
    </row>
    <row r="98" spans="1:74" s="15" customFormat="1" hidden="1" x14ac:dyDescent="0.25">
      <c r="A98" s="4" t="s">
        <v>43</v>
      </c>
      <c r="B98" s="4" t="s">
        <v>14</v>
      </c>
      <c r="C98" s="4" t="s">
        <v>18</v>
      </c>
      <c r="D98" s="4">
        <v>34.93</v>
      </c>
      <c r="E98" s="4"/>
      <c r="F98" s="4">
        <v>2</v>
      </c>
      <c r="G98" s="4" t="str">
        <f t="shared" si="286"/>
        <v>34.93--2-HST</v>
      </c>
      <c r="H98" s="26">
        <v>1.6236465800000002</v>
      </c>
      <c r="I98" s="13">
        <v>65875</v>
      </c>
      <c r="J98" s="13"/>
      <c r="K98" s="13"/>
      <c r="L98" s="13">
        <v>3500</v>
      </c>
      <c r="M98" s="13">
        <v>7500</v>
      </c>
      <c r="N98" s="13">
        <f t="shared" si="158"/>
        <v>76875</v>
      </c>
      <c r="O98" s="17">
        <f t="shared" si="220"/>
        <v>124.81783083750003</v>
      </c>
      <c r="P98" s="13">
        <v>5600</v>
      </c>
      <c r="Q98" s="13">
        <f t="shared" si="221"/>
        <v>82475</v>
      </c>
      <c r="R98" s="13">
        <f t="shared" si="222"/>
        <v>133.91</v>
      </c>
      <c r="S98" s="4">
        <v>3900</v>
      </c>
      <c r="T98" s="4">
        <f t="shared" si="223"/>
        <v>86375</v>
      </c>
      <c r="U98" s="4">
        <f t="shared" si="224"/>
        <v>140.24</v>
      </c>
      <c r="Z98" s="4">
        <v>6000</v>
      </c>
      <c r="AA98" s="4">
        <f>Z98+T98</f>
        <v>92375</v>
      </c>
      <c r="AB98" s="4">
        <f>ROUND(AA98*H98/1000,2)</f>
        <v>149.97999999999999</v>
      </c>
      <c r="AC98" s="4">
        <v>-10200</v>
      </c>
      <c r="AD98" s="4">
        <f>AC98+AA98</f>
        <v>82175</v>
      </c>
      <c r="AE98" s="4">
        <f>ROUND(AD98*H98/1000,2)</f>
        <v>133.41999999999999</v>
      </c>
      <c r="AF98" s="4">
        <v>-4900</v>
      </c>
      <c r="AG98" s="4">
        <f t="shared" si="291"/>
        <v>77275</v>
      </c>
      <c r="AH98" s="4">
        <f t="shared" si="292"/>
        <v>125.47</v>
      </c>
      <c r="AI98" s="30">
        <v>3300</v>
      </c>
      <c r="AJ98" s="4">
        <f t="shared" si="293"/>
        <v>80575</v>
      </c>
      <c r="AK98" s="4">
        <f t="shared" si="294"/>
        <v>130.83000000000001</v>
      </c>
      <c r="AL98" s="30">
        <v>-3800</v>
      </c>
      <c r="AM98" s="4">
        <f t="shared" si="295"/>
        <v>76775</v>
      </c>
      <c r="AN98" s="4">
        <f t="shared" si="296"/>
        <v>124.66</v>
      </c>
      <c r="AO98" s="4">
        <f>2000</f>
        <v>2000</v>
      </c>
      <c r="AP98" s="4">
        <f t="shared" si="297"/>
        <v>78775</v>
      </c>
      <c r="AQ98" s="4">
        <f t="shared" si="298"/>
        <v>127.9</v>
      </c>
      <c r="AR98" s="4">
        <v>-1950</v>
      </c>
      <c r="AS98" s="4">
        <f t="shared" si="234"/>
        <v>76825</v>
      </c>
      <c r="AT98" s="20">
        <f t="shared" si="235"/>
        <v>124.73664850850001</v>
      </c>
      <c r="AU98" s="4">
        <v>-2625</v>
      </c>
      <c r="AV98" s="4">
        <f t="shared" si="236"/>
        <v>74200</v>
      </c>
      <c r="AW98" s="20">
        <f t="shared" si="237"/>
        <v>120.474576236</v>
      </c>
      <c r="AX98" s="4">
        <v>500</v>
      </c>
      <c r="AY98" s="4">
        <f t="shared" si="238"/>
        <v>74700</v>
      </c>
      <c r="AZ98" s="20">
        <f t="shared" si="239"/>
        <v>121.28639952600001</v>
      </c>
      <c r="BA98" s="4">
        <v>-4750</v>
      </c>
      <c r="BB98" s="4">
        <f t="shared" si="240"/>
        <v>69950</v>
      </c>
      <c r="BC98" s="20">
        <f t="shared" si="241"/>
        <v>113.574078271</v>
      </c>
      <c r="BD98" s="4">
        <v>0</v>
      </c>
      <c r="BE98" s="4">
        <f t="shared" si="242"/>
        <v>69950</v>
      </c>
      <c r="BF98" s="20">
        <f t="shared" si="243"/>
        <v>113.574078271</v>
      </c>
      <c r="BG98" s="4">
        <v>2600</v>
      </c>
      <c r="BH98" s="4">
        <f t="shared" si="244"/>
        <v>72550</v>
      </c>
      <c r="BI98" s="20">
        <f t="shared" si="245"/>
        <v>117.79555937900001</v>
      </c>
      <c r="BJ98" s="4">
        <v>1000</v>
      </c>
      <c r="BK98" s="4"/>
      <c r="BL98" s="4">
        <f t="shared" si="225"/>
        <v>73550</v>
      </c>
      <c r="BM98" s="20">
        <f t="shared" si="299"/>
        <v>119.41920595900001</v>
      </c>
      <c r="BN98" s="4">
        <v>-2150</v>
      </c>
      <c r="BO98" s="4">
        <f t="shared" si="251"/>
        <v>71400</v>
      </c>
      <c r="BP98" s="20">
        <f t="shared" si="300"/>
        <v>115.92836581200002</v>
      </c>
      <c r="BQ98" s="4">
        <v>1500</v>
      </c>
      <c r="BR98" s="4">
        <f t="shared" si="301"/>
        <v>72900</v>
      </c>
      <c r="BS98" s="20">
        <f t="shared" si="246"/>
        <v>118.36383568200002</v>
      </c>
      <c r="BT98" s="4">
        <v>5500</v>
      </c>
      <c r="BU98" s="4">
        <f t="shared" si="302"/>
        <v>78400</v>
      </c>
      <c r="BV98" s="20">
        <f t="shared" si="247"/>
        <v>127.293891872</v>
      </c>
    </row>
    <row r="99" spans="1:74" hidden="1" x14ac:dyDescent="0.25">
      <c r="A99" s="4" t="s">
        <v>42</v>
      </c>
      <c r="B99" s="4" t="s">
        <v>14</v>
      </c>
      <c r="C99" s="4" t="s">
        <v>15</v>
      </c>
      <c r="D99" s="4">
        <v>22.23</v>
      </c>
      <c r="E99" s="4"/>
      <c r="F99" s="4">
        <v>1.63</v>
      </c>
      <c r="G99" s="4" t="str">
        <f t="shared" ref="G99:G100" si="303">_xlfn.CONCAT(D99,"-",E99,"-",F99)</f>
        <v>22.23--1.63</v>
      </c>
      <c r="H99" s="10">
        <v>0.82779843400000008</v>
      </c>
      <c r="I99" s="4">
        <v>71625</v>
      </c>
      <c r="J99" s="4"/>
      <c r="K99" s="4"/>
      <c r="L99" s="4"/>
      <c r="M99" s="4">
        <v>9800</v>
      </c>
      <c r="N99" s="4">
        <f t="shared" si="158"/>
        <v>81425</v>
      </c>
      <c r="O99" s="11">
        <f t="shared" si="220"/>
        <v>67.403487488449997</v>
      </c>
      <c r="P99" s="4">
        <v>6000</v>
      </c>
      <c r="Q99" s="4">
        <f t="shared" si="221"/>
        <v>87425</v>
      </c>
      <c r="R99" s="4">
        <f t="shared" si="222"/>
        <v>72.37</v>
      </c>
      <c r="S99" s="4">
        <v>4000</v>
      </c>
      <c r="T99" s="4">
        <f t="shared" si="223"/>
        <v>91425</v>
      </c>
      <c r="U99" s="4">
        <f t="shared" si="224"/>
        <v>75.680000000000007</v>
      </c>
      <c r="V99" s="4"/>
      <c r="W99" s="4"/>
      <c r="X99" s="4"/>
      <c r="Y99" s="4"/>
      <c r="Z99" s="4">
        <v>5700</v>
      </c>
      <c r="AA99" s="22">
        <f t="shared" ref="AA99:AA100" si="304">T99+Z99</f>
        <v>97125</v>
      </c>
      <c r="AB99" s="23">
        <f t="shared" ref="AB99:AB100" si="305">$H99*AA99/1000</f>
        <v>80.399922902250012</v>
      </c>
      <c r="AC99" s="4">
        <v>-11650</v>
      </c>
      <c r="AD99" s="22">
        <f t="shared" ref="AD99:AD100" si="306">AC99+AA99</f>
        <v>85475</v>
      </c>
      <c r="AE99" s="22">
        <f t="shared" ref="AE99:AE100" si="307">ROUND(AD99*H99/1000,2)</f>
        <v>70.760000000000005</v>
      </c>
      <c r="AF99" s="4">
        <v>-4200</v>
      </c>
      <c r="AG99" s="4">
        <f t="shared" si="291"/>
        <v>81275</v>
      </c>
      <c r="AH99" s="4">
        <f t="shared" si="292"/>
        <v>67.28</v>
      </c>
      <c r="AI99" s="30">
        <v>1950</v>
      </c>
      <c r="AJ99" s="4">
        <f t="shared" ref="AJ99:AJ100" si="308">AG99+AI99</f>
        <v>83225</v>
      </c>
      <c r="AK99" s="4">
        <f t="shared" ref="AK99:AK100" si="309">ROUND(AJ99*H99/1000,2)</f>
        <v>68.89</v>
      </c>
      <c r="AL99" s="30">
        <v>-4825</v>
      </c>
      <c r="AM99" s="4">
        <f t="shared" ref="AM99:AM100" si="310">AJ99+AL99</f>
        <v>78400</v>
      </c>
      <c r="AN99" s="4">
        <f t="shared" ref="AN99:AN100" si="311">ROUND(AM99*H99/1000,2)</f>
        <v>64.900000000000006</v>
      </c>
      <c r="AO99" s="4">
        <f>1920</f>
        <v>1920</v>
      </c>
      <c r="AP99" s="4">
        <f t="shared" ref="AP99:AP100" si="312">AM99+AO99</f>
        <v>80320</v>
      </c>
      <c r="AQ99" s="4">
        <f t="shared" ref="AQ99:AQ100" si="313">ROUND(AP99*H99/1000,2)</f>
        <v>66.489999999999995</v>
      </c>
      <c r="AR99" s="4">
        <v>-1200</v>
      </c>
      <c r="AS99" s="4">
        <f t="shared" si="234"/>
        <v>79120</v>
      </c>
      <c r="AT99" s="20">
        <f t="shared" si="235"/>
        <v>65.49541209808001</v>
      </c>
      <c r="AU99" s="4">
        <v>-2125</v>
      </c>
      <c r="AV99" s="4">
        <f t="shared" si="236"/>
        <v>76995</v>
      </c>
      <c r="AW99" s="20">
        <f t="shared" si="237"/>
        <v>63.736340425830008</v>
      </c>
      <c r="AX99" s="4">
        <v>200</v>
      </c>
      <c r="AY99" s="4">
        <f t="shared" si="238"/>
        <v>77195</v>
      </c>
      <c r="AZ99" s="20">
        <f t="shared" si="239"/>
        <v>63.90190011263001</v>
      </c>
      <c r="BA99" s="4">
        <v>-4150</v>
      </c>
      <c r="BB99" s="4">
        <f t="shared" si="240"/>
        <v>73045</v>
      </c>
      <c r="BC99" s="20">
        <f t="shared" si="241"/>
        <v>60.466536611530003</v>
      </c>
      <c r="BD99" s="4">
        <v>0</v>
      </c>
      <c r="BE99" s="4">
        <f t="shared" si="242"/>
        <v>73045</v>
      </c>
      <c r="BF99" s="20">
        <f t="shared" si="243"/>
        <v>60.466536611530003</v>
      </c>
      <c r="BG99" s="4">
        <v>2600</v>
      </c>
      <c r="BH99" s="4">
        <f t="shared" si="244"/>
        <v>75645</v>
      </c>
      <c r="BI99" s="20">
        <f t="shared" si="245"/>
        <v>62.618812539930005</v>
      </c>
      <c r="BJ99" s="4">
        <v>900</v>
      </c>
      <c r="BK99" s="4"/>
      <c r="BL99" s="4">
        <f t="shared" si="225"/>
        <v>76545</v>
      </c>
      <c r="BM99" s="20">
        <f t="shared" si="299"/>
        <v>63.363831130530009</v>
      </c>
      <c r="BN99" s="4">
        <v>-2100</v>
      </c>
      <c r="BO99" s="4">
        <f t="shared" si="251"/>
        <v>74445</v>
      </c>
      <c r="BP99" s="20">
        <f t="shared" si="300"/>
        <v>61.625454419130008</v>
      </c>
      <c r="BQ99" s="4">
        <v>1450</v>
      </c>
      <c r="BR99" s="4">
        <f t="shared" si="301"/>
        <v>75895</v>
      </c>
      <c r="BS99" s="20">
        <f t="shared" si="246"/>
        <v>62.825762148430002</v>
      </c>
      <c r="BT99" s="4">
        <v>5150</v>
      </c>
      <c r="BU99" s="4">
        <f t="shared" si="302"/>
        <v>81045</v>
      </c>
      <c r="BV99" s="20">
        <f t="shared" si="247"/>
        <v>67.088924083530003</v>
      </c>
    </row>
    <row r="100" spans="1:74" hidden="1" x14ac:dyDescent="0.25">
      <c r="A100" s="4" t="s">
        <v>42</v>
      </c>
      <c r="B100" s="4" t="s">
        <v>14</v>
      </c>
      <c r="C100" s="4" t="s">
        <v>15</v>
      </c>
      <c r="D100" s="4">
        <v>22.23</v>
      </c>
      <c r="E100" s="4"/>
      <c r="F100" s="4">
        <v>2.0299999999999998</v>
      </c>
      <c r="G100" s="4" t="str">
        <f t="shared" si="303"/>
        <v>22.23--2.03</v>
      </c>
      <c r="H100" s="10">
        <v>1.0109209179999998</v>
      </c>
      <c r="I100" s="4">
        <v>71625</v>
      </c>
      <c r="J100" s="4"/>
      <c r="K100" s="4"/>
      <c r="L100" s="4"/>
      <c r="M100" s="4">
        <v>9800</v>
      </c>
      <c r="N100" s="4">
        <f t="shared" si="158"/>
        <v>81425</v>
      </c>
      <c r="O100" s="11">
        <f t="shared" si="220"/>
        <v>82.314235748149997</v>
      </c>
      <c r="P100" s="4">
        <v>6000</v>
      </c>
      <c r="Q100" s="4">
        <f t="shared" si="221"/>
        <v>87425</v>
      </c>
      <c r="R100" s="4">
        <f t="shared" si="222"/>
        <v>88.38</v>
      </c>
      <c r="S100" s="4">
        <v>4000</v>
      </c>
      <c r="T100" s="4">
        <f t="shared" si="223"/>
        <v>91425</v>
      </c>
      <c r="U100" s="4">
        <f t="shared" si="224"/>
        <v>92.42</v>
      </c>
      <c r="V100" s="4"/>
      <c r="W100" s="4"/>
      <c r="X100" s="4"/>
      <c r="Y100" s="4"/>
      <c r="Z100" s="4">
        <v>5700</v>
      </c>
      <c r="AA100" s="22">
        <f t="shared" si="304"/>
        <v>97125</v>
      </c>
      <c r="AB100" s="23">
        <f t="shared" si="305"/>
        <v>98.185694160749989</v>
      </c>
      <c r="AC100" s="4">
        <v>-11650</v>
      </c>
      <c r="AD100" s="22">
        <f t="shared" si="306"/>
        <v>85475</v>
      </c>
      <c r="AE100" s="22">
        <f t="shared" si="307"/>
        <v>86.41</v>
      </c>
      <c r="AF100" s="4">
        <v>-4200</v>
      </c>
      <c r="AG100" s="4">
        <f t="shared" si="291"/>
        <v>81275</v>
      </c>
      <c r="AH100" s="4">
        <f t="shared" si="292"/>
        <v>82.16</v>
      </c>
      <c r="AI100" s="30">
        <v>1950</v>
      </c>
      <c r="AJ100" s="4">
        <f t="shared" si="308"/>
        <v>83225</v>
      </c>
      <c r="AK100" s="4">
        <f t="shared" si="309"/>
        <v>84.13</v>
      </c>
      <c r="AL100" s="30">
        <v>-4825</v>
      </c>
      <c r="AM100" s="4">
        <f t="shared" si="310"/>
        <v>78400</v>
      </c>
      <c r="AN100" s="4">
        <f t="shared" si="311"/>
        <v>79.260000000000005</v>
      </c>
      <c r="AO100" s="4">
        <f>1920</f>
        <v>1920</v>
      </c>
      <c r="AP100" s="4">
        <f t="shared" si="312"/>
        <v>80320</v>
      </c>
      <c r="AQ100" s="4">
        <f t="shared" si="313"/>
        <v>81.2</v>
      </c>
      <c r="AR100" s="4">
        <v>-1200</v>
      </c>
      <c r="AS100" s="4">
        <f t="shared" si="234"/>
        <v>79120</v>
      </c>
      <c r="AT100" s="20">
        <f t="shared" si="235"/>
        <v>79.984063032159995</v>
      </c>
      <c r="AU100" s="4">
        <v>-2125</v>
      </c>
      <c r="AV100" s="4">
        <f t="shared" si="236"/>
        <v>76995</v>
      </c>
      <c r="AW100" s="20">
        <f t="shared" si="237"/>
        <v>77.835856081409986</v>
      </c>
      <c r="AX100" s="4">
        <v>200</v>
      </c>
      <c r="AY100" s="4">
        <f t="shared" si="238"/>
        <v>77195</v>
      </c>
      <c r="AZ100" s="20">
        <f t="shared" si="239"/>
        <v>78.038040265009982</v>
      </c>
      <c r="BA100" s="4">
        <v>-4150</v>
      </c>
      <c r="BB100" s="4">
        <f t="shared" si="240"/>
        <v>73045</v>
      </c>
      <c r="BC100" s="20">
        <f t="shared" si="241"/>
        <v>73.842718455309992</v>
      </c>
      <c r="BD100" s="4">
        <v>0</v>
      </c>
      <c r="BE100" s="4">
        <f t="shared" si="242"/>
        <v>73045</v>
      </c>
      <c r="BF100" s="20">
        <f t="shared" si="243"/>
        <v>73.842718455309992</v>
      </c>
      <c r="BG100" s="4">
        <v>2600</v>
      </c>
      <c r="BH100" s="4">
        <f t="shared" si="244"/>
        <v>75645</v>
      </c>
      <c r="BI100" s="41">
        <f t="shared" si="245"/>
        <v>76.471112842109989</v>
      </c>
      <c r="BJ100" s="4">
        <v>900</v>
      </c>
      <c r="BK100" s="4"/>
      <c r="BL100" s="4">
        <f t="shared" si="225"/>
        <v>76545</v>
      </c>
      <c r="BM100" s="41">
        <f t="shared" si="299"/>
        <v>77.380941668309987</v>
      </c>
      <c r="BN100" s="4">
        <v>-2100</v>
      </c>
      <c r="BO100" s="4">
        <f t="shared" si="251"/>
        <v>74445</v>
      </c>
      <c r="BP100" s="41">
        <f t="shared" si="300"/>
        <v>75.258007740509981</v>
      </c>
      <c r="BQ100" s="4">
        <v>1450</v>
      </c>
      <c r="BR100" s="4">
        <f t="shared" si="301"/>
        <v>75895</v>
      </c>
      <c r="BS100" s="20">
        <f t="shared" si="246"/>
        <v>76.723843071609977</v>
      </c>
      <c r="BT100" s="4">
        <v>5150</v>
      </c>
      <c r="BU100" s="4">
        <f t="shared" si="302"/>
        <v>81045</v>
      </c>
      <c r="BV100" s="20">
        <f t="shared" si="247"/>
        <v>81.930085799309992</v>
      </c>
    </row>
    <row r="101" spans="1:74" hidden="1" x14ac:dyDescent="0.25"/>
    <row r="102" spans="1:74" ht="45" hidden="1" x14ac:dyDescent="0.25">
      <c r="A102" s="1" t="s">
        <v>1</v>
      </c>
      <c r="B102" s="1" t="s">
        <v>2</v>
      </c>
      <c r="C102" s="1" t="s">
        <v>3</v>
      </c>
      <c r="D102" s="1" t="s">
        <v>4</v>
      </c>
      <c r="E102" s="1" t="s">
        <v>5</v>
      </c>
      <c r="F102" s="1" t="s">
        <v>26</v>
      </c>
      <c r="G102" s="1"/>
      <c r="H102" s="1" t="s">
        <v>114</v>
      </c>
      <c r="T102" s="19"/>
    </row>
    <row r="103" spans="1:74" hidden="1" x14ac:dyDescent="0.25">
      <c r="A103" s="4" t="s">
        <v>39</v>
      </c>
      <c r="B103" s="4" t="s">
        <v>14</v>
      </c>
      <c r="C103" s="4" t="s">
        <v>18</v>
      </c>
      <c r="D103" s="4">
        <v>60.3</v>
      </c>
      <c r="E103" s="4"/>
      <c r="F103" s="4">
        <v>2</v>
      </c>
      <c r="G103" s="4" t="str">
        <f t="shared" ref="G103" si="314">_xlfn.CONCAT(D103,"-",E103,"-",F103)</f>
        <v>60.3--2</v>
      </c>
      <c r="H103" s="10">
        <f t="shared" ref="H103:H108" si="315">(3.14*(D103-F103)*F103*1000*7.85)/1000000</f>
        <v>2.8740733999999999</v>
      </c>
      <c r="T103" s="19"/>
      <c r="U103" s="19"/>
      <c r="AV103">
        <v>70700</v>
      </c>
      <c r="AW103" s="36">
        <f t="shared" ref="AW103:AW109" si="316">H103*AV103/1000</f>
        <v>203.19698937999999</v>
      </c>
      <c r="AY103">
        <f>AY84</f>
        <v>71200</v>
      </c>
      <c r="AZ103" s="20">
        <f t="shared" ref="AZ103:AZ109" si="317">AY103*H103/1000</f>
        <v>204.63402607999998</v>
      </c>
      <c r="BA103" s="4"/>
      <c r="BB103" s="4">
        <f>BB84</f>
        <v>66450</v>
      </c>
      <c r="BC103" s="20">
        <f>BB103*H103/1000</f>
        <v>190.98217742999998</v>
      </c>
      <c r="BD103" s="4">
        <v>0</v>
      </c>
      <c r="BE103" s="4">
        <f t="shared" ref="BE103:BE110" si="318">BB103+BD103</f>
        <v>66450</v>
      </c>
      <c r="BF103" s="20">
        <f t="shared" ref="BF103:BF110" si="319">BE103*H103/1000</f>
        <v>190.98217742999998</v>
      </c>
      <c r="BG103" s="4">
        <v>2600</v>
      </c>
      <c r="BH103" s="4">
        <f t="shared" ref="BH103:BH109" si="320">BE103+BG103</f>
        <v>69050</v>
      </c>
      <c r="BI103" s="20">
        <f t="shared" ref="BI103:BI109" si="321">BH103*H103/1000</f>
        <v>198.45476826999999</v>
      </c>
      <c r="BJ103" s="4">
        <v>1000</v>
      </c>
      <c r="BK103" s="4"/>
      <c r="BL103" s="4">
        <f t="shared" ref="BL103:BL119" si="322">BH103+BJ103+BK103</f>
        <v>70050</v>
      </c>
      <c r="BM103" s="20">
        <f t="shared" ref="BM103:BM110" si="323">BL103*H103/1000</f>
        <v>201.32884167</v>
      </c>
      <c r="BN103" s="4">
        <v>-2150</v>
      </c>
      <c r="BO103" s="4">
        <f t="shared" ref="BO103:BO110" si="324">BL103+BN103</f>
        <v>67900</v>
      </c>
      <c r="BP103" s="20">
        <f t="shared" ref="BP103:BP110" si="325">BO103*H103/1000</f>
        <v>195.14958385999998</v>
      </c>
      <c r="BQ103" s="4">
        <v>1500</v>
      </c>
      <c r="BR103" s="4">
        <f t="shared" ref="BR103:BR119" si="326">BO103+BQ103</f>
        <v>69400</v>
      </c>
      <c r="BS103" s="20">
        <f t="shared" ref="BS103:BS119" si="327">BR103*H103/1000</f>
        <v>199.46069396000001</v>
      </c>
      <c r="BT103" s="4">
        <v>5500</v>
      </c>
      <c r="BU103" s="4">
        <f t="shared" ref="BU103:BU119" si="328">BR103+BT103</f>
        <v>74900</v>
      </c>
      <c r="BV103" s="20">
        <f t="shared" ref="BV103:BV119" si="329">BU103*H103/1000</f>
        <v>215.26809766</v>
      </c>
    </row>
    <row r="104" spans="1:74" hidden="1" x14ac:dyDescent="0.25">
      <c r="A104" s="4" t="s">
        <v>39</v>
      </c>
      <c r="B104" s="4" t="s">
        <v>14</v>
      </c>
      <c r="C104" s="4" t="s">
        <v>18</v>
      </c>
      <c r="D104" s="4">
        <v>31.75</v>
      </c>
      <c r="E104" s="4"/>
      <c r="F104" s="4">
        <v>2.2999999999999998</v>
      </c>
      <c r="G104" s="4" t="str">
        <f t="shared" ref="G104" si="330">_xlfn.CONCAT(D104,"-",E104,"-",F104)</f>
        <v>31.75--2.3</v>
      </c>
      <c r="H104" s="10">
        <f t="shared" si="315"/>
        <v>1.6696000149999999</v>
      </c>
      <c r="AG104">
        <f>74025</f>
        <v>74025</v>
      </c>
      <c r="AJ104">
        <f>77075+1000+250</f>
        <v>78325</v>
      </c>
      <c r="AV104">
        <v>70700</v>
      </c>
      <c r="AW104" s="36">
        <f t="shared" si="316"/>
        <v>118.04072106049999</v>
      </c>
      <c r="AY104">
        <f>AY85</f>
        <v>71200</v>
      </c>
      <c r="AZ104" s="20">
        <f t="shared" si="317"/>
        <v>118.87552106799998</v>
      </c>
      <c r="BA104" s="4"/>
      <c r="BB104" s="4">
        <f>BB85</f>
        <v>66450</v>
      </c>
      <c r="BC104" s="20">
        <f t="shared" ref="BC104:BC115" si="331">BB104*H104/1000</f>
        <v>110.94492099674999</v>
      </c>
      <c r="BD104" s="4">
        <v>0</v>
      </c>
      <c r="BE104" s="4">
        <f t="shared" si="318"/>
        <v>66450</v>
      </c>
      <c r="BF104" s="20">
        <f t="shared" si="319"/>
        <v>110.94492099674999</v>
      </c>
      <c r="BG104" s="4">
        <v>2600</v>
      </c>
      <c r="BH104" s="4">
        <f t="shared" si="320"/>
        <v>69050</v>
      </c>
      <c r="BI104" s="20">
        <f t="shared" si="321"/>
        <v>115.28588103574999</v>
      </c>
      <c r="BJ104" s="4">
        <v>1000</v>
      </c>
      <c r="BK104" s="4"/>
      <c r="BL104" s="4">
        <f t="shared" si="322"/>
        <v>70050</v>
      </c>
      <c r="BM104" s="20">
        <f t="shared" si="323"/>
        <v>116.95548105075</v>
      </c>
      <c r="BN104" s="4">
        <v>-2150</v>
      </c>
      <c r="BO104" s="4">
        <f t="shared" si="324"/>
        <v>67900</v>
      </c>
      <c r="BP104" s="20">
        <f t="shared" si="325"/>
        <v>113.36584101849999</v>
      </c>
      <c r="BQ104" s="4">
        <v>1500</v>
      </c>
      <c r="BR104" s="4">
        <f t="shared" si="326"/>
        <v>69400</v>
      </c>
      <c r="BS104" s="20">
        <f t="shared" si="327"/>
        <v>115.87024104099999</v>
      </c>
      <c r="BT104" s="4">
        <v>5500</v>
      </c>
      <c r="BU104" s="4">
        <f t="shared" si="328"/>
        <v>74900</v>
      </c>
      <c r="BV104" s="20">
        <f t="shared" si="329"/>
        <v>125.05304112349999</v>
      </c>
    </row>
    <row r="105" spans="1:74" hidden="1" x14ac:dyDescent="0.25">
      <c r="A105" s="4" t="s">
        <v>39</v>
      </c>
      <c r="B105" s="4" t="s">
        <v>14</v>
      </c>
      <c r="C105" s="4" t="s">
        <v>18</v>
      </c>
      <c r="D105" s="4">
        <v>41.28</v>
      </c>
      <c r="E105" s="4"/>
      <c r="F105" s="4">
        <v>2.6</v>
      </c>
      <c r="G105" s="4" t="str">
        <f t="shared" ref="G105:G108" si="332">_xlfn.CONCAT(D105,"-",E105,"-",F105)</f>
        <v>41.28--2.6</v>
      </c>
      <c r="H105" s="10">
        <f t="shared" si="315"/>
        <v>2.4789006320000002</v>
      </c>
      <c r="AG105">
        <f>AG104-AG83</f>
        <v>250</v>
      </c>
      <c r="AJ105">
        <f>73775+3300+1000+250</f>
        <v>78325</v>
      </c>
      <c r="AV105">
        <v>70700</v>
      </c>
      <c r="AW105" s="36">
        <f t="shared" si="316"/>
        <v>175.25827468240001</v>
      </c>
      <c r="AY105">
        <f>AY86</f>
        <v>71200</v>
      </c>
      <c r="AZ105" s="20">
        <f t="shared" si="317"/>
        <v>176.49772499840003</v>
      </c>
      <c r="BA105" s="4"/>
      <c r="BB105" s="4">
        <f>BB86</f>
        <v>66450</v>
      </c>
      <c r="BC105" s="20">
        <f t="shared" si="331"/>
        <v>164.72294699640003</v>
      </c>
      <c r="BD105" s="4">
        <v>0</v>
      </c>
      <c r="BE105" s="4">
        <f t="shared" si="318"/>
        <v>66450</v>
      </c>
      <c r="BF105" s="20">
        <f t="shared" si="319"/>
        <v>164.72294699640003</v>
      </c>
      <c r="BG105" s="4">
        <v>2600</v>
      </c>
      <c r="BH105" s="4">
        <f t="shared" si="320"/>
        <v>69050</v>
      </c>
      <c r="BI105" s="20">
        <f t="shared" si="321"/>
        <v>171.16808863960003</v>
      </c>
      <c r="BJ105" s="4">
        <v>1000</v>
      </c>
      <c r="BK105" s="4"/>
      <c r="BL105" s="4">
        <f t="shared" si="322"/>
        <v>70050</v>
      </c>
      <c r="BM105" s="20">
        <f t="shared" si="323"/>
        <v>173.64698927160001</v>
      </c>
      <c r="BN105" s="4">
        <v>-2150</v>
      </c>
      <c r="BO105" s="4">
        <f t="shared" si="324"/>
        <v>67900</v>
      </c>
      <c r="BP105" s="20">
        <f t="shared" si="325"/>
        <v>168.3173529128</v>
      </c>
      <c r="BQ105" s="4">
        <v>1500</v>
      </c>
      <c r="BR105" s="4">
        <f t="shared" si="326"/>
        <v>69400</v>
      </c>
      <c r="BS105" s="20">
        <f t="shared" si="327"/>
        <v>172.03570386080003</v>
      </c>
      <c r="BT105" s="4">
        <v>5500</v>
      </c>
      <c r="BU105" s="4">
        <f t="shared" si="328"/>
        <v>74900</v>
      </c>
      <c r="BV105" s="20">
        <f t="shared" si="329"/>
        <v>185.66965733680001</v>
      </c>
    </row>
    <row r="106" spans="1:74" hidden="1" x14ac:dyDescent="0.25">
      <c r="A106" s="4" t="s">
        <v>39</v>
      </c>
      <c r="B106" s="4" t="s">
        <v>14</v>
      </c>
      <c r="C106" s="4" t="s">
        <v>18</v>
      </c>
      <c r="D106" s="4">
        <v>41.28</v>
      </c>
      <c r="E106" s="4"/>
      <c r="F106" s="4">
        <v>3.2</v>
      </c>
      <c r="G106" s="4" t="str">
        <f t="shared" ref="G106" si="333">_xlfn.CONCAT(D106,"-",E106,"-",F106)</f>
        <v>41.28--3.2</v>
      </c>
      <c r="H106" s="10">
        <f t="shared" si="315"/>
        <v>3.0036285440000001</v>
      </c>
      <c r="AV106">
        <v>70700</v>
      </c>
      <c r="AW106" s="36">
        <f t="shared" si="316"/>
        <v>212.35653806080001</v>
      </c>
      <c r="AY106">
        <f>AY87</f>
        <v>72570</v>
      </c>
      <c r="AZ106" s="20">
        <f t="shared" si="317"/>
        <v>217.97332343808</v>
      </c>
      <c r="BA106" s="4"/>
      <c r="BB106" s="4">
        <f>BB86</f>
        <v>66450</v>
      </c>
      <c r="BC106" s="20">
        <f t="shared" si="331"/>
        <v>199.5911167488</v>
      </c>
      <c r="BD106" s="4">
        <v>0</v>
      </c>
      <c r="BE106" s="4">
        <f t="shared" si="318"/>
        <v>66450</v>
      </c>
      <c r="BF106" s="20">
        <f t="shared" si="319"/>
        <v>199.5911167488</v>
      </c>
      <c r="BG106" s="4">
        <v>2600</v>
      </c>
      <c r="BH106" s="4">
        <f t="shared" si="320"/>
        <v>69050</v>
      </c>
      <c r="BI106" s="20">
        <f t="shared" si="321"/>
        <v>207.4005509632</v>
      </c>
      <c r="BJ106" s="4">
        <v>1000</v>
      </c>
      <c r="BK106" s="4"/>
      <c r="BL106" s="4">
        <f t="shared" si="322"/>
        <v>70050</v>
      </c>
      <c r="BM106" s="20">
        <f t="shared" si="323"/>
        <v>210.40417950719998</v>
      </c>
      <c r="BN106" s="4">
        <v>-2150</v>
      </c>
      <c r="BO106" s="4">
        <f t="shared" si="324"/>
        <v>67900</v>
      </c>
      <c r="BP106" s="20">
        <f t="shared" si="325"/>
        <v>203.94637813759999</v>
      </c>
      <c r="BQ106" s="4">
        <v>1500</v>
      </c>
      <c r="BR106" s="4">
        <f t="shared" si="326"/>
        <v>69400</v>
      </c>
      <c r="BS106" s="20">
        <f t="shared" si="327"/>
        <v>208.45182095360002</v>
      </c>
      <c r="BT106" s="4">
        <v>5500</v>
      </c>
      <c r="BU106" s="4">
        <f t="shared" si="328"/>
        <v>74900</v>
      </c>
      <c r="BV106" s="20">
        <f t="shared" si="329"/>
        <v>224.97177794560002</v>
      </c>
    </row>
    <row r="107" spans="1:74" hidden="1" x14ac:dyDescent="0.25">
      <c r="A107" s="4" t="s">
        <v>39</v>
      </c>
      <c r="B107" s="4" t="s">
        <v>14</v>
      </c>
      <c r="C107" s="4" t="s">
        <v>18</v>
      </c>
      <c r="D107" s="4">
        <v>41.28</v>
      </c>
      <c r="E107" s="4"/>
      <c r="F107" s="4">
        <v>3.15</v>
      </c>
      <c r="G107" s="4" t="str">
        <f t="shared" ref="G107" si="334">_xlfn.CONCAT(D107,"-",E107,"-",F107)</f>
        <v>41.28--3.15</v>
      </c>
      <c r="H107" s="10">
        <f t="shared" si="315"/>
        <v>2.9605790655000002</v>
      </c>
      <c r="AV107">
        <v>70700</v>
      </c>
      <c r="AW107" s="36">
        <f t="shared" ref="AW107" si="335">H107*AV107/1000</f>
        <v>209.31293993085001</v>
      </c>
      <c r="AY107">
        <f>AY88</f>
        <v>72570</v>
      </c>
      <c r="AZ107" s="20">
        <f t="shared" ref="AZ107" si="336">AY107*H107/1000</f>
        <v>214.84922278333502</v>
      </c>
      <c r="BA107" s="4"/>
      <c r="BB107" s="4">
        <f>BB106</f>
        <v>66450</v>
      </c>
      <c r="BC107" s="20">
        <f t="shared" ref="BC107" si="337">BB107*H107/1000</f>
        <v>196.730478902475</v>
      </c>
      <c r="BD107" s="4">
        <v>0</v>
      </c>
      <c r="BE107" s="4">
        <f t="shared" ref="BE107" si="338">BB107+BD107</f>
        <v>66450</v>
      </c>
      <c r="BF107" s="20">
        <f t="shared" ref="BF107" si="339">BE107*H107/1000</f>
        <v>196.730478902475</v>
      </c>
      <c r="BG107" s="4">
        <v>2600</v>
      </c>
      <c r="BH107" s="4">
        <f t="shared" ref="BH107" si="340">BE107+BG107</f>
        <v>69050</v>
      </c>
      <c r="BI107" s="20">
        <f t="shared" ref="BI107" si="341">BH107*H107/1000</f>
        <v>204.42798447277502</v>
      </c>
      <c r="BJ107" s="4">
        <v>1000</v>
      </c>
      <c r="BK107" s="4"/>
      <c r="BL107" s="4">
        <f t="shared" si="322"/>
        <v>70050</v>
      </c>
      <c r="BM107" s="20">
        <f t="shared" si="323"/>
        <v>207.38856353827501</v>
      </c>
      <c r="BN107" s="4">
        <v>-2150</v>
      </c>
      <c r="BO107" s="4">
        <f t="shared" si="324"/>
        <v>67900</v>
      </c>
      <c r="BP107" s="20">
        <f t="shared" si="325"/>
        <v>201.02331854745</v>
      </c>
      <c r="BQ107" s="4">
        <v>1500</v>
      </c>
      <c r="BR107" s="4">
        <f t="shared" si="326"/>
        <v>69400</v>
      </c>
      <c r="BS107" s="20">
        <f t="shared" si="327"/>
        <v>205.46418714570001</v>
      </c>
      <c r="BT107" s="4">
        <v>5500</v>
      </c>
      <c r="BU107" s="4">
        <f t="shared" si="328"/>
        <v>74900</v>
      </c>
      <c r="BV107" s="20">
        <f t="shared" si="329"/>
        <v>221.74737200595001</v>
      </c>
    </row>
    <row r="108" spans="1:74" hidden="1" x14ac:dyDescent="0.25">
      <c r="A108" s="4" t="s">
        <v>39</v>
      </c>
      <c r="B108" s="4" t="s">
        <v>14</v>
      </c>
      <c r="C108" s="4" t="s">
        <v>18</v>
      </c>
      <c r="D108" s="4">
        <v>31.75</v>
      </c>
      <c r="E108" s="4"/>
      <c r="F108" s="4">
        <v>3.2</v>
      </c>
      <c r="G108" s="4" t="str">
        <f t="shared" si="332"/>
        <v>31.75--3.2</v>
      </c>
      <c r="H108" s="10">
        <f t="shared" si="315"/>
        <v>2.2519326400000002</v>
      </c>
      <c r="AV108">
        <v>70700</v>
      </c>
      <c r="AW108" s="36">
        <f t="shared" si="316"/>
        <v>159.21163764799999</v>
      </c>
      <c r="AY108">
        <v>71200</v>
      </c>
      <c r="AZ108" s="20">
        <f t="shared" si="317"/>
        <v>160.337603968</v>
      </c>
      <c r="BA108" s="4"/>
      <c r="BB108" s="4">
        <v>71200</v>
      </c>
      <c r="BC108" s="20">
        <f t="shared" si="331"/>
        <v>160.337603968</v>
      </c>
      <c r="BD108" s="4">
        <v>0</v>
      </c>
      <c r="BE108" s="4">
        <f t="shared" si="318"/>
        <v>71200</v>
      </c>
      <c r="BF108" s="20">
        <f t="shared" si="319"/>
        <v>160.337603968</v>
      </c>
      <c r="BG108" s="4">
        <v>2600</v>
      </c>
      <c r="BH108" s="4">
        <f t="shared" si="320"/>
        <v>73800</v>
      </c>
      <c r="BI108" s="20">
        <f t="shared" si="321"/>
        <v>166.19262883200003</v>
      </c>
      <c r="BJ108" s="4">
        <v>1000</v>
      </c>
      <c r="BK108" s="4"/>
      <c r="BL108" s="4">
        <f t="shared" si="322"/>
        <v>74800</v>
      </c>
      <c r="BM108" s="20">
        <f t="shared" si="323"/>
        <v>168.444561472</v>
      </c>
      <c r="BN108" s="4">
        <v>-2150</v>
      </c>
      <c r="BO108" s="4">
        <f t="shared" si="324"/>
        <v>72650</v>
      </c>
      <c r="BP108" s="20">
        <f t="shared" si="325"/>
        <v>163.60290629600001</v>
      </c>
      <c r="BQ108" s="4">
        <v>1500</v>
      </c>
      <c r="BR108" s="4">
        <f t="shared" si="326"/>
        <v>74150</v>
      </c>
      <c r="BS108" s="20">
        <f t="shared" si="327"/>
        <v>166.98080525600002</v>
      </c>
      <c r="BT108" s="4">
        <v>5500</v>
      </c>
      <c r="BU108" s="4">
        <f t="shared" si="328"/>
        <v>79650</v>
      </c>
      <c r="BV108" s="20">
        <f t="shared" si="329"/>
        <v>179.36643477600001</v>
      </c>
    </row>
    <row r="109" spans="1:74" x14ac:dyDescent="0.25">
      <c r="A109" s="4" t="s">
        <v>41</v>
      </c>
      <c r="B109" s="4" t="s">
        <v>40</v>
      </c>
      <c r="C109" s="4" t="s">
        <v>15</v>
      </c>
      <c r="D109" s="4">
        <v>19</v>
      </c>
      <c r="E109" s="4">
        <v>19</v>
      </c>
      <c r="F109" s="4">
        <v>1</v>
      </c>
      <c r="G109" s="4" t="str">
        <f>_xlfn.CONCAT(D109,"-",E109,"-",F109,"-ST")</f>
        <v>19-19-1-ST</v>
      </c>
      <c r="H109" s="38">
        <f>(3.14*((D109+E109)*2/PI()-F109)*F109*1000*7.85)/1000000</f>
        <v>0.57164854922536346</v>
      </c>
      <c r="AV109">
        <f>AV87</f>
        <v>72370</v>
      </c>
      <c r="AW109" s="36">
        <f t="shared" si="316"/>
        <v>41.370205507439557</v>
      </c>
      <c r="AY109">
        <f>AY88</f>
        <v>72570</v>
      </c>
      <c r="AZ109" s="20">
        <f t="shared" si="317"/>
        <v>41.484535217284623</v>
      </c>
      <c r="BA109" s="4"/>
      <c r="BB109" s="4">
        <f>BB88</f>
        <v>68420</v>
      </c>
      <c r="BC109" s="20">
        <f t="shared" si="331"/>
        <v>39.11219373799937</v>
      </c>
      <c r="BD109" s="4">
        <v>0</v>
      </c>
      <c r="BE109" s="4">
        <f t="shared" si="318"/>
        <v>68420</v>
      </c>
      <c r="BF109" s="20">
        <f t="shared" si="319"/>
        <v>39.11219373799937</v>
      </c>
      <c r="BG109" s="4">
        <v>2600</v>
      </c>
      <c r="BH109" s="4">
        <f t="shared" si="320"/>
        <v>71020</v>
      </c>
      <c r="BI109" s="20">
        <f t="shared" si="321"/>
        <v>40.598479965985319</v>
      </c>
      <c r="BJ109" s="4">
        <v>900</v>
      </c>
      <c r="BK109" s="4">
        <v>-1000</v>
      </c>
      <c r="BL109" s="4">
        <f t="shared" si="322"/>
        <v>70920</v>
      </c>
      <c r="BM109" s="20">
        <f t="shared" si="323"/>
        <v>40.541315111062772</v>
      </c>
      <c r="BN109" s="4">
        <v>-2100</v>
      </c>
      <c r="BO109" s="4">
        <f t="shared" si="324"/>
        <v>68820</v>
      </c>
      <c r="BP109" s="20">
        <f t="shared" si="325"/>
        <v>39.340853157689509</v>
      </c>
      <c r="BQ109" s="4">
        <v>1450</v>
      </c>
      <c r="BR109" s="4">
        <f t="shared" si="326"/>
        <v>70270</v>
      </c>
      <c r="BS109" s="20">
        <f t="shared" si="327"/>
        <v>40.169743554066294</v>
      </c>
      <c r="BT109" s="4">
        <v>5150</v>
      </c>
      <c r="BU109" s="4">
        <f t="shared" si="328"/>
        <v>75420</v>
      </c>
      <c r="BV109" s="20">
        <f t="shared" si="329"/>
        <v>43.113733582576913</v>
      </c>
    </row>
    <row r="110" spans="1:74" x14ac:dyDescent="0.25">
      <c r="A110" s="4" t="s">
        <v>41</v>
      </c>
      <c r="B110" s="4" t="s">
        <v>40</v>
      </c>
      <c r="C110" s="4" t="s">
        <v>15</v>
      </c>
      <c r="D110" s="4">
        <v>30</v>
      </c>
      <c r="E110" s="4">
        <v>30</v>
      </c>
      <c r="F110" s="4">
        <v>1.2</v>
      </c>
      <c r="G110" s="4" t="str">
        <f>_xlfn.CONCAT(D110,"-",E110,"-",F110,"-ST")</f>
        <v>30-30-1.2-ST</v>
      </c>
      <c r="H110" s="10">
        <f>(3.14*((D110+E110)*2/PI()-F110)*F110*1000*7.85)/1000000</f>
        <v>1.0943323753743728</v>
      </c>
      <c r="BB110">
        <f>BB109</f>
        <v>68420</v>
      </c>
      <c r="BC110" s="20">
        <f t="shared" si="331"/>
        <v>74.874221123114594</v>
      </c>
      <c r="BD110" s="39">
        <v>0</v>
      </c>
      <c r="BE110" s="39">
        <f t="shared" si="318"/>
        <v>68420</v>
      </c>
      <c r="BF110" s="40">
        <f t="shared" si="319"/>
        <v>74.874221123114594</v>
      </c>
      <c r="BG110">
        <f t="shared" ref="BG110:BG118" si="342">BG109</f>
        <v>2600</v>
      </c>
      <c r="BH110" s="4">
        <f t="shared" ref="BH110" si="343">BE110+BG110</f>
        <v>71020</v>
      </c>
      <c r="BI110" s="20">
        <f t="shared" ref="BI110" si="344">BH110*H110/1000</f>
        <v>77.719485299087964</v>
      </c>
      <c r="BJ110" s="4">
        <v>900</v>
      </c>
      <c r="BK110" s="4">
        <v>-1000</v>
      </c>
      <c r="BL110" s="4">
        <f t="shared" si="322"/>
        <v>70920</v>
      </c>
      <c r="BM110" s="20">
        <f t="shared" si="323"/>
        <v>77.610052061550519</v>
      </c>
      <c r="BN110" s="4">
        <v>-2100</v>
      </c>
      <c r="BO110" s="4">
        <f t="shared" si="324"/>
        <v>68820</v>
      </c>
      <c r="BP110" s="20">
        <f t="shared" si="325"/>
        <v>75.311954073264332</v>
      </c>
      <c r="BQ110" s="4">
        <v>1450</v>
      </c>
      <c r="BR110" s="4">
        <f t="shared" si="326"/>
        <v>70270</v>
      </c>
      <c r="BS110" s="20">
        <f t="shared" si="327"/>
        <v>76.898736017557184</v>
      </c>
      <c r="BT110" s="4">
        <v>5150</v>
      </c>
      <c r="BU110" s="4">
        <f t="shared" si="328"/>
        <v>75420</v>
      </c>
      <c r="BV110" s="20">
        <f t="shared" si="329"/>
        <v>82.534547750735186</v>
      </c>
    </row>
    <row r="111" spans="1:74" hidden="1" x14ac:dyDescent="0.25">
      <c r="A111" s="4" t="s">
        <v>43</v>
      </c>
      <c r="B111" s="4" t="s">
        <v>14</v>
      </c>
      <c r="C111" s="4" t="s">
        <v>18</v>
      </c>
      <c r="D111" s="4">
        <v>22.23</v>
      </c>
      <c r="E111" s="4"/>
      <c r="F111" s="4">
        <v>2.2999999999999998</v>
      </c>
      <c r="G111" s="4" t="str">
        <f t="shared" ref="G111" si="345">_xlfn.CONCAT(D111,"-",E111,"-",F111,"-HST")</f>
        <v>22.23--2.3-HST</v>
      </c>
      <c r="H111" s="10">
        <v>1.1300688670000001</v>
      </c>
      <c r="BB111">
        <f>BB38+3500</f>
        <v>69950</v>
      </c>
      <c r="BC111" s="20">
        <f t="shared" si="331"/>
        <v>79.048317246650015</v>
      </c>
      <c r="BD111" s="39">
        <v>0</v>
      </c>
      <c r="BE111" s="39">
        <f t="shared" ref="BE111:BE115" si="346">BB111+BD111</f>
        <v>69950</v>
      </c>
      <c r="BF111" s="40">
        <f t="shared" ref="BF111:BF115" si="347">BE111*H111/1000</f>
        <v>79.048317246650015</v>
      </c>
      <c r="BG111">
        <f t="shared" si="342"/>
        <v>2600</v>
      </c>
      <c r="BH111" s="4">
        <f t="shared" ref="BH111:BH115" si="348">BE111+BG111</f>
        <v>72550</v>
      </c>
      <c r="BI111" s="20">
        <f t="shared" ref="BI111:BI115" si="349">BH111*H111/1000</f>
        <v>81.986496300850007</v>
      </c>
      <c r="BJ111" s="4">
        <v>1000</v>
      </c>
      <c r="BK111" s="4"/>
      <c r="BL111" s="4">
        <f t="shared" si="322"/>
        <v>73550</v>
      </c>
      <c r="BM111" s="20">
        <f t="shared" ref="BM111:BM115" si="350">BL111*H111/1000</f>
        <v>83.116565167849998</v>
      </c>
      <c r="BN111" s="4">
        <v>-2150</v>
      </c>
      <c r="BO111" s="4">
        <f t="shared" ref="BO111:BO119" si="351">BL111+BN111</f>
        <v>71400</v>
      </c>
      <c r="BP111" s="20">
        <f t="shared" ref="BP111:BP115" si="352">BO111*H111/1000</f>
        <v>80.686917103799999</v>
      </c>
      <c r="BQ111" s="4">
        <v>1500</v>
      </c>
      <c r="BR111" s="4">
        <f t="shared" si="326"/>
        <v>72900</v>
      </c>
      <c r="BS111" s="20">
        <f t="shared" si="327"/>
        <v>82.382020404300007</v>
      </c>
      <c r="BT111" s="4">
        <v>5500</v>
      </c>
      <c r="BU111" s="4">
        <f t="shared" si="328"/>
        <v>78400</v>
      </c>
      <c r="BV111" s="20">
        <f t="shared" si="329"/>
        <v>88.59739917280001</v>
      </c>
    </row>
    <row r="112" spans="1:74" hidden="1" x14ac:dyDescent="0.25">
      <c r="A112" s="4" t="s">
        <v>43</v>
      </c>
      <c r="B112" s="4" t="s">
        <v>14</v>
      </c>
      <c r="C112" s="4" t="s">
        <v>18</v>
      </c>
      <c r="D112" s="4">
        <v>25.4</v>
      </c>
      <c r="E112" s="4"/>
      <c r="F112" s="4">
        <v>2.2999999999999998</v>
      </c>
      <c r="G112" s="4" t="str">
        <f t="shared" ref="G112" si="353">_xlfn.CONCAT(D112,"-",E112,"-",F112,"-HST")</f>
        <v>25.4--2.3-HST</v>
      </c>
      <c r="H112" s="10">
        <f>(3.14*(D112-F112)*F112*1000*7.85)/1000000</f>
        <v>1.30960137</v>
      </c>
      <c r="BB112">
        <f>BB111</f>
        <v>69950</v>
      </c>
      <c r="BC112" s="20">
        <f t="shared" si="331"/>
        <v>91.606615831499994</v>
      </c>
      <c r="BD112" s="39">
        <v>0</v>
      </c>
      <c r="BE112" s="39">
        <f t="shared" si="346"/>
        <v>69950</v>
      </c>
      <c r="BF112" s="40">
        <f t="shared" si="347"/>
        <v>91.606615831499994</v>
      </c>
      <c r="BG112">
        <f t="shared" si="342"/>
        <v>2600</v>
      </c>
      <c r="BH112" s="4">
        <f t="shared" si="348"/>
        <v>72550</v>
      </c>
      <c r="BI112" s="20">
        <f t="shared" si="349"/>
        <v>95.0115793935</v>
      </c>
      <c r="BJ112" s="4">
        <v>1000</v>
      </c>
      <c r="BK112" s="4"/>
      <c r="BL112" s="4">
        <f t="shared" si="322"/>
        <v>73550</v>
      </c>
      <c r="BM112" s="20">
        <f t="shared" si="350"/>
        <v>96.321180763499996</v>
      </c>
      <c r="BN112" s="4">
        <v>-2150</v>
      </c>
      <c r="BO112" s="4">
        <f t="shared" si="351"/>
        <v>71400</v>
      </c>
      <c r="BP112" s="20">
        <f t="shared" si="352"/>
        <v>93.505537817999993</v>
      </c>
      <c r="BQ112" s="4">
        <v>1500</v>
      </c>
      <c r="BR112" s="4">
        <f t="shared" si="326"/>
        <v>72900</v>
      </c>
      <c r="BS112" s="20">
        <f t="shared" si="327"/>
        <v>95.469939873000001</v>
      </c>
      <c r="BT112" s="4">
        <v>5500</v>
      </c>
      <c r="BU112" s="4">
        <f t="shared" si="328"/>
        <v>78400</v>
      </c>
      <c r="BV112" s="20">
        <f t="shared" si="329"/>
        <v>102.67274740799999</v>
      </c>
    </row>
    <row r="113" spans="1:74" hidden="1" x14ac:dyDescent="0.25">
      <c r="A113" s="4" t="s">
        <v>43</v>
      </c>
      <c r="B113" s="4" t="s">
        <v>14</v>
      </c>
      <c r="C113" s="4" t="s">
        <v>18</v>
      </c>
      <c r="D113" s="4">
        <v>34.93</v>
      </c>
      <c r="E113" s="4"/>
      <c r="F113" s="4">
        <v>2.2999999999999998</v>
      </c>
      <c r="G113" s="4" t="s">
        <v>117</v>
      </c>
      <c r="H113" s="10">
        <f>(3.14*(D113-F113)*F113*1000*7.85)/1000000</f>
        <v>1.8498828009999997</v>
      </c>
      <c r="BB113">
        <f>BB112</f>
        <v>69950</v>
      </c>
      <c r="BC113" s="20">
        <f t="shared" si="331"/>
        <v>129.39930192994998</v>
      </c>
      <c r="BD113" s="39">
        <v>0</v>
      </c>
      <c r="BE113" s="39">
        <f t="shared" si="346"/>
        <v>69950</v>
      </c>
      <c r="BF113" s="40">
        <f t="shared" si="347"/>
        <v>129.39930192994998</v>
      </c>
      <c r="BG113">
        <f t="shared" si="342"/>
        <v>2600</v>
      </c>
      <c r="BH113" s="4">
        <f t="shared" si="348"/>
        <v>72550</v>
      </c>
      <c r="BI113" s="20">
        <f t="shared" si="349"/>
        <v>134.20899721255</v>
      </c>
      <c r="BJ113" s="4">
        <v>1000</v>
      </c>
      <c r="BK113" s="4"/>
      <c r="BL113" s="4">
        <f t="shared" si="322"/>
        <v>73550</v>
      </c>
      <c r="BM113" s="20">
        <f t="shared" si="350"/>
        <v>136.05888001354998</v>
      </c>
      <c r="BN113" s="4">
        <v>-2150</v>
      </c>
      <c r="BO113" s="4">
        <f t="shared" si="351"/>
        <v>71400</v>
      </c>
      <c r="BP113" s="20">
        <f t="shared" si="352"/>
        <v>132.08163199139997</v>
      </c>
      <c r="BQ113" s="4">
        <v>1500</v>
      </c>
      <c r="BR113" s="4">
        <f t="shared" si="326"/>
        <v>72900</v>
      </c>
      <c r="BS113" s="20">
        <f t="shared" si="327"/>
        <v>134.8564561929</v>
      </c>
      <c r="BT113" s="4">
        <v>5500</v>
      </c>
      <c r="BU113" s="4">
        <f t="shared" si="328"/>
        <v>78400</v>
      </c>
      <c r="BV113" s="20">
        <f t="shared" si="329"/>
        <v>145.03081159839996</v>
      </c>
    </row>
    <row r="114" spans="1:74" hidden="1" x14ac:dyDescent="0.25">
      <c r="A114" s="4" t="s">
        <v>43</v>
      </c>
      <c r="B114" s="4" t="s">
        <v>14</v>
      </c>
      <c r="C114" s="4" t="s">
        <v>18</v>
      </c>
      <c r="D114" s="4">
        <v>42.7</v>
      </c>
      <c r="E114" s="4"/>
      <c r="F114" s="4">
        <v>4</v>
      </c>
      <c r="G114" s="4" t="s">
        <v>118</v>
      </c>
      <c r="H114" s="10">
        <f>(3.14*(D114-F114)*F114*1000*7.85)/1000000</f>
        <v>3.8156652000000002</v>
      </c>
      <c r="BB114">
        <f>BB83+3500</f>
        <v>69950</v>
      </c>
      <c r="BC114" s="20">
        <f t="shared" si="331"/>
        <v>266.90578074000001</v>
      </c>
      <c r="BD114" s="39">
        <v>0</v>
      </c>
      <c r="BE114" s="39">
        <f t="shared" si="346"/>
        <v>69950</v>
      </c>
      <c r="BF114" s="40">
        <f t="shared" si="347"/>
        <v>266.90578074000001</v>
      </c>
      <c r="BG114">
        <f t="shared" si="342"/>
        <v>2600</v>
      </c>
      <c r="BH114" s="4">
        <f t="shared" si="348"/>
        <v>72550</v>
      </c>
      <c r="BI114" s="20">
        <f t="shared" si="349"/>
        <v>276.82651026000002</v>
      </c>
      <c r="BJ114" s="4">
        <v>1000</v>
      </c>
      <c r="BK114" s="4"/>
      <c r="BL114" s="4">
        <f t="shared" si="322"/>
        <v>73550</v>
      </c>
      <c r="BM114" s="20">
        <f t="shared" si="350"/>
        <v>280.64217545999998</v>
      </c>
      <c r="BN114" s="4">
        <v>-2150</v>
      </c>
      <c r="BO114" s="4">
        <f t="shared" si="351"/>
        <v>71400</v>
      </c>
      <c r="BP114" s="20">
        <f t="shared" si="352"/>
        <v>272.43849528000004</v>
      </c>
      <c r="BQ114" s="4">
        <v>1500</v>
      </c>
      <c r="BR114" s="4">
        <f t="shared" si="326"/>
        <v>72900</v>
      </c>
      <c r="BS114" s="20">
        <f t="shared" si="327"/>
        <v>278.16199308</v>
      </c>
      <c r="BT114" s="4">
        <v>5500</v>
      </c>
      <c r="BU114" s="4">
        <f t="shared" si="328"/>
        <v>78400</v>
      </c>
      <c r="BV114" s="20">
        <f t="shared" si="329"/>
        <v>299.14815168000001</v>
      </c>
    </row>
    <row r="115" spans="1:74" hidden="1" x14ac:dyDescent="0.25">
      <c r="A115" s="4" t="s">
        <v>43</v>
      </c>
      <c r="B115" s="4" t="s">
        <v>14</v>
      </c>
      <c r="C115" s="4" t="s">
        <v>18</v>
      </c>
      <c r="D115" s="4">
        <v>48.6</v>
      </c>
      <c r="E115" s="4"/>
      <c r="F115" s="4">
        <v>4</v>
      </c>
      <c r="G115" s="4" t="s">
        <v>119</v>
      </c>
      <c r="H115" s="10">
        <f>(3.14*(D115-F115)*F115*1000*7.85)/1000000</f>
        <v>4.3973815999999992</v>
      </c>
      <c r="BB115">
        <f>BB82+3500</f>
        <v>69950</v>
      </c>
      <c r="BC115" s="20">
        <f t="shared" si="331"/>
        <v>307.59684291999997</v>
      </c>
      <c r="BD115" s="39">
        <v>0</v>
      </c>
      <c r="BE115" s="39">
        <f t="shared" si="346"/>
        <v>69950</v>
      </c>
      <c r="BF115" s="40">
        <f t="shared" si="347"/>
        <v>307.59684291999997</v>
      </c>
      <c r="BG115">
        <f t="shared" si="342"/>
        <v>2600</v>
      </c>
      <c r="BH115" s="4">
        <f t="shared" si="348"/>
        <v>72550</v>
      </c>
      <c r="BI115" s="20">
        <f t="shared" si="349"/>
        <v>319.03003507999995</v>
      </c>
      <c r="BJ115" s="4">
        <v>1000</v>
      </c>
      <c r="BK115" s="4"/>
      <c r="BL115" s="4">
        <f t="shared" si="322"/>
        <v>73550</v>
      </c>
      <c r="BM115" s="20">
        <f t="shared" si="350"/>
        <v>323.42741667999996</v>
      </c>
      <c r="BN115" s="4">
        <v>-2150</v>
      </c>
      <c r="BO115" s="4">
        <f t="shared" si="351"/>
        <v>71400</v>
      </c>
      <c r="BP115" s="20">
        <f t="shared" si="352"/>
        <v>313.97304623999992</v>
      </c>
      <c r="BQ115" s="4">
        <v>1500</v>
      </c>
      <c r="BR115" s="4">
        <f t="shared" si="326"/>
        <v>72900</v>
      </c>
      <c r="BS115" s="20">
        <f t="shared" si="327"/>
        <v>320.56911863999994</v>
      </c>
      <c r="BT115" s="4">
        <v>5500</v>
      </c>
      <c r="BU115" s="4">
        <f t="shared" si="328"/>
        <v>78400</v>
      </c>
      <c r="BV115" s="20">
        <f t="shared" si="329"/>
        <v>344.75471743999992</v>
      </c>
    </row>
    <row r="116" spans="1:74" hidden="1" x14ac:dyDescent="0.25">
      <c r="A116" s="4" t="s">
        <v>43</v>
      </c>
      <c r="B116" s="4" t="s">
        <v>14</v>
      </c>
      <c r="C116" s="4" t="s">
        <v>18</v>
      </c>
      <c r="D116" s="4">
        <v>22.23</v>
      </c>
      <c r="E116" s="4"/>
      <c r="F116" s="4">
        <v>2</v>
      </c>
      <c r="G116" t="s">
        <v>123</v>
      </c>
      <c r="H116" s="10">
        <f t="shared" ref="H116" si="354">(3.14*(D116-F116)*F116*1000*7.85)/1000000</f>
        <v>0.99729854000000007</v>
      </c>
      <c r="BG116">
        <f t="shared" si="342"/>
        <v>2600</v>
      </c>
      <c r="BH116" s="4">
        <f>BH37+3500</f>
        <v>72550</v>
      </c>
      <c r="BI116" s="41">
        <f t="shared" ref="BI116:BI119" si="355">BH116*H116/1000</f>
        <v>72.354009077000015</v>
      </c>
      <c r="BJ116" s="4">
        <v>1000</v>
      </c>
      <c r="BK116" s="4"/>
      <c r="BL116" s="4">
        <f t="shared" si="322"/>
        <v>73550</v>
      </c>
      <c r="BM116" s="41">
        <f t="shared" ref="BM116:BM119" si="356">BL116*H116/1000</f>
        <v>73.351307617000003</v>
      </c>
      <c r="BN116" s="4">
        <v>-2150</v>
      </c>
      <c r="BO116" s="4">
        <f t="shared" si="351"/>
        <v>71400</v>
      </c>
      <c r="BP116" s="41">
        <f t="shared" ref="BP116:BP119" si="357">BO116*H116/1000</f>
        <v>71.207115755999993</v>
      </c>
      <c r="BQ116" s="4">
        <v>1500</v>
      </c>
      <c r="BR116" s="4">
        <f t="shared" si="326"/>
        <v>72900</v>
      </c>
      <c r="BS116" s="20">
        <f t="shared" si="327"/>
        <v>72.703063566000012</v>
      </c>
      <c r="BT116" s="4">
        <v>5500</v>
      </c>
      <c r="BU116" s="4">
        <f t="shared" si="328"/>
        <v>78400</v>
      </c>
      <c r="BV116" s="20">
        <f t="shared" si="329"/>
        <v>78.188205536000012</v>
      </c>
    </row>
    <row r="117" spans="1:74" hidden="1" x14ac:dyDescent="0.25">
      <c r="A117" s="4" t="s">
        <v>43</v>
      </c>
      <c r="B117" s="4" t="s">
        <v>14</v>
      </c>
      <c r="C117" s="4" t="s">
        <v>18</v>
      </c>
      <c r="D117" s="4">
        <v>40</v>
      </c>
      <c r="E117" s="4">
        <v>25</v>
      </c>
      <c r="F117" s="4">
        <v>1.6</v>
      </c>
      <c r="G117" t="s">
        <v>125</v>
      </c>
      <c r="H117" s="10">
        <f>(3.14*(41.28-F117)*F117*1000*7.85)/1000000</f>
        <v>1.5649157120000001</v>
      </c>
      <c r="BG117">
        <f t="shared" si="342"/>
        <v>2600</v>
      </c>
      <c r="BH117" s="4">
        <f>BH10+3500</f>
        <v>77425</v>
      </c>
      <c r="BI117" s="41">
        <f t="shared" si="355"/>
        <v>121.16359900160002</v>
      </c>
      <c r="BJ117" s="4">
        <v>1000</v>
      </c>
      <c r="BK117" s="4"/>
      <c r="BL117" s="4">
        <f t="shared" si="322"/>
        <v>78425</v>
      </c>
      <c r="BM117" s="41">
        <f t="shared" si="356"/>
        <v>122.72851471360002</v>
      </c>
      <c r="BN117" s="4">
        <v>-2150</v>
      </c>
      <c r="BO117" s="4">
        <f t="shared" si="351"/>
        <v>76275</v>
      </c>
      <c r="BP117" s="41">
        <f t="shared" si="357"/>
        <v>119.36394593280001</v>
      </c>
      <c r="BQ117" s="4">
        <v>1500</v>
      </c>
      <c r="BR117" s="4">
        <f t="shared" si="326"/>
        <v>77775</v>
      </c>
      <c r="BS117" s="20">
        <f t="shared" si="327"/>
        <v>121.7113195008</v>
      </c>
      <c r="BT117" s="4">
        <v>5500</v>
      </c>
      <c r="BU117" s="4">
        <f t="shared" si="328"/>
        <v>83275</v>
      </c>
      <c r="BV117" s="20">
        <f t="shared" si="329"/>
        <v>130.31835591680002</v>
      </c>
    </row>
    <row r="118" spans="1:74" hidden="1" x14ac:dyDescent="0.25">
      <c r="A118" s="4" t="s">
        <v>43</v>
      </c>
      <c r="B118" s="4" t="s">
        <v>14</v>
      </c>
      <c r="C118" s="4" t="s">
        <v>18</v>
      </c>
      <c r="D118" s="4">
        <v>50</v>
      </c>
      <c r="E118" s="4">
        <v>30</v>
      </c>
      <c r="F118" s="4">
        <v>1.6</v>
      </c>
      <c r="G118" t="s">
        <v>124</v>
      </c>
      <c r="H118" s="10">
        <f>(3.14*(50.8-F118)*F118*1000*7.85)/1000000</f>
        <v>1.9403692800000001</v>
      </c>
      <c r="BG118">
        <f t="shared" si="342"/>
        <v>2600</v>
      </c>
      <c r="BH118" s="4">
        <f>BH14+3500</f>
        <v>77425</v>
      </c>
      <c r="BI118" s="41">
        <f t="shared" si="355"/>
        <v>150.23309150400001</v>
      </c>
      <c r="BJ118" s="4">
        <v>1000</v>
      </c>
      <c r="BK118" s="4"/>
      <c r="BL118" s="4">
        <f t="shared" si="322"/>
        <v>78425</v>
      </c>
      <c r="BM118" s="41">
        <f t="shared" si="356"/>
        <v>152.17346078399999</v>
      </c>
      <c r="BN118" s="4">
        <v>-2150</v>
      </c>
      <c r="BO118" s="4">
        <f t="shared" si="351"/>
        <v>76275</v>
      </c>
      <c r="BP118" s="41">
        <f t="shared" si="357"/>
        <v>148.00166683200001</v>
      </c>
      <c r="BQ118" s="4">
        <v>1500</v>
      </c>
      <c r="BR118" s="4">
        <f t="shared" si="326"/>
        <v>77775</v>
      </c>
      <c r="BS118" s="20">
        <f t="shared" si="327"/>
        <v>150.912220752</v>
      </c>
      <c r="BT118" s="4">
        <v>5500</v>
      </c>
      <c r="BU118" s="4">
        <f t="shared" si="328"/>
        <v>83275</v>
      </c>
      <c r="BV118" s="20">
        <f t="shared" si="329"/>
        <v>161.584251792</v>
      </c>
    </row>
    <row r="119" spans="1:74" hidden="1" x14ac:dyDescent="0.25">
      <c r="A119" s="4" t="s">
        <v>43</v>
      </c>
      <c r="B119" s="4" t="s">
        <v>14</v>
      </c>
      <c r="C119" s="4" t="s">
        <v>18</v>
      </c>
      <c r="D119" s="4">
        <v>38.1</v>
      </c>
      <c r="E119" s="4"/>
      <c r="F119" s="4">
        <v>2.5</v>
      </c>
      <c r="G119" s="4" t="str">
        <f>_xlfn.CONCAT(D119,"-",E119,"-",F119,"-HST")</f>
        <v>38.1--2.5-HST</v>
      </c>
      <c r="H119" s="10">
        <v>2.1941170000000003</v>
      </c>
      <c r="I119" s="4">
        <v>65875</v>
      </c>
      <c r="J119" s="4"/>
      <c r="K119" s="4"/>
      <c r="L119" s="4"/>
      <c r="M119" s="4">
        <v>7500</v>
      </c>
      <c r="N119" s="4">
        <f t="shared" ref="N119" si="358">SUM(I119:M119)</f>
        <v>73375</v>
      </c>
      <c r="O119" s="11">
        <f t="shared" ref="O119" si="359">N119*H119/1000</f>
        <v>160.99333487500002</v>
      </c>
      <c r="P119" s="4">
        <v>5600</v>
      </c>
      <c r="Q119" s="4">
        <f t="shared" ref="Q119" si="360">N119+P119</f>
        <v>78975</v>
      </c>
      <c r="R119" s="4">
        <f t="shared" ref="R119" si="361" xml:space="preserve"> ROUND(Q119*H119/1000,2)</f>
        <v>173.28</v>
      </c>
      <c r="S119" s="4">
        <v>3900</v>
      </c>
      <c r="T119" s="4">
        <f t="shared" ref="T119" si="362">Q119+S119</f>
        <v>82875</v>
      </c>
      <c r="U119" s="4">
        <f t="shared" ref="U119" si="363">ROUND(T119*H119/1000,2)</f>
        <v>181.84</v>
      </c>
      <c r="V119" s="4"/>
      <c r="W119" s="4"/>
      <c r="X119" s="4"/>
      <c r="Y119" s="21">
        <v>160.99</v>
      </c>
      <c r="Z119" s="4">
        <v>6000</v>
      </c>
      <c r="AA119" s="4">
        <f t="shared" ref="AA119" si="364">Z119+T119</f>
        <v>88875</v>
      </c>
      <c r="AB119" s="4">
        <f t="shared" ref="AB119" si="365">ROUND(AA119*H119/1000,2)</f>
        <v>195</v>
      </c>
      <c r="AC119" s="4">
        <v>-10200</v>
      </c>
      <c r="AD119" s="4">
        <f t="shared" ref="AD119" si="366">AC119+AA119</f>
        <v>78675</v>
      </c>
      <c r="AE119" s="4">
        <f t="shared" ref="AE119" si="367">ROUND(AD119*H119/1000,2)</f>
        <v>172.62</v>
      </c>
      <c r="AF119" s="4">
        <v>-4900</v>
      </c>
      <c r="AG119" s="4">
        <f t="shared" ref="AG119" si="368">AD119+AF119</f>
        <v>73775</v>
      </c>
      <c r="AH119" s="4">
        <f t="shared" ref="AH119" si="369">ROUND(AG119*H119/1000,2)</f>
        <v>161.87</v>
      </c>
      <c r="AI119" s="30">
        <v>3300</v>
      </c>
      <c r="AJ119" s="4">
        <f t="shared" ref="AJ119" si="370">AG119+AI119</f>
        <v>77075</v>
      </c>
      <c r="AK119" s="4">
        <f t="shared" ref="AK119" si="371">ROUND(AJ119*H119/1000,2)</f>
        <v>169.11</v>
      </c>
      <c r="AL119" s="30">
        <v>-3800</v>
      </c>
      <c r="AM119" s="4">
        <f t="shared" ref="AM119" si="372">AJ119+AL119</f>
        <v>73275</v>
      </c>
      <c r="AN119" s="4">
        <f t="shared" ref="AN119" si="373">ROUND(AM119*H119/1000,2)</f>
        <v>160.77000000000001</v>
      </c>
      <c r="AO119" s="4">
        <f>2000</f>
        <v>2000</v>
      </c>
      <c r="AP119" s="4">
        <f t="shared" ref="AP119" si="374">AM119+AO119</f>
        <v>75275</v>
      </c>
      <c r="AQ119" s="4">
        <f t="shared" ref="AQ119" si="375">ROUND(AP119*H119/1000,2)</f>
        <v>165.16</v>
      </c>
      <c r="AR119" s="4">
        <v>-1950</v>
      </c>
      <c r="AS119" s="4">
        <f t="shared" ref="AS119" si="376">AP119+AR119</f>
        <v>73325</v>
      </c>
      <c r="AT119" s="20">
        <f t="shared" ref="AT119" si="377">AS119*H119/1000</f>
        <v>160.88362902500003</v>
      </c>
      <c r="AU119" s="4">
        <v>-2625</v>
      </c>
      <c r="AV119" s="4">
        <f t="shared" ref="AV119" si="378">AS119+AU119</f>
        <v>70700</v>
      </c>
      <c r="AW119" s="20">
        <f t="shared" ref="AW119" si="379">AV119*H119/1000</f>
        <v>155.12407190000002</v>
      </c>
      <c r="AX119" s="4">
        <v>500</v>
      </c>
      <c r="AY119" s="4">
        <f t="shared" ref="AY119" si="380">AV119+AX119</f>
        <v>71200</v>
      </c>
      <c r="AZ119" s="20">
        <f t="shared" ref="AZ119" si="381">AY119*H119/1000</f>
        <v>156.22113040000002</v>
      </c>
      <c r="BA119" s="4">
        <v>-4750</v>
      </c>
      <c r="BB119" s="4">
        <f>AY119+BA119+3500</f>
        <v>69950</v>
      </c>
      <c r="BC119" s="20">
        <f t="shared" ref="BC119" si="382">BB119*H119/1000</f>
        <v>153.47848415000004</v>
      </c>
      <c r="BD119" s="4">
        <v>0</v>
      </c>
      <c r="BE119" s="4">
        <f t="shared" ref="BE119" si="383">BB119+BD119</f>
        <v>69950</v>
      </c>
      <c r="BF119" s="20">
        <f t="shared" ref="BF119" si="384">BE119*H119/1000</f>
        <v>153.47848415000004</v>
      </c>
      <c r="BG119" s="4">
        <v>2600</v>
      </c>
      <c r="BH119" s="4">
        <f t="shared" ref="BH119" si="385">BE119+BG119</f>
        <v>72550</v>
      </c>
      <c r="BI119" s="41">
        <f t="shared" si="355"/>
        <v>159.18318835000002</v>
      </c>
      <c r="BJ119" s="4">
        <v>1000</v>
      </c>
      <c r="BK119" s="4"/>
      <c r="BL119" s="4">
        <f t="shared" si="322"/>
        <v>73550</v>
      </c>
      <c r="BM119" s="41">
        <f t="shared" si="356"/>
        <v>161.37730535</v>
      </c>
      <c r="BN119" s="4">
        <v>-2150</v>
      </c>
      <c r="BO119" s="4">
        <f t="shared" si="351"/>
        <v>71400</v>
      </c>
      <c r="BP119" s="41">
        <f t="shared" si="357"/>
        <v>156.65995380000001</v>
      </c>
      <c r="BQ119" s="4">
        <v>1500</v>
      </c>
      <c r="BR119" s="4">
        <f t="shared" si="326"/>
        <v>72900</v>
      </c>
      <c r="BS119" s="20">
        <f t="shared" si="327"/>
        <v>159.95112930000002</v>
      </c>
      <c r="BT119" s="4">
        <v>5500</v>
      </c>
      <c r="BU119" s="4">
        <f t="shared" si="328"/>
        <v>78400</v>
      </c>
      <c r="BV119" s="20">
        <f t="shared" si="329"/>
        <v>172.01877280000002</v>
      </c>
    </row>
    <row r="120" spans="1:74" x14ac:dyDescent="0.25">
      <c r="BO120">
        <v>250</v>
      </c>
    </row>
  </sheetData>
  <sheetProtection formatCells="0" formatColumns="0" sort="0" autoFilter="0"/>
  <autoFilter ref="A3:BV119" xr:uid="{8F682022-5786-4FA0-9AB3-AC8733AD989C}">
    <filterColumn colId="0">
      <filters>
        <filter val="Structural tubes"/>
      </filters>
    </filterColumn>
    <filterColumn colId="72">
      <filters>
        <filter val="75420"/>
      </filters>
    </filterColumn>
  </autoFilter>
  <mergeCells count="21">
    <mergeCell ref="BQ2:BS2"/>
    <mergeCell ref="BT2:BV2"/>
    <mergeCell ref="Z2:AB2"/>
    <mergeCell ref="AR2:AT2"/>
    <mergeCell ref="AU2:AW2"/>
    <mergeCell ref="AO2:AQ2"/>
    <mergeCell ref="AC2:AE2"/>
    <mergeCell ref="AF2:AH2"/>
    <mergeCell ref="AI2:AK2"/>
    <mergeCell ref="AL2:AN2"/>
    <mergeCell ref="BJ2:BM2"/>
    <mergeCell ref="BN2:BP2"/>
    <mergeCell ref="BD2:BF2"/>
    <mergeCell ref="BG2:BI2"/>
    <mergeCell ref="AX2:AZ2"/>
    <mergeCell ref="BA2:BC2"/>
    <mergeCell ref="A2:H2"/>
    <mergeCell ref="I2:O2"/>
    <mergeCell ref="P2:R2"/>
    <mergeCell ref="S2:U2"/>
    <mergeCell ref="V2:Y2"/>
  </mergeCells>
  <conditionalFormatting sqref="G1:G1048576">
    <cfRule type="duplicateValues" dxfId="2" priority="1"/>
  </conditionalFormatting>
  <conditionalFormatting sqref="G4:G113">
    <cfRule type="duplicateValues" dxfId="1" priority="3"/>
  </conditionalFormatting>
  <conditionalFormatting sqref="G119">
    <cfRule type="duplicateValues" dxfId="0" priority="2"/>
  </conditionalFormatting>
  <pageMargins left="0.7" right="0.7" top="0.75" bottom="0.75" header="0.3" footer="0.3"/>
  <pageSetup scale="53" fitToHeight="0" orientation="portrait" r:id="rId1"/>
  <headerFooter>
    <oddHeader>&amp;C&amp;G</oddHeader>
    <oddFooter>&amp;LClassification: &amp;"Microsoft Sans Serif,Bold"&amp;K34A853Public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46E6-51C3-4EE6-8339-E04B3D0AE22F}">
  <sheetPr codeName="Sheet2">
    <pageSetUpPr fitToPage="1"/>
  </sheetPr>
  <dimension ref="A2:BS42"/>
  <sheetViews>
    <sheetView topLeftCell="H8" zoomScale="90" zoomScaleNormal="90" zoomScaleSheetLayoutView="90" workbookViewId="0">
      <selection activeCell="I18" sqref="I18"/>
    </sheetView>
  </sheetViews>
  <sheetFormatPr defaultRowHeight="15" outlineLevelCol="1" x14ac:dyDescent="0.25"/>
  <cols>
    <col min="1" max="1" width="12.85546875" hidden="1" customWidth="1"/>
    <col min="2" max="2" width="12.85546875" customWidth="1"/>
    <col min="4" max="4" width="7.7109375" customWidth="1"/>
    <col min="5" max="5" width="7.28515625" customWidth="1"/>
    <col min="6" max="6" width="6.85546875" customWidth="1"/>
    <col min="8" max="8" width="44.140625" customWidth="1"/>
    <col min="9" max="9" width="10" customWidth="1"/>
    <col min="10" max="10" width="9.28515625" customWidth="1"/>
    <col min="11" max="15" width="8.5703125" hidden="1" customWidth="1" outlineLevel="1"/>
    <col min="16" max="16" width="13.7109375" hidden="1" customWidth="1" outlineLevel="1"/>
    <col min="17" max="17" width="12.28515625" hidden="1" customWidth="1" outlineLevel="1"/>
    <col min="18" max="18" width="14.140625" hidden="1" customWidth="1" outlineLevel="1"/>
    <col min="19" max="20" width="12.28515625" hidden="1" customWidth="1" outlineLevel="1"/>
    <col min="21" max="21" width="14.140625" hidden="1" customWidth="1" outlineLevel="1"/>
    <col min="22" max="22" width="12.28515625" hidden="1" customWidth="1" outlineLevel="1"/>
    <col min="23" max="28" width="10.85546875" hidden="1" customWidth="1" outlineLevel="1"/>
    <col min="29" max="48" width="9.140625" hidden="1" customWidth="1" outlineLevel="1"/>
    <col min="49" max="49" width="10.5703125" hidden="1" customWidth="1" outlineLevel="1"/>
    <col min="50" max="51" width="9.140625" hidden="1" customWidth="1" outlineLevel="1"/>
    <col min="52" max="52" width="0" hidden="1" customWidth="1" outlineLevel="1"/>
    <col min="53" max="55" width="9.140625" hidden="1" customWidth="1" outlineLevel="1"/>
    <col min="56" max="56" width="9.140625" customWidth="1" collapsed="1"/>
  </cols>
  <sheetData>
    <row r="2" spans="1:70" x14ac:dyDescent="0.25">
      <c r="B2" s="42" t="s">
        <v>95</v>
      </c>
      <c r="C2" s="43"/>
      <c r="D2" s="43"/>
      <c r="E2" s="43"/>
      <c r="F2" s="43"/>
      <c r="G2" s="43"/>
      <c r="H2" s="43"/>
      <c r="I2" s="43"/>
      <c r="J2" s="44"/>
      <c r="K2" s="62" t="s">
        <v>0</v>
      </c>
      <c r="L2" s="63"/>
      <c r="M2" s="63"/>
      <c r="N2" s="63"/>
      <c r="O2" s="63"/>
      <c r="P2" s="64"/>
      <c r="Q2" s="48" t="s">
        <v>48</v>
      </c>
      <c r="R2" s="49"/>
      <c r="S2" s="49"/>
      <c r="T2" s="50" t="s">
        <v>50</v>
      </c>
      <c r="U2" s="50"/>
      <c r="V2" s="50"/>
      <c r="W2" s="55" t="s">
        <v>90</v>
      </c>
      <c r="X2" s="55"/>
      <c r="Y2" s="55"/>
      <c r="Z2" s="58" t="s">
        <v>91</v>
      </c>
      <c r="AA2" s="58"/>
      <c r="AB2" s="58"/>
      <c r="AC2" s="59" t="s">
        <v>93</v>
      </c>
      <c r="AD2" s="59"/>
      <c r="AE2" s="59"/>
      <c r="AF2" s="60" t="s">
        <v>96</v>
      </c>
      <c r="AG2" s="60"/>
      <c r="AH2" s="60"/>
      <c r="AI2" s="61" t="s">
        <v>97</v>
      </c>
      <c r="AJ2" s="61"/>
      <c r="AK2" s="61"/>
      <c r="AL2" s="57" t="s">
        <v>100</v>
      </c>
      <c r="AM2" s="57"/>
      <c r="AN2" s="57"/>
      <c r="AO2" s="57" t="s">
        <v>104</v>
      </c>
      <c r="AP2" s="57"/>
      <c r="AQ2" s="57"/>
      <c r="AR2" s="54" t="s">
        <v>110</v>
      </c>
      <c r="AS2" s="54"/>
      <c r="AT2" s="54"/>
      <c r="AU2" s="54" t="s">
        <v>112</v>
      </c>
      <c r="AV2" s="54"/>
      <c r="AW2" s="54"/>
      <c r="AX2" s="54" t="s">
        <v>113</v>
      </c>
      <c r="AY2" s="54"/>
      <c r="AZ2" s="54"/>
      <c r="BA2" s="54" t="s">
        <v>115</v>
      </c>
      <c r="BB2" s="54"/>
      <c r="BC2" s="54"/>
      <c r="BD2" s="54" t="s">
        <v>116</v>
      </c>
      <c r="BE2" s="54"/>
      <c r="BF2" s="54"/>
      <c r="BG2" s="54" t="s">
        <v>120</v>
      </c>
      <c r="BH2" s="54"/>
      <c r="BI2" s="54"/>
      <c r="BJ2" s="54" t="s">
        <v>121</v>
      </c>
      <c r="BK2" s="54"/>
      <c r="BL2" s="54"/>
      <c r="BM2" s="54" t="s">
        <v>126</v>
      </c>
      <c r="BN2" s="54"/>
      <c r="BO2" s="54"/>
      <c r="BP2" s="54" t="s">
        <v>127</v>
      </c>
      <c r="BQ2" s="54"/>
      <c r="BR2" s="54"/>
    </row>
    <row r="3" spans="1:70" ht="45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111</v>
      </c>
      <c r="J3" s="1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55</v>
      </c>
      <c r="P3" s="2" t="s">
        <v>56</v>
      </c>
      <c r="Q3" s="8" t="s">
        <v>45</v>
      </c>
      <c r="R3" s="8" t="s">
        <v>46</v>
      </c>
      <c r="S3" s="8" t="s">
        <v>47</v>
      </c>
      <c r="T3" s="9" t="s">
        <v>51</v>
      </c>
      <c r="U3" s="9" t="s">
        <v>52</v>
      </c>
      <c r="V3" s="9" t="s">
        <v>53</v>
      </c>
      <c r="W3" s="18" t="s">
        <v>89</v>
      </c>
      <c r="X3" s="18" t="s">
        <v>33</v>
      </c>
      <c r="Y3" s="18" t="s">
        <v>56</v>
      </c>
      <c r="Z3" s="24" t="s">
        <v>45</v>
      </c>
      <c r="AA3" s="24" t="s">
        <v>92</v>
      </c>
      <c r="AB3" s="24" t="s">
        <v>47</v>
      </c>
      <c r="AC3" s="27" t="s">
        <v>51</v>
      </c>
      <c r="AD3" s="27" t="s">
        <v>94</v>
      </c>
      <c r="AE3" s="27" t="s">
        <v>53</v>
      </c>
      <c r="AF3" s="29" t="s">
        <v>89</v>
      </c>
      <c r="AG3" s="29" t="s">
        <v>33</v>
      </c>
      <c r="AH3" s="29" t="s">
        <v>56</v>
      </c>
      <c r="AI3" s="2" t="s">
        <v>45</v>
      </c>
      <c r="AJ3" s="2" t="s">
        <v>92</v>
      </c>
      <c r="AK3" s="2" t="s">
        <v>47</v>
      </c>
      <c r="AL3" s="32" t="s">
        <v>101</v>
      </c>
      <c r="AM3" s="32" t="s">
        <v>102</v>
      </c>
      <c r="AN3" s="32" t="s">
        <v>103</v>
      </c>
      <c r="AO3" s="32" t="s">
        <v>101</v>
      </c>
      <c r="AP3" s="32" t="s">
        <v>102</v>
      </c>
      <c r="AQ3" s="32" t="s">
        <v>103</v>
      </c>
      <c r="AR3" s="35" t="s">
        <v>89</v>
      </c>
      <c r="AS3" s="35" t="s">
        <v>33</v>
      </c>
      <c r="AT3" s="35" t="s">
        <v>108</v>
      </c>
      <c r="AU3" s="35" t="s">
        <v>45</v>
      </c>
      <c r="AV3" s="35" t="s">
        <v>92</v>
      </c>
      <c r="AW3" s="35" t="s">
        <v>47</v>
      </c>
      <c r="AX3" s="35" t="s">
        <v>101</v>
      </c>
      <c r="AY3" s="35" t="s">
        <v>102</v>
      </c>
      <c r="AZ3" s="35" t="s">
        <v>103</v>
      </c>
      <c r="BA3" s="35" t="s">
        <v>106</v>
      </c>
      <c r="BB3" s="35" t="s">
        <v>107</v>
      </c>
      <c r="BC3" s="35" t="s">
        <v>108</v>
      </c>
      <c r="BD3" s="35" t="s">
        <v>89</v>
      </c>
      <c r="BE3" s="35" t="s">
        <v>33</v>
      </c>
      <c r="BF3" s="35" t="s">
        <v>56</v>
      </c>
      <c r="BG3" s="35" t="s">
        <v>45</v>
      </c>
      <c r="BH3" s="35" t="s">
        <v>92</v>
      </c>
      <c r="BI3" s="35" t="s">
        <v>47</v>
      </c>
      <c r="BJ3" s="35" t="s">
        <v>101</v>
      </c>
      <c r="BK3" s="35" t="s">
        <v>102</v>
      </c>
      <c r="BL3" s="35" t="s">
        <v>103</v>
      </c>
      <c r="BM3" s="35" t="s">
        <v>106</v>
      </c>
      <c r="BN3" s="35" t="s">
        <v>107</v>
      </c>
      <c r="BO3" s="35" t="s">
        <v>108</v>
      </c>
      <c r="BP3" s="35" t="s">
        <v>89</v>
      </c>
      <c r="BQ3" s="35" t="s">
        <v>33</v>
      </c>
      <c r="BR3" s="35" t="s">
        <v>56</v>
      </c>
    </row>
    <row r="4" spans="1:70" x14ac:dyDescent="0.25">
      <c r="A4" t="s">
        <v>57</v>
      </c>
      <c r="B4" s="4" t="s">
        <v>13</v>
      </c>
      <c r="C4" s="4" t="s">
        <v>14</v>
      </c>
      <c r="D4" s="4" t="s">
        <v>15</v>
      </c>
      <c r="E4" s="4">
        <v>9.9</v>
      </c>
      <c r="F4" s="4"/>
      <c r="G4" s="4">
        <v>1</v>
      </c>
      <c r="H4" s="33" t="s">
        <v>16</v>
      </c>
      <c r="I4" s="33" t="str">
        <f>_xlfn.CONCAT(E4,"-",F4,"-",G4)</f>
        <v>9.9--1</v>
      </c>
      <c r="J4" s="5">
        <v>0.21941170000000002</v>
      </c>
      <c r="K4" s="4">
        <v>111625</v>
      </c>
      <c r="L4" s="4">
        <v>9800</v>
      </c>
      <c r="M4" s="4">
        <v>2750</v>
      </c>
      <c r="N4" s="4"/>
      <c r="O4" s="4">
        <f>SUM(K4:N4)</f>
        <v>124175</v>
      </c>
      <c r="P4" s="6">
        <f>O4*J4/1000</f>
        <v>27.245447847500003</v>
      </c>
      <c r="Q4" s="4">
        <v>6000</v>
      </c>
      <c r="R4" s="4">
        <f>O4+Q4</f>
        <v>130175</v>
      </c>
      <c r="S4" s="4">
        <f>ROUND(R4*J4/1000,2)</f>
        <v>28.56</v>
      </c>
      <c r="T4" s="4">
        <v>4000</v>
      </c>
      <c r="U4" s="4">
        <f>R4+T4</f>
        <v>134175</v>
      </c>
      <c r="V4" s="4">
        <f>ROUND(U4*J4/1000,2)</f>
        <v>29.44</v>
      </c>
      <c r="W4" s="4">
        <v>5700</v>
      </c>
      <c r="X4" s="4">
        <f>W4+U4</f>
        <v>139875</v>
      </c>
      <c r="Y4" s="4">
        <f>ROUND(X4*J4/1000,2)</f>
        <v>30.69</v>
      </c>
      <c r="Z4" s="4">
        <v>-11650</v>
      </c>
      <c r="AA4" s="4">
        <f>Z4+X4</f>
        <v>128225</v>
      </c>
      <c r="AB4" s="4">
        <f>ROUND(AA4*J4/1000,2)</f>
        <v>28.13</v>
      </c>
      <c r="AC4" s="4">
        <v>-4200</v>
      </c>
      <c r="AD4" s="4">
        <f>AC4+AA4</f>
        <v>124025</v>
      </c>
      <c r="AE4" s="4">
        <f>ROUND(AD4*J4/1000,2)</f>
        <v>27.21</v>
      </c>
      <c r="AF4" s="30">
        <v>1950</v>
      </c>
      <c r="AG4" s="4">
        <f>AF4+AD4</f>
        <v>125975</v>
      </c>
      <c r="AH4" s="4">
        <f>ROUND(AG4*J4/1000,2)</f>
        <v>27.64</v>
      </c>
      <c r="AI4" s="30">
        <v>-4825</v>
      </c>
      <c r="AJ4" s="4">
        <f>AI4+AG4</f>
        <v>121150</v>
      </c>
      <c r="AK4" s="4">
        <f>ROUND(AJ4*J4/1000,2)</f>
        <v>26.58</v>
      </c>
      <c r="AL4" s="4">
        <f>1920</f>
        <v>1920</v>
      </c>
      <c r="AM4" s="4">
        <f>AJ4+AL4</f>
        <v>123070</v>
      </c>
      <c r="AN4" s="4">
        <f>ROUND(AM4*J4/1000,2)</f>
        <v>27</v>
      </c>
      <c r="AO4" s="4">
        <v>-1200</v>
      </c>
      <c r="AP4" s="4">
        <f>AM4+AO4</f>
        <v>121870</v>
      </c>
      <c r="AQ4" s="6">
        <f t="shared" ref="AQ4:AQ38" si="0">AP4*J4/1000</f>
        <v>26.739703879</v>
      </c>
      <c r="AR4" s="4">
        <v>-2125</v>
      </c>
      <c r="AS4" s="4">
        <f>AP4+AR4</f>
        <v>119745</v>
      </c>
      <c r="AT4" s="6">
        <f>AS4*J4/1000</f>
        <v>26.273454016500004</v>
      </c>
      <c r="AU4" s="4">
        <v>200</v>
      </c>
      <c r="AV4" s="4">
        <f>AS4+AU4</f>
        <v>119945</v>
      </c>
      <c r="AW4" s="6">
        <f>AV4*J4/1000</f>
        <v>26.317336356500004</v>
      </c>
      <c r="AX4" s="4">
        <v>-4150</v>
      </c>
      <c r="AY4" s="4">
        <f>AV4+AX4</f>
        <v>115795</v>
      </c>
      <c r="AZ4" s="6">
        <f t="shared" ref="AZ4:AZ38" si="1">AY4*J4/1000</f>
        <v>25.406777801499999</v>
      </c>
      <c r="BA4" s="4">
        <v>0</v>
      </c>
      <c r="BB4" s="4">
        <f>AY4+BA4</f>
        <v>115795</v>
      </c>
      <c r="BC4" s="6">
        <f>BB4*J4/1000</f>
        <v>25.406777801499999</v>
      </c>
      <c r="BD4" s="4">
        <v>2600</v>
      </c>
      <c r="BE4" s="4">
        <f>BB4+BD4</f>
        <v>118395</v>
      </c>
      <c r="BF4" s="6">
        <f>BE4*$J$4/1000</f>
        <v>25.977248221500002</v>
      </c>
      <c r="BG4" s="4">
        <v>900</v>
      </c>
      <c r="BH4" s="4">
        <f>BE4+BG4</f>
        <v>119295</v>
      </c>
      <c r="BI4" s="6">
        <f>BH4*$J4/1000</f>
        <v>26.174718751500002</v>
      </c>
      <c r="BJ4" s="4">
        <v>-2100</v>
      </c>
      <c r="BK4" s="4">
        <f>BH4+BJ4</f>
        <v>117195</v>
      </c>
      <c r="BL4" s="6">
        <f>BK4*$J4/1000</f>
        <v>25.7139541815</v>
      </c>
      <c r="BM4" s="4">
        <v>1450</v>
      </c>
      <c r="BN4" s="4">
        <f>BK4+BM4</f>
        <v>118645</v>
      </c>
      <c r="BO4" s="6">
        <f>BN4*$J4/1000</f>
        <v>26.032101146500001</v>
      </c>
      <c r="BP4" s="4">
        <v>5150</v>
      </c>
      <c r="BQ4" s="4">
        <f>BN4+BP4</f>
        <v>123795</v>
      </c>
      <c r="BR4" s="6">
        <f>BQ4*$J4/1000</f>
        <v>27.1620714015</v>
      </c>
    </row>
    <row r="5" spans="1:70" x14ac:dyDescent="0.25">
      <c r="A5" t="s">
        <v>58</v>
      </c>
      <c r="B5" s="4" t="s">
        <v>13</v>
      </c>
      <c r="C5" s="4" t="s">
        <v>14</v>
      </c>
      <c r="D5" s="4" t="s">
        <v>15</v>
      </c>
      <c r="E5" s="4">
        <v>11</v>
      </c>
      <c r="F5" s="4"/>
      <c r="G5" s="4">
        <v>1.5</v>
      </c>
      <c r="H5" s="33" t="s">
        <v>16</v>
      </c>
      <c r="I5" s="33" t="str">
        <f t="shared" ref="I5:I38" si="2">_xlfn.CONCAT(E5,"-",F5,"-",G5)</f>
        <v>11--1.5</v>
      </c>
      <c r="J5" s="5">
        <v>0.35130525000000001</v>
      </c>
      <c r="K5" s="4">
        <v>111625</v>
      </c>
      <c r="L5" s="4">
        <v>9800</v>
      </c>
      <c r="M5" s="4">
        <v>2750</v>
      </c>
      <c r="N5" s="4"/>
      <c r="O5" s="4">
        <f t="shared" ref="O5:O38" si="3">SUM(K5:N5)</f>
        <v>124175</v>
      </c>
      <c r="P5" s="6">
        <f t="shared" ref="P5:P38" si="4">O5*J5/1000</f>
        <v>43.623329418749996</v>
      </c>
      <c r="Q5" s="4">
        <v>6000</v>
      </c>
      <c r="R5" s="4">
        <f t="shared" ref="R5:R38" si="5">O5+Q5</f>
        <v>130175</v>
      </c>
      <c r="S5" s="4">
        <f t="shared" ref="S5:S38" si="6">ROUND(R5*J5/1000,2)</f>
        <v>45.73</v>
      </c>
      <c r="T5" s="4">
        <v>4000</v>
      </c>
      <c r="U5" s="4">
        <f t="shared" ref="U5:U38" si="7">R5+T5</f>
        <v>134175</v>
      </c>
      <c r="V5" s="4">
        <f t="shared" ref="V5:V38" si="8">ROUND(U5*J5/1000,2)</f>
        <v>47.14</v>
      </c>
      <c r="W5" s="4">
        <v>5700</v>
      </c>
      <c r="X5" s="4">
        <f t="shared" ref="X5:X11" si="9">W5+U5</f>
        <v>139875</v>
      </c>
      <c r="Y5" s="4">
        <f t="shared" ref="Y5:Y11" si="10">ROUND(X5*J5/1000,2)</f>
        <v>49.14</v>
      </c>
      <c r="Z5" s="4">
        <v>-11650</v>
      </c>
      <c r="AA5" s="4">
        <f t="shared" ref="AA5:AA11" si="11">Z5+X5</f>
        <v>128225</v>
      </c>
      <c r="AB5" s="4">
        <f t="shared" ref="AB5:AB11" si="12">ROUND(AA5*J5/1000,2)</f>
        <v>45.05</v>
      </c>
      <c r="AC5" s="4">
        <v>-4200</v>
      </c>
      <c r="AD5" s="4">
        <f t="shared" ref="AD5:AD11" si="13">AC5+AA5</f>
        <v>124025</v>
      </c>
      <c r="AE5" s="4">
        <f t="shared" ref="AE5:AE11" si="14">ROUND(AD5*J5/1000,2)</f>
        <v>43.57</v>
      </c>
      <c r="AF5" s="30">
        <v>1950</v>
      </c>
      <c r="AG5" s="4">
        <f t="shared" ref="AG5:AG10" si="15">AF5+AD5</f>
        <v>125975</v>
      </c>
      <c r="AH5" s="4">
        <f t="shared" ref="AH5:AH9" si="16">ROUND(AG5*J5/1000,2)</f>
        <v>44.26</v>
      </c>
      <c r="AI5" s="30">
        <v>-4825</v>
      </c>
      <c r="AJ5" s="4">
        <f t="shared" ref="AJ5:AJ10" si="17">AI5+AG5</f>
        <v>121150</v>
      </c>
      <c r="AK5" s="4">
        <f t="shared" ref="AK5:AK9" si="18">ROUND(AJ5*J5/1000,2)</f>
        <v>42.56</v>
      </c>
      <c r="AL5" s="4">
        <f>1920</f>
        <v>1920</v>
      </c>
      <c r="AM5" s="4">
        <f t="shared" ref="AM5:AM38" si="19">AJ5+AL5</f>
        <v>123070</v>
      </c>
      <c r="AN5" s="4">
        <f t="shared" ref="AN5:AN38" si="20">ROUND(AM5*J5/1000,2)</f>
        <v>43.24</v>
      </c>
      <c r="AO5" s="4">
        <v>-1200</v>
      </c>
      <c r="AP5" s="4">
        <f t="shared" ref="AP5:AP38" si="21">AM5+AO5</f>
        <v>121870</v>
      </c>
      <c r="AQ5" s="6">
        <f t="shared" si="0"/>
        <v>42.8135708175</v>
      </c>
      <c r="AR5" s="4">
        <v>-2125</v>
      </c>
      <c r="AS5" s="4">
        <f t="shared" ref="AS5:AS38" si="22">AP5+AR5</f>
        <v>119745</v>
      </c>
      <c r="AT5" s="6">
        <f t="shared" ref="AT5:AT38" si="23">AS5*J5/1000</f>
        <v>42.067047161250002</v>
      </c>
      <c r="AU5" s="4">
        <v>200</v>
      </c>
      <c r="AV5" s="4">
        <f t="shared" ref="AV5:AV38" si="24">AS5+AU5</f>
        <v>119945</v>
      </c>
      <c r="AW5" s="6">
        <f t="shared" ref="AW5:AW9" si="25">AV5*J5/1000</f>
        <v>42.137308211250009</v>
      </c>
      <c r="AX5" s="4">
        <v>-4150</v>
      </c>
      <c r="AY5" s="4">
        <f t="shared" ref="AY5:AY38" si="26">AV5+AX5</f>
        <v>115795</v>
      </c>
      <c r="AZ5" s="6">
        <f t="shared" si="1"/>
        <v>40.679391423749998</v>
      </c>
      <c r="BA5" s="4">
        <v>0</v>
      </c>
      <c r="BB5" s="4">
        <f t="shared" ref="BB5:BB38" si="27">AY5+BA5</f>
        <v>115795</v>
      </c>
      <c r="BC5" s="6">
        <f t="shared" ref="BC5:BC38" si="28">BB5*J5/1000</f>
        <v>40.679391423749998</v>
      </c>
      <c r="BD5" s="4">
        <v>2600</v>
      </c>
      <c r="BE5" s="4">
        <f t="shared" ref="BE5:BE38" si="29">BB5+BD5</f>
        <v>118395</v>
      </c>
      <c r="BF5" s="6">
        <f t="shared" ref="BF5:BF38" si="30">BE5*J5/1000</f>
        <v>41.592785073750008</v>
      </c>
      <c r="BG5" s="4">
        <v>900</v>
      </c>
      <c r="BH5" s="4">
        <f t="shared" ref="BH5:BH9" si="31">BE5+BG5</f>
        <v>119295</v>
      </c>
      <c r="BI5" s="6">
        <f t="shared" ref="BI5:BI38" si="32">BH5*$J5/1000</f>
        <v>41.908959798750004</v>
      </c>
      <c r="BJ5" s="4">
        <v>-2100</v>
      </c>
      <c r="BK5" s="4">
        <f t="shared" ref="BK5:BK9" si="33">BH5+BJ5</f>
        <v>117195</v>
      </c>
      <c r="BL5" s="6">
        <f t="shared" ref="BL5:BL38" si="34">BK5*$J5/1000</f>
        <v>41.171218773749999</v>
      </c>
      <c r="BM5" s="4">
        <v>1450</v>
      </c>
      <c r="BN5" s="4">
        <f t="shared" ref="BN5:BN11" si="35">BK5+BM5</f>
        <v>118645</v>
      </c>
      <c r="BO5" s="6">
        <f t="shared" ref="BO5:BO38" si="36">BN5*$J5/1000</f>
        <v>41.68061138625</v>
      </c>
      <c r="BP5" s="4">
        <v>5150</v>
      </c>
      <c r="BQ5" s="4">
        <f t="shared" ref="BQ5:BQ11" si="37">BN5+BP5</f>
        <v>123795</v>
      </c>
      <c r="BR5" s="6">
        <f t="shared" ref="BR5:BR38" si="38">BQ5*$J5/1000</f>
        <v>43.489833423749999</v>
      </c>
    </row>
    <row r="6" spans="1:70" x14ac:dyDescent="0.25">
      <c r="A6" t="s">
        <v>59</v>
      </c>
      <c r="B6" s="4" t="s">
        <v>13</v>
      </c>
      <c r="C6" s="4" t="s">
        <v>14</v>
      </c>
      <c r="D6" s="4" t="s">
        <v>15</v>
      </c>
      <c r="E6" s="4">
        <v>11</v>
      </c>
      <c r="F6" s="4"/>
      <c r="G6" s="4">
        <v>1</v>
      </c>
      <c r="H6" s="33" t="s">
        <v>16</v>
      </c>
      <c r="I6" s="33" t="str">
        <f t="shared" si="2"/>
        <v>11--1</v>
      </c>
      <c r="J6" s="5">
        <v>0.24653000000000003</v>
      </c>
      <c r="K6" s="4">
        <v>111625</v>
      </c>
      <c r="L6" s="4">
        <v>9800</v>
      </c>
      <c r="M6" s="4">
        <v>2750</v>
      </c>
      <c r="N6" s="4"/>
      <c r="O6" s="4">
        <f t="shared" si="3"/>
        <v>124175</v>
      </c>
      <c r="P6" s="6">
        <f t="shared" si="4"/>
        <v>30.612862750000005</v>
      </c>
      <c r="Q6" s="4">
        <v>6000</v>
      </c>
      <c r="R6" s="4">
        <f t="shared" si="5"/>
        <v>130175</v>
      </c>
      <c r="S6" s="4">
        <f t="shared" si="6"/>
        <v>32.090000000000003</v>
      </c>
      <c r="T6" s="4">
        <v>4000</v>
      </c>
      <c r="U6" s="4">
        <f t="shared" si="7"/>
        <v>134175</v>
      </c>
      <c r="V6" s="4">
        <f t="shared" si="8"/>
        <v>33.08</v>
      </c>
      <c r="W6" s="4">
        <v>5700</v>
      </c>
      <c r="X6" s="4">
        <f t="shared" si="9"/>
        <v>139875</v>
      </c>
      <c r="Y6" s="4">
        <f t="shared" si="10"/>
        <v>34.479999999999997</v>
      </c>
      <c r="Z6" s="4">
        <v>-11650</v>
      </c>
      <c r="AA6" s="4">
        <f t="shared" si="11"/>
        <v>128225</v>
      </c>
      <c r="AB6" s="4">
        <f t="shared" si="12"/>
        <v>31.61</v>
      </c>
      <c r="AC6" s="4">
        <v>-4200</v>
      </c>
      <c r="AD6" s="4">
        <f t="shared" si="13"/>
        <v>124025</v>
      </c>
      <c r="AE6" s="4">
        <f t="shared" si="14"/>
        <v>30.58</v>
      </c>
      <c r="AF6" s="30">
        <v>1950</v>
      </c>
      <c r="AG6" s="4">
        <f t="shared" si="15"/>
        <v>125975</v>
      </c>
      <c r="AH6" s="4">
        <f t="shared" si="16"/>
        <v>31.06</v>
      </c>
      <c r="AI6" s="30">
        <v>-4825</v>
      </c>
      <c r="AJ6" s="4">
        <f t="shared" si="17"/>
        <v>121150</v>
      </c>
      <c r="AK6" s="4">
        <f t="shared" si="18"/>
        <v>29.87</v>
      </c>
      <c r="AL6" s="4">
        <f>1920</f>
        <v>1920</v>
      </c>
      <c r="AM6" s="4">
        <f t="shared" si="19"/>
        <v>123070</v>
      </c>
      <c r="AN6" s="4">
        <f t="shared" si="20"/>
        <v>30.34</v>
      </c>
      <c r="AO6" s="4">
        <v>-1200</v>
      </c>
      <c r="AP6" s="4">
        <f t="shared" si="21"/>
        <v>121870</v>
      </c>
      <c r="AQ6" s="6">
        <f t="shared" si="0"/>
        <v>30.044611100000001</v>
      </c>
      <c r="AR6" s="4">
        <v>-2125</v>
      </c>
      <c r="AS6" s="4">
        <f t="shared" si="22"/>
        <v>119745</v>
      </c>
      <c r="AT6" s="6">
        <f t="shared" si="23"/>
        <v>29.520734850000004</v>
      </c>
      <c r="AU6" s="4">
        <v>200</v>
      </c>
      <c r="AV6" s="4">
        <f t="shared" si="24"/>
        <v>119945</v>
      </c>
      <c r="AW6" s="6">
        <f t="shared" si="25"/>
        <v>29.570040850000005</v>
      </c>
      <c r="AX6" s="4">
        <v>-4150</v>
      </c>
      <c r="AY6" s="4">
        <f t="shared" si="26"/>
        <v>115795</v>
      </c>
      <c r="AZ6" s="6">
        <f t="shared" si="1"/>
        <v>28.546941350000004</v>
      </c>
      <c r="BA6" s="4">
        <v>0</v>
      </c>
      <c r="BB6" s="4">
        <f t="shared" si="27"/>
        <v>115795</v>
      </c>
      <c r="BC6" s="6">
        <f t="shared" si="28"/>
        <v>28.546941350000004</v>
      </c>
      <c r="BD6" s="4">
        <v>2600</v>
      </c>
      <c r="BE6" s="4">
        <f t="shared" si="29"/>
        <v>118395</v>
      </c>
      <c r="BF6" s="6">
        <f t="shared" si="30"/>
        <v>29.187919350000005</v>
      </c>
      <c r="BG6" s="4">
        <v>900</v>
      </c>
      <c r="BH6" s="4">
        <f t="shared" si="31"/>
        <v>119295</v>
      </c>
      <c r="BI6" s="6">
        <f t="shared" si="32"/>
        <v>29.409796350000004</v>
      </c>
      <c r="BJ6" s="4">
        <v>-2100</v>
      </c>
      <c r="BK6" s="4">
        <f t="shared" si="33"/>
        <v>117195</v>
      </c>
      <c r="BL6" s="6">
        <f t="shared" si="34"/>
        <v>28.892083350000004</v>
      </c>
      <c r="BM6" s="4">
        <v>1450</v>
      </c>
      <c r="BN6" s="4">
        <f t="shared" si="35"/>
        <v>118645</v>
      </c>
      <c r="BO6" s="6">
        <f t="shared" si="36"/>
        <v>29.249551850000003</v>
      </c>
      <c r="BP6" s="4">
        <v>5150</v>
      </c>
      <c r="BQ6" s="4">
        <f t="shared" si="37"/>
        <v>123795</v>
      </c>
      <c r="BR6" s="6">
        <f t="shared" si="38"/>
        <v>30.519181350000004</v>
      </c>
    </row>
    <row r="7" spans="1:70" x14ac:dyDescent="0.25">
      <c r="A7" t="s">
        <v>60</v>
      </c>
      <c r="B7" s="4" t="s">
        <v>13</v>
      </c>
      <c r="C7" s="4" t="s">
        <v>14</v>
      </c>
      <c r="D7" s="4" t="s">
        <v>15</v>
      </c>
      <c r="E7" s="4">
        <v>12</v>
      </c>
      <c r="F7" s="4"/>
      <c r="G7" s="4">
        <v>1.8</v>
      </c>
      <c r="H7" s="33" t="s">
        <v>17</v>
      </c>
      <c r="I7" s="33" t="str">
        <f t="shared" si="2"/>
        <v>12--1.8</v>
      </c>
      <c r="J7" s="5">
        <v>0.45262908000000002</v>
      </c>
      <c r="K7" s="4">
        <v>87625</v>
      </c>
      <c r="L7" s="4">
        <v>7500</v>
      </c>
      <c r="M7" s="4">
        <v>2750</v>
      </c>
      <c r="N7" s="4"/>
      <c r="O7" s="4">
        <f t="shared" si="3"/>
        <v>97875</v>
      </c>
      <c r="P7" s="6">
        <f t="shared" si="4"/>
        <v>44.301071205</v>
      </c>
      <c r="Q7" s="4">
        <v>5600</v>
      </c>
      <c r="R7" s="4">
        <f t="shared" si="5"/>
        <v>103475</v>
      </c>
      <c r="S7" s="4">
        <f t="shared" si="6"/>
        <v>46.84</v>
      </c>
      <c r="T7" s="4">
        <v>3900</v>
      </c>
      <c r="U7" s="4">
        <f t="shared" si="7"/>
        <v>107375</v>
      </c>
      <c r="V7" s="4">
        <f t="shared" si="8"/>
        <v>48.6</v>
      </c>
      <c r="W7" s="4">
        <v>5700</v>
      </c>
      <c r="X7" s="4">
        <f t="shared" si="9"/>
        <v>113075</v>
      </c>
      <c r="Y7" s="4">
        <f t="shared" si="10"/>
        <v>51.18</v>
      </c>
      <c r="Z7" s="4">
        <v>-11650</v>
      </c>
      <c r="AA7" s="4">
        <f t="shared" si="11"/>
        <v>101425</v>
      </c>
      <c r="AB7" s="4">
        <f t="shared" si="12"/>
        <v>45.91</v>
      </c>
      <c r="AC7" s="4">
        <v>-4200</v>
      </c>
      <c r="AD7" s="4">
        <f t="shared" si="13"/>
        <v>97225</v>
      </c>
      <c r="AE7" s="4">
        <f t="shared" si="14"/>
        <v>44.01</v>
      </c>
      <c r="AF7" s="30">
        <v>1950</v>
      </c>
      <c r="AG7" s="4">
        <f t="shared" si="15"/>
        <v>99175</v>
      </c>
      <c r="AH7" s="4">
        <f t="shared" si="16"/>
        <v>44.89</v>
      </c>
      <c r="AI7" s="30">
        <v>-4825</v>
      </c>
      <c r="AJ7" s="4">
        <f t="shared" si="17"/>
        <v>94350</v>
      </c>
      <c r="AK7" s="4">
        <f t="shared" si="18"/>
        <v>42.71</v>
      </c>
      <c r="AL7" s="4">
        <f>1920</f>
        <v>1920</v>
      </c>
      <c r="AM7" s="4">
        <f t="shared" si="19"/>
        <v>96270</v>
      </c>
      <c r="AN7" s="4">
        <f t="shared" si="20"/>
        <v>43.57</v>
      </c>
      <c r="AO7" s="4">
        <v>-1200</v>
      </c>
      <c r="AP7" s="4">
        <f t="shared" si="21"/>
        <v>95070</v>
      </c>
      <c r="AQ7" s="6">
        <f t="shared" si="0"/>
        <v>43.031446635600005</v>
      </c>
      <c r="AR7" s="4">
        <v>-2125</v>
      </c>
      <c r="AS7" s="4">
        <f t="shared" si="22"/>
        <v>92945</v>
      </c>
      <c r="AT7" s="6">
        <f t="shared" si="23"/>
        <v>42.069609840600002</v>
      </c>
      <c r="AU7" s="4">
        <v>200</v>
      </c>
      <c r="AV7" s="4">
        <f t="shared" si="24"/>
        <v>93145</v>
      </c>
      <c r="AW7" s="6">
        <f t="shared" si="25"/>
        <v>42.160135656600005</v>
      </c>
      <c r="AX7" s="4">
        <v>-4150</v>
      </c>
      <c r="AY7" s="4">
        <f t="shared" si="26"/>
        <v>88995</v>
      </c>
      <c r="AZ7" s="6">
        <f t="shared" si="1"/>
        <v>40.281724974600003</v>
      </c>
      <c r="BA7" s="4">
        <v>0</v>
      </c>
      <c r="BB7" s="4">
        <f t="shared" si="27"/>
        <v>88995</v>
      </c>
      <c r="BC7" s="6">
        <f t="shared" si="28"/>
        <v>40.281724974600003</v>
      </c>
      <c r="BD7" s="4">
        <v>2600</v>
      </c>
      <c r="BE7" s="4">
        <f t="shared" si="29"/>
        <v>91595</v>
      </c>
      <c r="BF7" s="6">
        <f t="shared" si="30"/>
        <v>41.458560582600001</v>
      </c>
      <c r="BG7" s="4">
        <v>900</v>
      </c>
      <c r="BH7" s="4">
        <f t="shared" si="31"/>
        <v>92495</v>
      </c>
      <c r="BI7" s="6">
        <f t="shared" si="32"/>
        <v>41.865926754600004</v>
      </c>
      <c r="BJ7" s="4">
        <v>-2100</v>
      </c>
      <c r="BK7" s="4">
        <f t="shared" si="33"/>
        <v>90395</v>
      </c>
      <c r="BL7" s="6">
        <f t="shared" si="34"/>
        <v>40.915405686600003</v>
      </c>
      <c r="BM7" s="4">
        <v>1450</v>
      </c>
      <c r="BN7" s="4">
        <f t="shared" si="35"/>
        <v>91845</v>
      </c>
      <c r="BO7" s="6">
        <f t="shared" si="36"/>
        <v>41.571717852599996</v>
      </c>
      <c r="BP7" s="4">
        <v>5150</v>
      </c>
      <c r="BQ7" s="4">
        <f t="shared" si="37"/>
        <v>96995</v>
      </c>
      <c r="BR7" s="6">
        <f t="shared" si="38"/>
        <v>43.902757614599999</v>
      </c>
    </row>
    <row r="8" spans="1:70" x14ac:dyDescent="0.25">
      <c r="A8" t="s">
        <v>61</v>
      </c>
      <c r="B8" s="4" t="s">
        <v>13</v>
      </c>
      <c r="C8" s="4" t="s">
        <v>14</v>
      </c>
      <c r="D8" s="4" t="s">
        <v>15</v>
      </c>
      <c r="E8" s="4">
        <v>14</v>
      </c>
      <c r="F8" s="4"/>
      <c r="G8" s="4">
        <v>1.6</v>
      </c>
      <c r="H8" s="33" t="s">
        <v>20</v>
      </c>
      <c r="I8" s="33" t="str">
        <f t="shared" si="2"/>
        <v>14--1.6</v>
      </c>
      <c r="J8" s="5">
        <v>0.48911552000000014</v>
      </c>
      <c r="K8" s="4">
        <v>84625</v>
      </c>
      <c r="L8" s="4">
        <v>9800</v>
      </c>
      <c r="M8" s="4">
        <v>2750</v>
      </c>
      <c r="N8" s="4"/>
      <c r="O8" s="4">
        <f t="shared" si="3"/>
        <v>97175</v>
      </c>
      <c r="P8" s="6">
        <f t="shared" si="4"/>
        <v>47.529800656000013</v>
      </c>
      <c r="Q8" s="4">
        <v>6000</v>
      </c>
      <c r="R8" s="4">
        <f t="shared" si="5"/>
        <v>103175</v>
      </c>
      <c r="S8" s="4">
        <f t="shared" si="6"/>
        <v>50.46</v>
      </c>
      <c r="T8" s="4">
        <v>4000</v>
      </c>
      <c r="U8" s="4">
        <f t="shared" si="7"/>
        <v>107175</v>
      </c>
      <c r="V8" s="4">
        <f t="shared" si="8"/>
        <v>52.42</v>
      </c>
      <c r="W8" s="4">
        <v>5700</v>
      </c>
      <c r="X8" s="4">
        <f t="shared" si="9"/>
        <v>112875</v>
      </c>
      <c r="Y8" s="4">
        <f t="shared" si="10"/>
        <v>55.21</v>
      </c>
      <c r="Z8" s="4">
        <v>-11650</v>
      </c>
      <c r="AA8" s="4">
        <f t="shared" si="11"/>
        <v>101225</v>
      </c>
      <c r="AB8" s="4">
        <f t="shared" si="12"/>
        <v>49.51</v>
      </c>
      <c r="AC8" s="4">
        <v>-4200</v>
      </c>
      <c r="AD8" s="4">
        <f t="shared" si="13"/>
        <v>97025</v>
      </c>
      <c r="AE8" s="4">
        <f t="shared" si="14"/>
        <v>47.46</v>
      </c>
      <c r="AF8" s="30">
        <v>1950</v>
      </c>
      <c r="AG8" s="4">
        <f t="shared" si="15"/>
        <v>98975</v>
      </c>
      <c r="AH8" s="4">
        <f t="shared" si="16"/>
        <v>48.41</v>
      </c>
      <c r="AI8" s="30">
        <v>-4825</v>
      </c>
      <c r="AJ8" s="4">
        <f t="shared" si="17"/>
        <v>94150</v>
      </c>
      <c r="AK8" s="4">
        <f t="shared" si="18"/>
        <v>46.05</v>
      </c>
      <c r="AL8" s="4">
        <f>1920</f>
        <v>1920</v>
      </c>
      <c r="AM8" s="4">
        <f t="shared" si="19"/>
        <v>96070</v>
      </c>
      <c r="AN8" s="4">
        <f t="shared" si="20"/>
        <v>46.99</v>
      </c>
      <c r="AO8" s="4">
        <v>-1200</v>
      </c>
      <c r="AP8" s="4">
        <f t="shared" si="21"/>
        <v>94870</v>
      </c>
      <c r="AQ8" s="6">
        <f t="shared" si="0"/>
        <v>46.40238938240001</v>
      </c>
      <c r="AR8" s="4">
        <v>-2125</v>
      </c>
      <c r="AS8" s="4">
        <f t="shared" si="22"/>
        <v>92745</v>
      </c>
      <c r="AT8" s="6">
        <f t="shared" si="23"/>
        <v>45.363018902400015</v>
      </c>
      <c r="AU8" s="4">
        <v>200</v>
      </c>
      <c r="AV8" s="4">
        <f t="shared" si="24"/>
        <v>92945</v>
      </c>
      <c r="AW8" s="6">
        <f t="shared" si="25"/>
        <v>45.460842006400007</v>
      </c>
      <c r="AX8" s="4">
        <v>-4150</v>
      </c>
      <c r="AY8" s="4">
        <f t="shared" si="26"/>
        <v>88795</v>
      </c>
      <c r="AZ8" s="6">
        <f t="shared" si="1"/>
        <v>43.431012598400009</v>
      </c>
      <c r="BA8" s="4">
        <v>0</v>
      </c>
      <c r="BB8" s="4">
        <f t="shared" si="27"/>
        <v>88795</v>
      </c>
      <c r="BC8" s="6">
        <f t="shared" si="28"/>
        <v>43.431012598400009</v>
      </c>
      <c r="BD8" s="4">
        <v>2600</v>
      </c>
      <c r="BE8" s="4">
        <f t="shared" si="29"/>
        <v>91395</v>
      </c>
      <c r="BF8" s="6">
        <f t="shared" si="30"/>
        <v>44.702712950400013</v>
      </c>
      <c r="BG8" s="4">
        <v>900</v>
      </c>
      <c r="BH8" s="4">
        <f t="shared" si="31"/>
        <v>92295</v>
      </c>
      <c r="BI8" s="6">
        <f t="shared" si="32"/>
        <v>45.142916918400012</v>
      </c>
      <c r="BJ8" s="4">
        <v>-2100</v>
      </c>
      <c r="BK8" s="4">
        <f t="shared" si="33"/>
        <v>90195</v>
      </c>
      <c r="BL8" s="6">
        <f t="shared" si="34"/>
        <v>44.115774326400008</v>
      </c>
      <c r="BM8" s="4">
        <v>1450</v>
      </c>
      <c r="BN8" s="4">
        <f t="shared" si="35"/>
        <v>91645</v>
      </c>
      <c r="BO8" s="6">
        <f t="shared" si="36"/>
        <v>44.824991830400009</v>
      </c>
      <c r="BP8" s="4">
        <v>5150</v>
      </c>
      <c r="BQ8" s="4">
        <f t="shared" si="37"/>
        <v>96795</v>
      </c>
      <c r="BR8" s="6">
        <f t="shared" si="38"/>
        <v>47.343936758400012</v>
      </c>
    </row>
    <row r="9" spans="1:70" x14ac:dyDescent="0.25">
      <c r="A9" t="s">
        <v>62</v>
      </c>
      <c r="B9" s="4" t="s">
        <v>13</v>
      </c>
      <c r="C9" s="4" t="s">
        <v>14</v>
      </c>
      <c r="D9" s="4" t="s">
        <v>15</v>
      </c>
      <c r="E9" s="4">
        <v>14</v>
      </c>
      <c r="F9" s="4"/>
      <c r="G9" s="4">
        <v>1.95</v>
      </c>
      <c r="H9" s="34" t="s">
        <v>20</v>
      </c>
      <c r="I9" s="34" t="str">
        <f t="shared" si="2"/>
        <v>14--1.95</v>
      </c>
      <c r="J9" s="5">
        <v>0.57928386750000005</v>
      </c>
      <c r="K9" s="4">
        <v>84625</v>
      </c>
      <c r="L9" s="4">
        <v>7500</v>
      </c>
      <c r="M9" s="4">
        <v>2750</v>
      </c>
      <c r="N9" s="4"/>
      <c r="O9" s="4">
        <f t="shared" si="3"/>
        <v>94875</v>
      </c>
      <c r="P9" s="6">
        <f t="shared" si="4"/>
        <v>54.959556929062508</v>
      </c>
      <c r="Q9" s="4">
        <v>5600</v>
      </c>
      <c r="R9" s="4">
        <f t="shared" si="5"/>
        <v>100475</v>
      </c>
      <c r="S9" s="4">
        <f t="shared" si="6"/>
        <v>58.2</v>
      </c>
      <c r="T9" s="4">
        <v>3900</v>
      </c>
      <c r="U9" s="4">
        <f t="shared" si="7"/>
        <v>104375</v>
      </c>
      <c r="V9" s="4">
        <f t="shared" si="8"/>
        <v>60.46</v>
      </c>
      <c r="W9" s="4">
        <v>5700</v>
      </c>
      <c r="X9" s="4">
        <f t="shared" si="9"/>
        <v>110075</v>
      </c>
      <c r="Y9" s="4">
        <f t="shared" si="10"/>
        <v>63.76</v>
      </c>
      <c r="Z9" s="4">
        <v>-11650</v>
      </c>
      <c r="AA9" s="4">
        <f t="shared" si="11"/>
        <v>98425</v>
      </c>
      <c r="AB9" s="4">
        <f t="shared" si="12"/>
        <v>57.02</v>
      </c>
      <c r="AC9" s="4">
        <v>-4200</v>
      </c>
      <c r="AD9" s="4">
        <f t="shared" si="13"/>
        <v>94225</v>
      </c>
      <c r="AE9" s="4">
        <f t="shared" si="14"/>
        <v>54.58</v>
      </c>
      <c r="AF9" s="30">
        <v>1950</v>
      </c>
      <c r="AG9" s="4">
        <f t="shared" si="15"/>
        <v>96175</v>
      </c>
      <c r="AH9" s="4">
        <f t="shared" si="16"/>
        <v>55.71</v>
      </c>
      <c r="AI9" s="30">
        <v>-4825</v>
      </c>
      <c r="AJ9" s="4">
        <f t="shared" si="17"/>
        <v>91350</v>
      </c>
      <c r="AK9" s="4">
        <f t="shared" si="18"/>
        <v>52.92</v>
      </c>
      <c r="AL9" s="4">
        <f>1920</f>
        <v>1920</v>
      </c>
      <c r="AM9" s="4">
        <f t="shared" si="19"/>
        <v>93270</v>
      </c>
      <c r="AN9" s="4">
        <f t="shared" si="20"/>
        <v>54.03</v>
      </c>
      <c r="AO9" s="4">
        <v>-1200</v>
      </c>
      <c r="AP9" s="4">
        <f t="shared" si="21"/>
        <v>92070</v>
      </c>
      <c r="AQ9" s="6">
        <f t="shared" si="0"/>
        <v>53.334665680725003</v>
      </c>
      <c r="AR9" s="4">
        <v>-2125</v>
      </c>
      <c r="AS9" s="4">
        <f t="shared" si="22"/>
        <v>89945</v>
      </c>
      <c r="AT9" s="6">
        <f t="shared" si="23"/>
        <v>52.103687462287503</v>
      </c>
      <c r="AU9" s="4">
        <v>200</v>
      </c>
      <c r="AV9" s="4">
        <f t="shared" si="24"/>
        <v>90145</v>
      </c>
      <c r="AW9" s="6">
        <f t="shared" si="25"/>
        <v>52.219544235787509</v>
      </c>
      <c r="AX9" s="4">
        <v>-4150</v>
      </c>
      <c r="AY9" s="4">
        <f t="shared" si="26"/>
        <v>85995</v>
      </c>
      <c r="AZ9" s="6">
        <f t="shared" si="1"/>
        <v>49.815516185662503</v>
      </c>
      <c r="BA9" s="4">
        <v>0</v>
      </c>
      <c r="BB9" s="4">
        <f t="shared" si="27"/>
        <v>85995</v>
      </c>
      <c r="BC9" s="6">
        <f t="shared" si="28"/>
        <v>49.815516185662503</v>
      </c>
      <c r="BD9" s="4">
        <v>2600</v>
      </c>
      <c r="BE9" s="4">
        <f t="shared" si="29"/>
        <v>88595</v>
      </c>
      <c r="BF9" s="6">
        <f t="shared" si="30"/>
        <v>51.321654241162506</v>
      </c>
      <c r="BG9" s="4">
        <v>900</v>
      </c>
      <c r="BH9" s="4">
        <f t="shared" si="31"/>
        <v>89495</v>
      </c>
      <c r="BI9" s="14">
        <f t="shared" si="32"/>
        <v>51.843009721912502</v>
      </c>
      <c r="BJ9" s="4">
        <v>-2100</v>
      </c>
      <c r="BK9" s="4">
        <f t="shared" si="33"/>
        <v>87395</v>
      </c>
      <c r="BL9" s="14">
        <f t="shared" si="34"/>
        <v>50.626513600162504</v>
      </c>
      <c r="BM9" s="4">
        <v>1450</v>
      </c>
      <c r="BN9" s="4">
        <f t="shared" si="35"/>
        <v>88845</v>
      </c>
      <c r="BO9" s="14">
        <f t="shared" si="36"/>
        <v>51.466475208037501</v>
      </c>
      <c r="BP9" s="4">
        <v>5150</v>
      </c>
      <c r="BQ9" s="4">
        <f t="shared" si="37"/>
        <v>93995</v>
      </c>
      <c r="BR9" s="14">
        <f t="shared" si="38"/>
        <v>54.44978712566251</v>
      </c>
    </row>
    <row r="10" spans="1:70" x14ac:dyDescent="0.25">
      <c r="A10" t="s">
        <v>63</v>
      </c>
      <c r="B10" s="4" t="s">
        <v>13</v>
      </c>
      <c r="C10" s="4" t="s">
        <v>14</v>
      </c>
      <c r="D10" s="4" t="s">
        <v>18</v>
      </c>
      <c r="E10" s="4">
        <v>14</v>
      </c>
      <c r="F10" s="4"/>
      <c r="G10" s="4">
        <v>2.4500000000000002</v>
      </c>
      <c r="H10" s="34" t="s">
        <v>19</v>
      </c>
      <c r="I10" s="34" t="str">
        <f t="shared" si="2"/>
        <v>14--2.45</v>
      </c>
      <c r="J10" s="5">
        <v>0.69761826750000011</v>
      </c>
      <c r="K10" s="4">
        <v>84625</v>
      </c>
      <c r="L10" s="4">
        <v>7500</v>
      </c>
      <c r="M10" s="4">
        <v>2750</v>
      </c>
      <c r="N10" s="4"/>
      <c r="O10" s="4">
        <f t="shared" si="3"/>
        <v>94875</v>
      </c>
      <c r="P10" s="6">
        <f t="shared" si="4"/>
        <v>66.186533129062497</v>
      </c>
      <c r="Q10" s="4">
        <v>5600</v>
      </c>
      <c r="R10" s="4">
        <f t="shared" si="5"/>
        <v>100475</v>
      </c>
      <c r="S10" s="4">
        <f t="shared" si="6"/>
        <v>70.09</v>
      </c>
      <c r="T10" s="4">
        <v>3900</v>
      </c>
      <c r="U10" s="4">
        <f t="shared" si="7"/>
        <v>104375</v>
      </c>
      <c r="V10" s="4">
        <f t="shared" si="8"/>
        <v>72.81</v>
      </c>
      <c r="W10" s="4">
        <v>6000</v>
      </c>
      <c r="X10" s="4">
        <f t="shared" si="9"/>
        <v>110375</v>
      </c>
      <c r="Y10" s="4">
        <f t="shared" si="10"/>
        <v>77</v>
      </c>
      <c r="Z10" s="4">
        <v>-10200</v>
      </c>
      <c r="AA10" s="4">
        <f t="shared" si="11"/>
        <v>100175</v>
      </c>
      <c r="AB10" s="4">
        <f t="shared" si="12"/>
        <v>69.88</v>
      </c>
      <c r="AC10" s="4">
        <v>-4900</v>
      </c>
      <c r="AD10" s="4">
        <f t="shared" si="13"/>
        <v>95275</v>
      </c>
      <c r="AE10" s="4">
        <f t="shared" si="14"/>
        <v>66.47</v>
      </c>
      <c r="AF10" s="30">
        <v>3300</v>
      </c>
      <c r="AG10" s="4">
        <f t="shared" si="15"/>
        <v>98575</v>
      </c>
      <c r="AH10" s="4">
        <f>ROUND(AG10*J10/1000,2)</f>
        <v>68.77</v>
      </c>
      <c r="AI10" s="30">
        <v>-3800</v>
      </c>
      <c r="AJ10" s="4">
        <f t="shared" si="17"/>
        <v>94775</v>
      </c>
      <c r="AK10" s="4">
        <f>ROUND(AJ10*J10/1000,2)</f>
        <v>66.12</v>
      </c>
      <c r="AL10" s="4">
        <f>2000</f>
        <v>2000</v>
      </c>
      <c r="AM10" s="4">
        <f t="shared" si="19"/>
        <v>96775</v>
      </c>
      <c r="AN10" s="4">
        <f t="shared" si="20"/>
        <v>67.510000000000005</v>
      </c>
      <c r="AO10" s="4">
        <v>-1950</v>
      </c>
      <c r="AP10" s="4">
        <f t="shared" si="21"/>
        <v>94825</v>
      </c>
      <c r="AQ10" s="6">
        <f t="shared" si="0"/>
        <v>66.15165221568752</v>
      </c>
      <c r="AR10" s="4">
        <v>-2625</v>
      </c>
      <c r="AS10" s="4">
        <f t="shared" si="22"/>
        <v>92200</v>
      </c>
      <c r="AT10" s="6">
        <f t="shared" si="23"/>
        <v>64.320404263500009</v>
      </c>
      <c r="AU10" s="4">
        <v>500</v>
      </c>
      <c r="AV10" s="4">
        <f t="shared" si="24"/>
        <v>92700</v>
      </c>
      <c r="AW10" s="6">
        <f>AV10*J10/1000</f>
        <v>64.669213397250005</v>
      </c>
      <c r="AX10" s="4">
        <v>-4750</v>
      </c>
      <c r="AY10" s="4">
        <f t="shared" si="26"/>
        <v>87950</v>
      </c>
      <c r="AZ10" s="6">
        <f t="shared" si="1"/>
        <v>61.355526626625014</v>
      </c>
      <c r="BA10" s="4">
        <v>0</v>
      </c>
      <c r="BB10" s="4">
        <f t="shared" si="27"/>
        <v>87950</v>
      </c>
      <c r="BC10" s="6">
        <f t="shared" si="28"/>
        <v>61.355526626625014</v>
      </c>
      <c r="BD10" s="4">
        <v>2600</v>
      </c>
      <c r="BE10" s="4">
        <f t="shared" si="29"/>
        <v>90550</v>
      </c>
      <c r="BF10" s="6">
        <f>BE10*$J$10/1000</f>
        <v>63.169334122125008</v>
      </c>
      <c r="BG10" s="4">
        <v>1000</v>
      </c>
      <c r="BH10" s="4">
        <f t="shared" ref="BH10" si="39">BE10+BG10</f>
        <v>91550</v>
      </c>
      <c r="BI10" s="6">
        <f t="shared" si="32"/>
        <v>63.866952389625013</v>
      </c>
      <c r="BJ10" s="4">
        <v>-2150</v>
      </c>
      <c r="BK10" s="4">
        <f t="shared" ref="BK10" si="40">BH10+BJ10</f>
        <v>89400</v>
      </c>
      <c r="BL10" s="6">
        <f t="shared" si="34"/>
        <v>62.367073114500009</v>
      </c>
      <c r="BM10" s="4">
        <v>1500</v>
      </c>
      <c r="BN10" s="4">
        <f t="shared" si="35"/>
        <v>90900</v>
      </c>
      <c r="BO10" s="6">
        <f t="shared" si="36"/>
        <v>63.413500515750016</v>
      </c>
      <c r="BP10" s="4">
        <v>5500</v>
      </c>
      <c r="BQ10" s="4">
        <f t="shared" si="37"/>
        <v>96400</v>
      </c>
      <c r="BR10" s="6">
        <f t="shared" si="38"/>
        <v>67.25040098700002</v>
      </c>
    </row>
    <row r="11" spans="1:70" x14ac:dyDescent="0.25">
      <c r="A11" t="s">
        <v>64</v>
      </c>
      <c r="B11" s="4" t="s">
        <v>13</v>
      </c>
      <c r="C11" s="4" t="s">
        <v>14</v>
      </c>
      <c r="D11" s="4" t="s">
        <v>18</v>
      </c>
      <c r="E11" s="4">
        <v>14</v>
      </c>
      <c r="F11" s="4"/>
      <c r="G11" s="4">
        <v>2</v>
      </c>
      <c r="H11" s="34" t="s">
        <v>19</v>
      </c>
      <c r="I11" s="34" t="str">
        <f t="shared" si="2"/>
        <v>14--2</v>
      </c>
      <c r="J11" s="5">
        <v>0.59167199999999998</v>
      </c>
      <c r="K11" s="4">
        <v>84625</v>
      </c>
      <c r="L11" s="4">
        <v>7500</v>
      </c>
      <c r="M11" s="4">
        <v>2750</v>
      </c>
      <c r="N11" s="4"/>
      <c r="O11" s="4">
        <f t="shared" si="3"/>
        <v>94875</v>
      </c>
      <c r="P11" s="6">
        <f t="shared" si="4"/>
        <v>56.134881</v>
      </c>
      <c r="Q11" s="4">
        <v>5600</v>
      </c>
      <c r="R11" s="4">
        <f t="shared" si="5"/>
        <v>100475</v>
      </c>
      <c r="S11" s="4">
        <f t="shared" si="6"/>
        <v>59.45</v>
      </c>
      <c r="T11" s="4">
        <v>3900</v>
      </c>
      <c r="U11" s="4">
        <f t="shared" si="7"/>
        <v>104375</v>
      </c>
      <c r="V11" s="4">
        <f t="shared" si="8"/>
        <v>61.76</v>
      </c>
      <c r="W11" s="4">
        <v>6000</v>
      </c>
      <c r="X11" s="4">
        <f t="shared" si="9"/>
        <v>110375</v>
      </c>
      <c r="Y11" s="4">
        <f t="shared" si="10"/>
        <v>65.31</v>
      </c>
      <c r="Z11" s="4">
        <v>-10200</v>
      </c>
      <c r="AA11" s="4">
        <f t="shared" si="11"/>
        <v>100175</v>
      </c>
      <c r="AB11" s="4">
        <f t="shared" si="12"/>
        <v>59.27</v>
      </c>
      <c r="AC11" s="4">
        <v>-4900</v>
      </c>
      <c r="AD11" s="4">
        <f t="shared" si="13"/>
        <v>95275</v>
      </c>
      <c r="AE11" s="4">
        <f t="shared" si="14"/>
        <v>56.37</v>
      </c>
      <c r="AF11" s="30">
        <v>3300</v>
      </c>
      <c r="AG11" s="4">
        <f t="shared" ref="AG11" si="41">AF11+AD11</f>
        <v>98575</v>
      </c>
      <c r="AH11" s="4">
        <f>ROUND(AG11*J11/1000,2)</f>
        <v>58.32</v>
      </c>
      <c r="AI11" s="30">
        <v>-3800</v>
      </c>
      <c r="AJ11" s="4">
        <f t="shared" ref="AJ11" si="42">AI11+AG11</f>
        <v>94775</v>
      </c>
      <c r="AK11" s="4">
        <f>ROUND(AJ11*J11/1000,2)</f>
        <v>56.08</v>
      </c>
      <c r="AL11" s="4">
        <f>2000</f>
        <v>2000</v>
      </c>
      <c r="AM11" s="4">
        <f t="shared" si="19"/>
        <v>96775</v>
      </c>
      <c r="AN11" s="4">
        <f t="shared" si="20"/>
        <v>57.26</v>
      </c>
      <c r="AO11" s="4">
        <v>-1950</v>
      </c>
      <c r="AP11" s="4">
        <f t="shared" si="21"/>
        <v>94825</v>
      </c>
      <c r="AQ11" s="6">
        <f t="shared" si="0"/>
        <v>56.105297399999998</v>
      </c>
      <c r="AR11" s="4">
        <v>-2625</v>
      </c>
      <c r="AS11" s="4">
        <f t="shared" si="22"/>
        <v>92200</v>
      </c>
      <c r="AT11" s="6">
        <f t="shared" si="23"/>
        <v>54.552158400000003</v>
      </c>
      <c r="AU11" s="4">
        <v>500</v>
      </c>
      <c r="AV11" s="4">
        <f t="shared" si="24"/>
        <v>92700</v>
      </c>
      <c r="AW11" s="6">
        <f>AV11*J11/1000</f>
        <v>54.847994399999997</v>
      </c>
      <c r="AX11" s="4">
        <v>-4750</v>
      </c>
      <c r="AY11" s="4">
        <f t="shared" si="26"/>
        <v>87950</v>
      </c>
      <c r="AZ11" s="6">
        <f t="shared" si="1"/>
        <v>52.037552400000003</v>
      </c>
      <c r="BA11" s="4">
        <v>0</v>
      </c>
      <c r="BB11" s="4">
        <f t="shared" si="27"/>
        <v>87950</v>
      </c>
      <c r="BC11" s="6">
        <f t="shared" si="28"/>
        <v>52.037552400000003</v>
      </c>
      <c r="BD11" s="4">
        <v>2600</v>
      </c>
      <c r="BE11" s="4">
        <f t="shared" si="29"/>
        <v>90550</v>
      </c>
      <c r="BF11" s="6">
        <f t="shared" si="30"/>
        <v>53.5758996</v>
      </c>
      <c r="BG11" s="4">
        <v>1000</v>
      </c>
      <c r="BH11" s="4">
        <f t="shared" ref="BH11" si="43">BE11+BG11</f>
        <v>91550</v>
      </c>
      <c r="BI11" s="6">
        <f t="shared" si="32"/>
        <v>54.167571599999995</v>
      </c>
      <c r="BJ11" s="4">
        <v>-2150</v>
      </c>
      <c r="BK11" s="4">
        <f t="shared" ref="BK11" si="44">BH11+BJ11</f>
        <v>89400</v>
      </c>
      <c r="BL11" s="6">
        <f t="shared" si="34"/>
        <v>52.895476799999997</v>
      </c>
      <c r="BM11" s="4">
        <v>1500</v>
      </c>
      <c r="BN11" s="4">
        <f t="shared" si="35"/>
        <v>90900</v>
      </c>
      <c r="BO11" s="6">
        <f t="shared" si="36"/>
        <v>53.782984800000001</v>
      </c>
      <c r="BP11" s="4">
        <v>5500</v>
      </c>
      <c r="BQ11" s="4">
        <f t="shared" si="37"/>
        <v>96400</v>
      </c>
      <c r="BR11" s="6">
        <f t="shared" si="38"/>
        <v>57.037180799999994</v>
      </c>
    </row>
    <row r="12" spans="1:70" x14ac:dyDescent="0.25">
      <c r="A12" t="s">
        <v>65</v>
      </c>
      <c r="B12" s="4" t="s">
        <v>13</v>
      </c>
      <c r="C12" s="4" t="s">
        <v>14</v>
      </c>
      <c r="D12" s="4" t="s">
        <v>15</v>
      </c>
      <c r="E12" s="4">
        <v>16</v>
      </c>
      <c r="F12" s="4"/>
      <c r="G12" s="4">
        <v>1.9</v>
      </c>
      <c r="H12" s="34" t="s">
        <v>20</v>
      </c>
      <c r="I12" s="34" t="str">
        <f t="shared" si="2"/>
        <v>16--1.9</v>
      </c>
      <c r="J12" s="5">
        <v>0.66045387</v>
      </c>
      <c r="K12" s="4">
        <v>84625</v>
      </c>
      <c r="L12" s="4">
        <v>7500</v>
      </c>
      <c r="M12" s="4">
        <v>2750</v>
      </c>
      <c r="N12" s="4"/>
      <c r="O12" s="4">
        <f t="shared" si="3"/>
        <v>94875</v>
      </c>
      <c r="P12" s="6">
        <f t="shared" si="4"/>
        <v>62.660560916249999</v>
      </c>
      <c r="Q12" s="4">
        <v>5600</v>
      </c>
      <c r="R12" s="4">
        <f t="shared" si="5"/>
        <v>100475</v>
      </c>
      <c r="S12" s="4">
        <f t="shared" si="6"/>
        <v>66.36</v>
      </c>
      <c r="T12" s="4">
        <v>3900</v>
      </c>
      <c r="U12" s="4">
        <f t="shared" si="7"/>
        <v>104375</v>
      </c>
      <c r="V12" s="4">
        <f t="shared" si="8"/>
        <v>68.930000000000007</v>
      </c>
      <c r="W12" s="4">
        <v>5700</v>
      </c>
      <c r="X12" s="4">
        <f>W12+U12</f>
        <v>110075</v>
      </c>
      <c r="Y12" s="4">
        <f>ROUND(X12*J12/1000,2)</f>
        <v>72.7</v>
      </c>
      <c r="Z12" s="4">
        <v>-11650</v>
      </c>
      <c r="AA12" s="4">
        <f>Z12+X12</f>
        <v>98425</v>
      </c>
      <c r="AB12" s="4">
        <f>ROUND(AA12*J12/1000,2)</f>
        <v>65.010000000000005</v>
      </c>
      <c r="AC12" s="4">
        <v>-4200</v>
      </c>
      <c r="AD12" s="4">
        <f>AC12+AA12</f>
        <v>94225</v>
      </c>
      <c r="AE12" s="4">
        <f>ROUND(AD12*J12/1000,2)</f>
        <v>62.23</v>
      </c>
      <c r="AF12" s="30">
        <v>1950</v>
      </c>
      <c r="AG12" s="4">
        <f>AF12+AD12</f>
        <v>96175</v>
      </c>
      <c r="AH12" s="4">
        <f>ROUND(AG12*J12/1000,2)</f>
        <v>63.52</v>
      </c>
      <c r="AI12" s="30">
        <v>-4825</v>
      </c>
      <c r="AJ12" s="4">
        <f>AI12+AG12</f>
        <v>91350</v>
      </c>
      <c r="AK12" s="4">
        <f>ROUND(AJ12*J12/1000,2)</f>
        <v>60.33</v>
      </c>
      <c r="AL12" s="4">
        <f>1920</f>
        <v>1920</v>
      </c>
      <c r="AM12" s="4">
        <f>AJ12+AL12</f>
        <v>93270</v>
      </c>
      <c r="AN12" s="4">
        <f>ROUND(AM12*J12/1000,2)</f>
        <v>61.6</v>
      </c>
      <c r="AO12" s="4">
        <v>-1200</v>
      </c>
      <c r="AP12" s="4">
        <f t="shared" si="21"/>
        <v>92070</v>
      </c>
      <c r="AQ12" s="6">
        <f t="shared" si="0"/>
        <v>60.807987810899995</v>
      </c>
      <c r="AR12" s="4">
        <v>-2125</v>
      </c>
      <c r="AS12" s="4">
        <f t="shared" si="22"/>
        <v>89945</v>
      </c>
      <c r="AT12" s="6">
        <f t="shared" si="23"/>
        <v>59.404523337150003</v>
      </c>
      <c r="AU12" s="4">
        <v>200</v>
      </c>
      <c r="AV12" s="4">
        <f t="shared" si="24"/>
        <v>90145</v>
      </c>
      <c r="AW12" s="6">
        <f>AV12*J12/1000</f>
        <v>59.536614111149994</v>
      </c>
      <c r="AX12" s="4">
        <v>-4150</v>
      </c>
      <c r="AY12" s="4">
        <f t="shared" si="26"/>
        <v>85995</v>
      </c>
      <c r="AZ12" s="6">
        <f t="shared" si="1"/>
        <v>56.795730550649999</v>
      </c>
      <c r="BA12" s="4">
        <v>0</v>
      </c>
      <c r="BB12" s="4">
        <f t="shared" si="27"/>
        <v>85995</v>
      </c>
      <c r="BC12" s="6">
        <f t="shared" si="28"/>
        <v>56.795730550649999</v>
      </c>
      <c r="BD12" s="4">
        <v>2600</v>
      </c>
      <c r="BE12" s="4">
        <f t="shared" si="29"/>
        <v>88595</v>
      </c>
      <c r="BF12" s="6">
        <f t="shared" si="30"/>
        <v>58.512910612649996</v>
      </c>
      <c r="BG12" s="4">
        <v>900</v>
      </c>
      <c r="BH12" s="4">
        <f>BE12+BG12</f>
        <v>89495</v>
      </c>
      <c r="BI12" s="14">
        <f t="shared" si="32"/>
        <v>59.107319095649999</v>
      </c>
      <c r="BJ12" s="4">
        <v>-2100</v>
      </c>
      <c r="BK12" s="4">
        <f>BH12+BJ12</f>
        <v>87395</v>
      </c>
      <c r="BL12" s="14">
        <f t="shared" si="34"/>
        <v>57.72036596865</v>
      </c>
      <c r="BM12" s="4">
        <v>1450</v>
      </c>
      <c r="BN12" s="4">
        <f>BK12+BM12</f>
        <v>88845</v>
      </c>
      <c r="BO12" s="14">
        <f t="shared" si="36"/>
        <v>58.678024080149996</v>
      </c>
      <c r="BP12" s="4">
        <v>5150</v>
      </c>
      <c r="BQ12" s="4">
        <f>BN12+BP12</f>
        <v>93995</v>
      </c>
      <c r="BR12" s="14">
        <f t="shared" si="38"/>
        <v>62.079361510650003</v>
      </c>
    </row>
    <row r="13" spans="1:70" x14ac:dyDescent="0.25">
      <c r="A13" t="s">
        <v>66</v>
      </c>
      <c r="B13" s="4" t="s">
        <v>13</v>
      </c>
      <c r="C13" s="4" t="s">
        <v>14</v>
      </c>
      <c r="D13" s="4" t="s">
        <v>18</v>
      </c>
      <c r="E13" s="4">
        <v>16.100000000000001</v>
      </c>
      <c r="F13" s="4"/>
      <c r="G13" s="4">
        <v>2.7</v>
      </c>
      <c r="H13" s="4" t="s">
        <v>21</v>
      </c>
      <c r="I13" s="4" t="str">
        <f t="shared" si="2"/>
        <v>16.1--2.7</v>
      </c>
      <c r="J13" s="5">
        <v>0.89194554000000026</v>
      </c>
      <c r="K13" s="4">
        <v>80125</v>
      </c>
      <c r="L13" s="4">
        <v>7500</v>
      </c>
      <c r="M13" s="4">
        <v>250</v>
      </c>
      <c r="N13" s="4"/>
      <c r="O13" s="4">
        <f t="shared" si="3"/>
        <v>87875</v>
      </c>
      <c r="P13" s="6">
        <f t="shared" si="4"/>
        <v>78.379714327500025</v>
      </c>
      <c r="Q13" s="4">
        <v>5600</v>
      </c>
      <c r="R13" s="4">
        <f t="shared" si="5"/>
        <v>93475</v>
      </c>
      <c r="S13" s="4">
        <f t="shared" si="6"/>
        <v>83.37</v>
      </c>
      <c r="T13" s="4">
        <v>3900</v>
      </c>
      <c r="U13" s="4">
        <f t="shared" si="7"/>
        <v>97375</v>
      </c>
      <c r="V13" s="4">
        <f t="shared" si="8"/>
        <v>86.85</v>
      </c>
      <c r="W13" s="4">
        <v>6000</v>
      </c>
      <c r="X13" s="4">
        <f t="shared" ref="X13:X19" si="45">W13+U13</f>
        <v>103375</v>
      </c>
      <c r="Y13" s="4">
        <f t="shared" ref="Y13:Y19" si="46">ROUND(X13*J13/1000,2)</f>
        <v>92.2</v>
      </c>
      <c r="Z13" s="4">
        <v>-10200</v>
      </c>
      <c r="AA13" s="4">
        <f t="shared" ref="AA13:AA19" si="47">Z13+X13</f>
        <v>93175</v>
      </c>
      <c r="AB13" s="4">
        <f t="shared" ref="AB13:AB19" si="48">ROUND(AA13*J13/1000,2)</f>
        <v>83.11</v>
      </c>
      <c r="AC13" s="4">
        <v>-4900</v>
      </c>
      <c r="AD13" s="4">
        <f t="shared" ref="AD13:AD19" si="49">AC13+AA13</f>
        <v>88275</v>
      </c>
      <c r="AE13" s="4">
        <f t="shared" ref="AE13:AE19" si="50">ROUND(AD13*J13/1000,2)</f>
        <v>78.739999999999995</v>
      </c>
      <c r="AF13" s="30">
        <v>3300</v>
      </c>
      <c r="AG13" s="4">
        <f t="shared" ref="AG13:AG19" si="51">AF13+AD13</f>
        <v>91575</v>
      </c>
      <c r="AH13" s="4">
        <f t="shared" ref="AH13:AH19" si="52">ROUND(AG13*J13/1000,2)</f>
        <v>81.680000000000007</v>
      </c>
      <c r="AI13" s="30">
        <v>-3800</v>
      </c>
      <c r="AJ13" s="4">
        <f t="shared" ref="AJ13:AJ19" si="53">AI13+AG13</f>
        <v>87775</v>
      </c>
      <c r="AK13" s="4">
        <f t="shared" ref="AK13:AK19" si="54">ROUND(AJ13*J13/1000,2)</f>
        <v>78.290000000000006</v>
      </c>
      <c r="AL13" s="4">
        <f>2000</f>
        <v>2000</v>
      </c>
      <c r="AM13" s="4">
        <f t="shared" si="19"/>
        <v>89775</v>
      </c>
      <c r="AN13" s="4">
        <f t="shared" si="20"/>
        <v>80.069999999999993</v>
      </c>
      <c r="AO13" s="4">
        <v>-1950</v>
      </c>
      <c r="AP13" s="4">
        <f t="shared" si="21"/>
        <v>87825</v>
      </c>
      <c r="AQ13" s="6">
        <f t="shared" si="0"/>
        <v>78.335117050500017</v>
      </c>
      <c r="AR13" s="4">
        <v>-2625</v>
      </c>
      <c r="AS13" s="4">
        <f t="shared" si="22"/>
        <v>85200</v>
      </c>
      <c r="AT13" s="6">
        <f t="shared" si="23"/>
        <v>75.993760008000024</v>
      </c>
      <c r="AU13" s="4">
        <v>500</v>
      </c>
      <c r="AV13" s="4">
        <f t="shared" si="24"/>
        <v>85700</v>
      </c>
      <c r="AW13" s="6">
        <f t="shared" ref="AW13:AW19" si="55">AV13*J13/1000</f>
        <v>76.439732778000021</v>
      </c>
      <c r="AX13" s="4">
        <v>-4750</v>
      </c>
      <c r="AY13" s="4">
        <f t="shared" si="26"/>
        <v>80950</v>
      </c>
      <c r="AZ13" s="6">
        <f t="shared" si="1"/>
        <v>72.202991463000032</v>
      </c>
      <c r="BA13" s="4">
        <v>0</v>
      </c>
      <c r="BB13" s="4">
        <f t="shared" si="27"/>
        <v>80950</v>
      </c>
      <c r="BC13" s="6">
        <f t="shared" si="28"/>
        <v>72.202991463000032</v>
      </c>
      <c r="BD13" s="4">
        <v>2600</v>
      </c>
      <c r="BE13" s="4">
        <f t="shared" si="29"/>
        <v>83550</v>
      </c>
      <c r="BF13" s="6">
        <f t="shared" si="30"/>
        <v>74.522049867000021</v>
      </c>
      <c r="BG13" s="4">
        <v>1000</v>
      </c>
      <c r="BH13" s="4">
        <f t="shared" ref="BH13:BH19" si="56">BE13+BG13</f>
        <v>84550</v>
      </c>
      <c r="BI13" s="6">
        <f t="shared" si="32"/>
        <v>75.41399540700003</v>
      </c>
      <c r="BJ13" s="4">
        <v>-2150</v>
      </c>
      <c r="BK13" s="4">
        <f t="shared" ref="BK13:BK19" si="57">BH13+BJ13</f>
        <v>82400</v>
      </c>
      <c r="BL13" s="6">
        <f t="shared" si="34"/>
        <v>73.49631249600003</v>
      </c>
      <c r="BM13" s="4">
        <v>1500</v>
      </c>
      <c r="BN13" s="4">
        <f t="shared" ref="BN13:BN19" si="58">BK13+BM13</f>
        <v>83900</v>
      </c>
      <c r="BO13" s="6">
        <f t="shared" si="36"/>
        <v>74.834230806000022</v>
      </c>
      <c r="BP13" s="4">
        <v>5500</v>
      </c>
      <c r="BQ13" s="4">
        <f t="shared" ref="BQ13:BQ19" si="59">BN13+BP13</f>
        <v>89400</v>
      </c>
      <c r="BR13" s="6">
        <f t="shared" si="38"/>
        <v>79.739931276000021</v>
      </c>
    </row>
    <row r="14" spans="1:70" x14ac:dyDescent="0.25">
      <c r="A14" t="s">
        <v>67</v>
      </c>
      <c r="B14" s="4" t="s">
        <v>13</v>
      </c>
      <c r="C14" s="4" t="s">
        <v>14</v>
      </c>
      <c r="D14" s="4" t="s">
        <v>18</v>
      </c>
      <c r="E14" s="4">
        <v>16.100000000000001</v>
      </c>
      <c r="F14" s="4"/>
      <c r="G14" s="4">
        <v>2.95</v>
      </c>
      <c r="H14" s="4" t="s">
        <v>21</v>
      </c>
      <c r="I14" s="4" t="str">
        <f t="shared" si="2"/>
        <v>16.1--2.95</v>
      </c>
      <c r="J14" s="5">
        <v>0.95635150250000034</v>
      </c>
      <c r="K14" s="4">
        <v>80125</v>
      </c>
      <c r="L14" s="4">
        <v>7500</v>
      </c>
      <c r="M14" s="4">
        <v>250</v>
      </c>
      <c r="N14" s="4"/>
      <c r="O14" s="4">
        <f t="shared" si="3"/>
        <v>87875</v>
      </c>
      <c r="P14" s="6">
        <f t="shared" si="4"/>
        <v>84.039388282187531</v>
      </c>
      <c r="Q14" s="4">
        <v>5600</v>
      </c>
      <c r="R14" s="4">
        <f t="shared" si="5"/>
        <v>93475</v>
      </c>
      <c r="S14" s="4">
        <f t="shared" si="6"/>
        <v>89.39</v>
      </c>
      <c r="T14" s="4">
        <v>3900</v>
      </c>
      <c r="U14" s="4">
        <f t="shared" si="7"/>
        <v>97375</v>
      </c>
      <c r="V14" s="4">
        <f t="shared" si="8"/>
        <v>93.12</v>
      </c>
      <c r="W14" s="4">
        <v>6000</v>
      </c>
      <c r="X14" s="4">
        <f t="shared" si="45"/>
        <v>103375</v>
      </c>
      <c r="Y14" s="4">
        <f t="shared" si="46"/>
        <v>98.86</v>
      </c>
      <c r="Z14" s="4">
        <v>-10200</v>
      </c>
      <c r="AA14" s="4">
        <f t="shared" si="47"/>
        <v>93175</v>
      </c>
      <c r="AB14" s="4">
        <f t="shared" si="48"/>
        <v>89.11</v>
      </c>
      <c r="AC14" s="4">
        <v>-4900</v>
      </c>
      <c r="AD14" s="4">
        <f t="shared" si="49"/>
        <v>88275</v>
      </c>
      <c r="AE14" s="4">
        <f t="shared" si="50"/>
        <v>84.42</v>
      </c>
      <c r="AF14" s="30">
        <v>3300</v>
      </c>
      <c r="AG14" s="4">
        <f t="shared" si="51"/>
        <v>91575</v>
      </c>
      <c r="AH14" s="4">
        <f t="shared" si="52"/>
        <v>87.58</v>
      </c>
      <c r="AI14" s="30">
        <v>-3800</v>
      </c>
      <c r="AJ14" s="4">
        <f t="shared" si="53"/>
        <v>87775</v>
      </c>
      <c r="AK14" s="4">
        <f t="shared" si="54"/>
        <v>83.94</v>
      </c>
      <c r="AL14" s="4">
        <f>2000</f>
        <v>2000</v>
      </c>
      <c r="AM14" s="4">
        <f t="shared" si="19"/>
        <v>89775</v>
      </c>
      <c r="AN14" s="4">
        <f t="shared" si="20"/>
        <v>85.86</v>
      </c>
      <c r="AO14" s="4">
        <v>-1950</v>
      </c>
      <c r="AP14" s="4">
        <f t="shared" si="21"/>
        <v>87825</v>
      </c>
      <c r="AQ14" s="6">
        <f t="shared" si="0"/>
        <v>83.991570707062536</v>
      </c>
      <c r="AR14" s="4">
        <v>-2625</v>
      </c>
      <c r="AS14" s="4">
        <f t="shared" si="22"/>
        <v>85200</v>
      </c>
      <c r="AT14" s="6">
        <f t="shared" si="23"/>
        <v>81.481148013000023</v>
      </c>
      <c r="AU14" s="4">
        <v>500</v>
      </c>
      <c r="AV14" s="4">
        <f t="shared" si="24"/>
        <v>85700</v>
      </c>
      <c r="AW14" s="6">
        <f t="shared" si="55"/>
        <v>81.95932376425003</v>
      </c>
      <c r="AX14" s="4">
        <v>-4750</v>
      </c>
      <c r="AY14" s="4">
        <f t="shared" si="26"/>
        <v>80950</v>
      </c>
      <c r="AZ14" s="6">
        <f t="shared" si="1"/>
        <v>77.41665412737504</v>
      </c>
      <c r="BA14" s="4">
        <v>0</v>
      </c>
      <c r="BB14" s="4">
        <f t="shared" si="27"/>
        <v>80950</v>
      </c>
      <c r="BC14" s="6">
        <f t="shared" si="28"/>
        <v>77.41665412737504</v>
      </c>
      <c r="BD14" s="4">
        <v>2600</v>
      </c>
      <c r="BE14" s="4">
        <f t="shared" si="29"/>
        <v>83550</v>
      </c>
      <c r="BF14" s="6">
        <f t="shared" si="30"/>
        <v>79.903168033875033</v>
      </c>
      <c r="BG14" s="4">
        <v>1000</v>
      </c>
      <c r="BH14" s="4">
        <f t="shared" si="56"/>
        <v>84550</v>
      </c>
      <c r="BI14" s="6">
        <f t="shared" si="32"/>
        <v>80.859519536375018</v>
      </c>
      <c r="BJ14" s="4">
        <v>-2150</v>
      </c>
      <c r="BK14" s="4">
        <f t="shared" si="57"/>
        <v>82400</v>
      </c>
      <c r="BL14" s="6">
        <f t="shared" si="34"/>
        <v>78.803363806000021</v>
      </c>
      <c r="BM14" s="4">
        <v>1500</v>
      </c>
      <c r="BN14" s="4">
        <f t="shared" si="58"/>
        <v>83900</v>
      </c>
      <c r="BO14" s="6">
        <f t="shared" si="36"/>
        <v>80.237891059750027</v>
      </c>
      <c r="BP14" s="4">
        <v>5500</v>
      </c>
      <c r="BQ14" s="4">
        <f t="shared" si="59"/>
        <v>89400</v>
      </c>
      <c r="BR14" s="6">
        <f t="shared" si="38"/>
        <v>85.497824323500026</v>
      </c>
    </row>
    <row r="15" spans="1:70" x14ac:dyDescent="0.25">
      <c r="A15" t="s">
        <v>66</v>
      </c>
      <c r="B15" s="4" t="s">
        <v>13</v>
      </c>
      <c r="C15" s="4" t="s">
        <v>14</v>
      </c>
      <c r="D15" s="4" t="s">
        <v>18</v>
      </c>
      <c r="E15" s="4">
        <v>16.100000000000001</v>
      </c>
      <c r="F15" s="4"/>
      <c r="G15" s="4">
        <v>2.7</v>
      </c>
      <c r="H15" s="4" t="s">
        <v>21</v>
      </c>
      <c r="I15" s="4" t="str">
        <f t="shared" si="2"/>
        <v>16.1--2.7</v>
      </c>
      <c r="J15" s="5">
        <v>0.89194554000000026</v>
      </c>
      <c r="K15" s="4">
        <v>80125</v>
      </c>
      <c r="L15" s="4">
        <v>7500</v>
      </c>
      <c r="M15" s="4">
        <v>250</v>
      </c>
      <c r="N15" s="4"/>
      <c r="O15" s="4">
        <f t="shared" si="3"/>
        <v>87875</v>
      </c>
      <c r="P15" s="6">
        <f t="shared" si="4"/>
        <v>78.379714327500025</v>
      </c>
      <c r="Q15" s="4">
        <v>5600</v>
      </c>
      <c r="R15" s="4">
        <f t="shared" si="5"/>
        <v>93475</v>
      </c>
      <c r="S15" s="4">
        <f t="shared" si="6"/>
        <v>83.37</v>
      </c>
      <c r="T15" s="4">
        <v>3900</v>
      </c>
      <c r="U15" s="4">
        <f t="shared" si="7"/>
        <v>97375</v>
      </c>
      <c r="V15" s="4">
        <f t="shared" si="8"/>
        <v>86.85</v>
      </c>
      <c r="W15" s="4">
        <v>6000</v>
      </c>
      <c r="X15" s="4">
        <f t="shared" si="45"/>
        <v>103375</v>
      </c>
      <c r="Y15" s="4">
        <f t="shared" si="46"/>
        <v>92.2</v>
      </c>
      <c r="Z15" s="4">
        <v>-10200</v>
      </c>
      <c r="AA15" s="4">
        <f t="shared" si="47"/>
        <v>93175</v>
      </c>
      <c r="AB15" s="4">
        <f t="shared" si="48"/>
        <v>83.11</v>
      </c>
      <c r="AC15" s="4">
        <v>-4900</v>
      </c>
      <c r="AD15" s="4">
        <f t="shared" si="49"/>
        <v>88275</v>
      </c>
      <c r="AE15" s="4">
        <f t="shared" si="50"/>
        <v>78.739999999999995</v>
      </c>
      <c r="AF15" s="30">
        <v>3300</v>
      </c>
      <c r="AG15" s="4">
        <f t="shared" si="51"/>
        <v>91575</v>
      </c>
      <c r="AH15" s="4">
        <f t="shared" si="52"/>
        <v>81.680000000000007</v>
      </c>
      <c r="AI15" s="30">
        <v>-3800</v>
      </c>
      <c r="AJ15" s="4">
        <f t="shared" si="53"/>
        <v>87775</v>
      </c>
      <c r="AK15" s="4">
        <f t="shared" si="54"/>
        <v>78.290000000000006</v>
      </c>
      <c r="AL15" s="4">
        <f>2000</f>
        <v>2000</v>
      </c>
      <c r="AM15" s="4">
        <f t="shared" si="19"/>
        <v>89775</v>
      </c>
      <c r="AN15" s="4">
        <f t="shared" si="20"/>
        <v>80.069999999999993</v>
      </c>
      <c r="AO15" s="4">
        <v>-1950</v>
      </c>
      <c r="AP15" s="4">
        <f t="shared" si="21"/>
        <v>87825</v>
      </c>
      <c r="AQ15" s="6">
        <f t="shared" si="0"/>
        <v>78.335117050500017</v>
      </c>
      <c r="AR15" s="4">
        <v>-2625</v>
      </c>
      <c r="AS15" s="4">
        <f t="shared" si="22"/>
        <v>85200</v>
      </c>
      <c r="AT15" s="6">
        <f t="shared" si="23"/>
        <v>75.993760008000024</v>
      </c>
      <c r="AU15" s="4">
        <v>500</v>
      </c>
      <c r="AV15" s="4">
        <f t="shared" si="24"/>
        <v>85700</v>
      </c>
      <c r="AW15" s="6">
        <f t="shared" si="55"/>
        <v>76.439732778000021</v>
      </c>
      <c r="AX15" s="4">
        <v>-4750</v>
      </c>
      <c r="AY15" s="4">
        <f t="shared" si="26"/>
        <v>80950</v>
      </c>
      <c r="AZ15" s="6">
        <f t="shared" si="1"/>
        <v>72.202991463000032</v>
      </c>
      <c r="BA15" s="4">
        <v>0</v>
      </c>
      <c r="BB15" s="4">
        <f t="shared" si="27"/>
        <v>80950</v>
      </c>
      <c r="BC15" s="6">
        <f t="shared" si="28"/>
        <v>72.202991463000032</v>
      </c>
      <c r="BD15" s="4">
        <v>2600</v>
      </c>
      <c r="BE15" s="4">
        <f t="shared" si="29"/>
        <v>83550</v>
      </c>
      <c r="BF15" s="6">
        <f t="shared" si="30"/>
        <v>74.522049867000021</v>
      </c>
      <c r="BG15" s="4">
        <v>1000</v>
      </c>
      <c r="BH15" s="4">
        <f t="shared" si="56"/>
        <v>84550</v>
      </c>
      <c r="BI15" s="6">
        <f t="shared" si="32"/>
        <v>75.41399540700003</v>
      </c>
      <c r="BJ15" s="4">
        <v>-2150</v>
      </c>
      <c r="BK15" s="4">
        <f t="shared" si="57"/>
        <v>82400</v>
      </c>
      <c r="BL15" s="6">
        <f t="shared" si="34"/>
        <v>73.49631249600003</v>
      </c>
      <c r="BM15" s="4">
        <v>1500</v>
      </c>
      <c r="BN15" s="4">
        <f t="shared" si="58"/>
        <v>83900</v>
      </c>
      <c r="BO15" s="6">
        <f t="shared" si="36"/>
        <v>74.834230806000022</v>
      </c>
      <c r="BP15" s="4">
        <v>5500</v>
      </c>
      <c r="BQ15" s="4">
        <f t="shared" si="59"/>
        <v>89400</v>
      </c>
      <c r="BR15" s="6">
        <f t="shared" si="38"/>
        <v>79.739931276000021</v>
      </c>
    </row>
    <row r="16" spans="1:70" x14ac:dyDescent="0.25">
      <c r="A16" t="s">
        <v>68</v>
      </c>
      <c r="B16" s="4" t="s">
        <v>13</v>
      </c>
      <c r="C16" s="4" t="s">
        <v>14</v>
      </c>
      <c r="D16" s="4" t="s">
        <v>18</v>
      </c>
      <c r="E16" s="4">
        <v>18.2</v>
      </c>
      <c r="F16" s="4"/>
      <c r="G16" s="4">
        <v>2.95</v>
      </c>
      <c r="H16" s="4" t="s">
        <v>21</v>
      </c>
      <c r="I16" s="4" t="str">
        <f t="shared" si="2"/>
        <v>18.2--2.95</v>
      </c>
      <c r="J16" s="5">
        <v>1.1090768375000002</v>
      </c>
      <c r="K16" s="4">
        <v>80125</v>
      </c>
      <c r="L16" s="4">
        <v>7500</v>
      </c>
      <c r="M16" s="4">
        <v>250</v>
      </c>
      <c r="N16" s="4"/>
      <c r="O16" s="4">
        <f t="shared" si="3"/>
        <v>87875</v>
      </c>
      <c r="P16" s="6">
        <f t="shared" si="4"/>
        <v>97.460127095312515</v>
      </c>
      <c r="Q16" s="4">
        <v>5600</v>
      </c>
      <c r="R16" s="4">
        <f t="shared" si="5"/>
        <v>93475</v>
      </c>
      <c r="S16" s="4">
        <f t="shared" si="6"/>
        <v>103.67</v>
      </c>
      <c r="T16" s="4">
        <v>3900</v>
      </c>
      <c r="U16" s="4">
        <f t="shared" si="7"/>
        <v>97375</v>
      </c>
      <c r="V16" s="4">
        <f t="shared" si="8"/>
        <v>108</v>
      </c>
      <c r="W16" s="4">
        <v>6000</v>
      </c>
      <c r="X16" s="4">
        <f t="shared" si="45"/>
        <v>103375</v>
      </c>
      <c r="Y16" s="4">
        <f t="shared" si="46"/>
        <v>114.65</v>
      </c>
      <c r="Z16" s="4">
        <v>-10200</v>
      </c>
      <c r="AA16" s="4">
        <f t="shared" si="47"/>
        <v>93175</v>
      </c>
      <c r="AB16" s="4">
        <f t="shared" si="48"/>
        <v>103.34</v>
      </c>
      <c r="AC16" s="4">
        <v>-4900</v>
      </c>
      <c r="AD16" s="4">
        <f t="shared" si="49"/>
        <v>88275</v>
      </c>
      <c r="AE16" s="4">
        <f t="shared" si="50"/>
        <v>97.9</v>
      </c>
      <c r="AF16" s="30">
        <v>3300</v>
      </c>
      <c r="AG16" s="4">
        <f t="shared" si="51"/>
        <v>91575</v>
      </c>
      <c r="AH16" s="4">
        <f t="shared" si="52"/>
        <v>101.56</v>
      </c>
      <c r="AI16" s="30">
        <v>-3800</v>
      </c>
      <c r="AJ16" s="4">
        <f t="shared" si="53"/>
        <v>87775</v>
      </c>
      <c r="AK16" s="4">
        <f t="shared" si="54"/>
        <v>97.35</v>
      </c>
      <c r="AL16" s="4">
        <f>2000</f>
        <v>2000</v>
      </c>
      <c r="AM16" s="4">
        <f t="shared" si="19"/>
        <v>89775</v>
      </c>
      <c r="AN16" s="4">
        <f t="shared" si="20"/>
        <v>99.57</v>
      </c>
      <c r="AO16" s="4">
        <v>-1950</v>
      </c>
      <c r="AP16" s="4">
        <f t="shared" si="21"/>
        <v>87825</v>
      </c>
      <c r="AQ16" s="6">
        <f t="shared" si="0"/>
        <v>97.404673253437522</v>
      </c>
      <c r="AR16" s="4">
        <v>-2625</v>
      </c>
      <c r="AS16" s="4">
        <f t="shared" si="22"/>
        <v>85200</v>
      </c>
      <c r="AT16" s="6">
        <f t="shared" si="23"/>
        <v>94.493346555000016</v>
      </c>
      <c r="AU16" s="4">
        <v>500</v>
      </c>
      <c r="AV16" s="4">
        <f t="shared" si="24"/>
        <v>85700</v>
      </c>
      <c r="AW16" s="6">
        <f t="shared" si="55"/>
        <v>95.047884973750016</v>
      </c>
      <c r="AX16" s="4">
        <v>-4750</v>
      </c>
      <c r="AY16" s="4">
        <f t="shared" si="26"/>
        <v>80950</v>
      </c>
      <c r="AZ16" s="6">
        <f t="shared" si="1"/>
        <v>89.779769995625017</v>
      </c>
      <c r="BA16" s="4">
        <v>0</v>
      </c>
      <c r="BB16" s="4">
        <f t="shared" si="27"/>
        <v>80950</v>
      </c>
      <c r="BC16" s="6">
        <f t="shared" si="28"/>
        <v>89.779769995625017</v>
      </c>
      <c r="BD16" s="4">
        <v>2600</v>
      </c>
      <c r="BE16" s="4">
        <f t="shared" si="29"/>
        <v>83550</v>
      </c>
      <c r="BF16" s="6">
        <f t="shared" si="30"/>
        <v>92.663369773125012</v>
      </c>
      <c r="BG16" s="4">
        <v>1000</v>
      </c>
      <c r="BH16" s="4">
        <f t="shared" si="56"/>
        <v>84550</v>
      </c>
      <c r="BI16" s="6">
        <f t="shared" si="32"/>
        <v>93.772446610625025</v>
      </c>
      <c r="BJ16" s="4">
        <v>-2150</v>
      </c>
      <c r="BK16" s="4">
        <f t="shared" si="57"/>
        <v>82400</v>
      </c>
      <c r="BL16" s="6">
        <f t="shared" si="34"/>
        <v>91.387931410000022</v>
      </c>
      <c r="BM16" s="4">
        <v>1500</v>
      </c>
      <c r="BN16" s="4">
        <f t="shared" si="58"/>
        <v>83900</v>
      </c>
      <c r="BO16" s="6">
        <f t="shared" si="36"/>
        <v>93.051546666250005</v>
      </c>
      <c r="BP16" s="4">
        <v>5500</v>
      </c>
      <c r="BQ16" s="4">
        <f t="shared" si="59"/>
        <v>89400</v>
      </c>
      <c r="BR16" s="6">
        <f t="shared" si="38"/>
        <v>99.151469272500023</v>
      </c>
    </row>
    <row r="17" spans="1:71" x14ac:dyDescent="0.25">
      <c r="A17" t="s">
        <v>69</v>
      </c>
      <c r="B17" s="4" t="s">
        <v>13</v>
      </c>
      <c r="C17" s="4" t="s">
        <v>14</v>
      </c>
      <c r="D17" s="4" t="s">
        <v>18</v>
      </c>
      <c r="E17" s="4">
        <v>18.2</v>
      </c>
      <c r="F17" s="4"/>
      <c r="G17" s="4">
        <v>2.85</v>
      </c>
      <c r="H17" s="4" t="s">
        <v>21</v>
      </c>
      <c r="I17" s="4" t="str">
        <f t="shared" si="2"/>
        <v>18.2--2.85</v>
      </c>
      <c r="J17" s="5">
        <v>1.0785071175000001</v>
      </c>
      <c r="K17" s="4">
        <v>80125</v>
      </c>
      <c r="L17" s="4">
        <v>7500</v>
      </c>
      <c r="M17" s="4">
        <v>250</v>
      </c>
      <c r="N17" s="4"/>
      <c r="O17" s="4">
        <f t="shared" si="3"/>
        <v>87875</v>
      </c>
      <c r="P17" s="6">
        <f t="shared" si="4"/>
        <v>94.773812950312504</v>
      </c>
      <c r="Q17" s="4">
        <v>5600</v>
      </c>
      <c r="R17" s="4">
        <f t="shared" si="5"/>
        <v>93475</v>
      </c>
      <c r="S17" s="4">
        <f t="shared" si="6"/>
        <v>100.81</v>
      </c>
      <c r="T17" s="4">
        <v>3900</v>
      </c>
      <c r="U17" s="4">
        <f t="shared" si="7"/>
        <v>97375</v>
      </c>
      <c r="V17" s="4">
        <f t="shared" si="8"/>
        <v>105.02</v>
      </c>
      <c r="W17" s="4">
        <v>6000</v>
      </c>
      <c r="X17" s="4">
        <f t="shared" si="45"/>
        <v>103375</v>
      </c>
      <c r="Y17" s="4">
        <f t="shared" si="46"/>
        <v>111.49</v>
      </c>
      <c r="Z17" s="4">
        <v>-10200</v>
      </c>
      <c r="AA17" s="4">
        <f t="shared" si="47"/>
        <v>93175</v>
      </c>
      <c r="AB17" s="4">
        <f t="shared" si="48"/>
        <v>100.49</v>
      </c>
      <c r="AC17" s="4">
        <v>-4900</v>
      </c>
      <c r="AD17" s="4">
        <f t="shared" si="49"/>
        <v>88275</v>
      </c>
      <c r="AE17" s="4">
        <f t="shared" si="50"/>
        <v>95.21</v>
      </c>
      <c r="AF17" s="30">
        <v>3300</v>
      </c>
      <c r="AG17" s="4">
        <f t="shared" si="51"/>
        <v>91575</v>
      </c>
      <c r="AH17" s="4">
        <f t="shared" si="52"/>
        <v>98.76</v>
      </c>
      <c r="AI17" s="30">
        <v>-3800</v>
      </c>
      <c r="AJ17" s="4">
        <f t="shared" si="53"/>
        <v>87775</v>
      </c>
      <c r="AK17" s="4">
        <f t="shared" si="54"/>
        <v>94.67</v>
      </c>
      <c r="AL17" s="4">
        <f>2000</f>
        <v>2000</v>
      </c>
      <c r="AM17" s="4">
        <f t="shared" si="19"/>
        <v>89775</v>
      </c>
      <c r="AN17" s="4">
        <f t="shared" si="20"/>
        <v>96.82</v>
      </c>
      <c r="AO17" s="4">
        <v>-1950</v>
      </c>
      <c r="AP17" s="4">
        <f t="shared" si="21"/>
        <v>87825</v>
      </c>
      <c r="AQ17" s="6">
        <f t="shared" si="0"/>
        <v>94.719887594437509</v>
      </c>
      <c r="AR17" s="4">
        <v>-2625</v>
      </c>
      <c r="AS17" s="4">
        <f t="shared" si="22"/>
        <v>85200</v>
      </c>
      <c r="AT17" s="6">
        <f t="shared" si="23"/>
        <v>91.888806411000004</v>
      </c>
      <c r="AU17" s="4">
        <v>500</v>
      </c>
      <c r="AV17" s="4">
        <f t="shared" si="24"/>
        <v>85700</v>
      </c>
      <c r="AW17" s="6">
        <f t="shared" si="55"/>
        <v>92.428059969749995</v>
      </c>
      <c r="AX17" s="4">
        <v>-4750</v>
      </c>
      <c r="AY17" s="4">
        <f t="shared" si="26"/>
        <v>80950</v>
      </c>
      <c r="AZ17" s="6">
        <f t="shared" si="1"/>
        <v>87.305151161625005</v>
      </c>
      <c r="BA17" s="4">
        <v>0</v>
      </c>
      <c r="BB17" s="4">
        <f t="shared" si="27"/>
        <v>80950</v>
      </c>
      <c r="BC17" s="6">
        <f t="shared" si="28"/>
        <v>87.305151161625005</v>
      </c>
      <c r="BD17" s="4">
        <v>2600</v>
      </c>
      <c r="BE17" s="4">
        <f t="shared" si="29"/>
        <v>83550</v>
      </c>
      <c r="BF17" s="6">
        <f t="shared" si="30"/>
        <v>90.109269667125005</v>
      </c>
      <c r="BG17" s="4">
        <v>1000</v>
      </c>
      <c r="BH17" s="4">
        <f t="shared" si="56"/>
        <v>84550</v>
      </c>
      <c r="BI17" s="6">
        <f t="shared" si="32"/>
        <v>91.187776784625001</v>
      </c>
      <c r="BJ17" s="4">
        <v>-2150</v>
      </c>
      <c r="BK17" s="4">
        <f t="shared" si="57"/>
        <v>82400</v>
      </c>
      <c r="BL17" s="6">
        <f t="shared" si="34"/>
        <v>88.868986482000011</v>
      </c>
      <c r="BM17" s="4">
        <v>1500</v>
      </c>
      <c r="BN17" s="4">
        <f t="shared" si="58"/>
        <v>83900</v>
      </c>
      <c r="BO17" s="6">
        <f t="shared" si="36"/>
        <v>90.486747158249997</v>
      </c>
      <c r="BP17" s="4">
        <v>5500</v>
      </c>
      <c r="BQ17" s="4">
        <f t="shared" si="59"/>
        <v>89400</v>
      </c>
      <c r="BR17" s="6">
        <f t="shared" si="38"/>
        <v>96.418536304500009</v>
      </c>
    </row>
    <row r="18" spans="1:71" x14ac:dyDescent="0.25">
      <c r="A18" t="s">
        <v>70</v>
      </c>
      <c r="B18" s="4" t="s">
        <v>13</v>
      </c>
      <c r="C18" s="4" t="s">
        <v>14</v>
      </c>
      <c r="D18" s="4" t="s">
        <v>18</v>
      </c>
      <c r="E18" s="4">
        <v>19</v>
      </c>
      <c r="F18" s="4"/>
      <c r="G18" s="4">
        <v>3.25</v>
      </c>
      <c r="H18" s="4" t="s">
        <v>21</v>
      </c>
      <c r="I18" s="4" t="str">
        <f t="shared" si="2"/>
        <v>19--3.25</v>
      </c>
      <c r="J18" s="5">
        <v>1.2619254375</v>
      </c>
      <c r="K18" s="4">
        <v>80125</v>
      </c>
      <c r="L18" s="4">
        <v>7500</v>
      </c>
      <c r="M18" s="4">
        <v>250</v>
      </c>
      <c r="N18" s="4"/>
      <c r="O18" s="4">
        <f t="shared" si="3"/>
        <v>87875</v>
      </c>
      <c r="P18" s="6">
        <f t="shared" si="4"/>
        <v>110.8916978203125</v>
      </c>
      <c r="Q18" s="4">
        <v>5600</v>
      </c>
      <c r="R18" s="4">
        <f t="shared" si="5"/>
        <v>93475</v>
      </c>
      <c r="S18" s="4">
        <f t="shared" si="6"/>
        <v>117.96</v>
      </c>
      <c r="T18" s="4">
        <v>3900</v>
      </c>
      <c r="U18" s="4">
        <f t="shared" si="7"/>
        <v>97375</v>
      </c>
      <c r="V18" s="4">
        <f t="shared" si="8"/>
        <v>122.88</v>
      </c>
      <c r="W18" s="4">
        <v>6000</v>
      </c>
      <c r="X18" s="4">
        <f t="shared" si="45"/>
        <v>103375</v>
      </c>
      <c r="Y18" s="4">
        <f t="shared" si="46"/>
        <v>130.44999999999999</v>
      </c>
      <c r="Z18" s="4">
        <v>-10200</v>
      </c>
      <c r="AA18" s="4">
        <f t="shared" si="47"/>
        <v>93175</v>
      </c>
      <c r="AB18" s="4">
        <f t="shared" si="48"/>
        <v>117.58</v>
      </c>
      <c r="AC18" s="4">
        <v>-4900</v>
      </c>
      <c r="AD18" s="4">
        <f t="shared" si="49"/>
        <v>88275</v>
      </c>
      <c r="AE18" s="4">
        <f t="shared" si="50"/>
        <v>111.4</v>
      </c>
      <c r="AF18" s="30">
        <v>3300</v>
      </c>
      <c r="AG18" s="4">
        <f t="shared" si="51"/>
        <v>91575</v>
      </c>
      <c r="AH18" s="4">
        <f t="shared" si="52"/>
        <v>115.56</v>
      </c>
      <c r="AI18" s="30">
        <v>-3800</v>
      </c>
      <c r="AJ18" s="4">
        <f t="shared" si="53"/>
        <v>87775</v>
      </c>
      <c r="AK18" s="4">
        <f t="shared" si="54"/>
        <v>110.77</v>
      </c>
      <c r="AL18" s="4">
        <f>2000</f>
        <v>2000</v>
      </c>
      <c r="AM18" s="4">
        <f t="shared" si="19"/>
        <v>89775</v>
      </c>
      <c r="AN18" s="4">
        <f t="shared" si="20"/>
        <v>113.29</v>
      </c>
      <c r="AO18" s="4">
        <v>-1950</v>
      </c>
      <c r="AP18" s="4">
        <f t="shared" si="21"/>
        <v>87825</v>
      </c>
      <c r="AQ18" s="6">
        <f t="shared" si="0"/>
        <v>110.82860154843749</v>
      </c>
      <c r="AR18" s="4">
        <v>-2625</v>
      </c>
      <c r="AS18" s="4">
        <f t="shared" si="22"/>
        <v>85200</v>
      </c>
      <c r="AT18" s="6">
        <f t="shared" si="23"/>
        <v>107.51604727500001</v>
      </c>
      <c r="AU18" s="4">
        <v>500</v>
      </c>
      <c r="AV18" s="4">
        <f t="shared" si="24"/>
        <v>85700</v>
      </c>
      <c r="AW18" s="6">
        <f t="shared" si="55"/>
        <v>108.14700999374999</v>
      </c>
      <c r="AX18" s="4">
        <v>-4750</v>
      </c>
      <c r="AY18" s="4">
        <f t="shared" si="26"/>
        <v>80950</v>
      </c>
      <c r="AZ18" s="6">
        <f t="shared" si="1"/>
        <v>102.15286416562499</v>
      </c>
      <c r="BA18" s="4">
        <v>0</v>
      </c>
      <c r="BB18" s="4">
        <f t="shared" si="27"/>
        <v>80950</v>
      </c>
      <c r="BC18" s="6">
        <f t="shared" si="28"/>
        <v>102.15286416562499</v>
      </c>
      <c r="BD18" s="4">
        <v>2600</v>
      </c>
      <c r="BE18" s="4">
        <f t="shared" si="29"/>
        <v>83550</v>
      </c>
      <c r="BF18" s="6">
        <f t="shared" si="30"/>
        <v>105.433870303125</v>
      </c>
      <c r="BG18" s="4">
        <v>1000</v>
      </c>
      <c r="BH18" s="4">
        <f t="shared" si="56"/>
        <v>84550</v>
      </c>
      <c r="BI18" s="6">
        <f t="shared" si="32"/>
        <v>106.69579574062499</v>
      </c>
      <c r="BJ18" s="4">
        <v>-2150</v>
      </c>
      <c r="BK18" s="4">
        <f t="shared" si="57"/>
        <v>82400</v>
      </c>
      <c r="BL18" s="6">
        <f t="shared" si="34"/>
        <v>103.98265604999999</v>
      </c>
      <c r="BM18" s="4">
        <v>1500</v>
      </c>
      <c r="BN18" s="4">
        <f t="shared" si="58"/>
        <v>83900</v>
      </c>
      <c r="BO18" s="6">
        <f t="shared" si="36"/>
        <v>105.87554420625</v>
      </c>
      <c r="BP18" s="4">
        <v>5500</v>
      </c>
      <c r="BQ18" s="4">
        <f t="shared" si="59"/>
        <v>89400</v>
      </c>
      <c r="BR18" s="6">
        <f t="shared" si="38"/>
        <v>112.81613411250001</v>
      </c>
    </row>
    <row r="19" spans="1:71" x14ac:dyDescent="0.25">
      <c r="A19" t="s">
        <v>71</v>
      </c>
      <c r="B19" s="4" t="s">
        <v>13</v>
      </c>
      <c r="C19" s="4" t="s">
        <v>14</v>
      </c>
      <c r="D19" s="4" t="s">
        <v>18</v>
      </c>
      <c r="E19" s="4">
        <v>19.05</v>
      </c>
      <c r="F19" s="4"/>
      <c r="G19" s="4">
        <v>3.25</v>
      </c>
      <c r="H19" s="4" t="s">
        <v>22</v>
      </c>
      <c r="I19" s="4" t="str">
        <f t="shared" si="2"/>
        <v>19.05--3.25</v>
      </c>
      <c r="J19" s="5">
        <v>1.2659315500000001</v>
      </c>
      <c r="K19" s="4">
        <v>78125</v>
      </c>
      <c r="L19" s="4">
        <v>7500</v>
      </c>
      <c r="M19" s="4">
        <v>250</v>
      </c>
      <c r="N19" s="4"/>
      <c r="O19" s="4">
        <f t="shared" si="3"/>
        <v>85875</v>
      </c>
      <c r="P19" s="6">
        <f t="shared" si="4"/>
        <v>108.71187185625001</v>
      </c>
      <c r="Q19" s="4">
        <v>5600</v>
      </c>
      <c r="R19" s="4">
        <f t="shared" si="5"/>
        <v>91475</v>
      </c>
      <c r="S19" s="4">
        <f t="shared" si="6"/>
        <v>115.8</v>
      </c>
      <c r="T19" s="4">
        <v>3900</v>
      </c>
      <c r="U19" s="4">
        <f t="shared" si="7"/>
        <v>95375</v>
      </c>
      <c r="V19" s="4">
        <f t="shared" si="8"/>
        <v>120.74</v>
      </c>
      <c r="W19" s="4">
        <v>6000</v>
      </c>
      <c r="X19" s="4">
        <f t="shared" si="45"/>
        <v>101375</v>
      </c>
      <c r="Y19" s="4">
        <f t="shared" si="46"/>
        <v>128.33000000000001</v>
      </c>
      <c r="Z19" s="4">
        <v>-10200</v>
      </c>
      <c r="AA19" s="4">
        <f t="shared" si="47"/>
        <v>91175</v>
      </c>
      <c r="AB19" s="4">
        <f t="shared" si="48"/>
        <v>115.42</v>
      </c>
      <c r="AC19" s="4">
        <v>-4900</v>
      </c>
      <c r="AD19" s="4">
        <f t="shared" si="49"/>
        <v>86275</v>
      </c>
      <c r="AE19" s="4">
        <f t="shared" si="50"/>
        <v>109.22</v>
      </c>
      <c r="AF19" s="30">
        <v>3300</v>
      </c>
      <c r="AG19" s="4">
        <f t="shared" si="51"/>
        <v>89575</v>
      </c>
      <c r="AH19" s="4">
        <f t="shared" si="52"/>
        <v>113.4</v>
      </c>
      <c r="AI19" s="30">
        <v>-3800</v>
      </c>
      <c r="AJ19" s="4">
        <f t="shared" si="53"/>
        <v>85775</v>
      </c>
      <c r="AK19" s="4">
        <f t="shared" si="54"/>
        <v>108.59</v>
      </c>
      <c r="AL19" s="4">
        <f>2000</f>
        <v>2000</v>
      </c>
      <c r="AM19" s="4">
        <f t="shared" si="19"/>
        <v>87775</v>
      </c>
      <c r="AN19" s="4">
        <f t="shared" si="20"/>
        <v>111.12</v>
      </c>
      <c r="AO19" s="4">
        <v>-1950</v>
      </c>
      <c r="AP19" s="4">
        <f t="shared" si="21"/>
        <v>85825</v>
      </c>
      <c r="AQ19" s="6">
        <f t="shared" si="0"/>
        <v>108.64857527875002</v>
      </c>
      <c r="AR19" s="4">
        <v>-2625</v>
      </c>
      <c r="AS19" s="4">
        <f t="shared" si="22"/>
        <v>83200</v>
      </c>
      <c r="AT19" s="6">
        <f t="shared" si="23"/>
        <v>105.32550496</v>
      </c>
      <c r="AU19" s="4">
        <v>500</v>
      </c>
      <c r="AV19" s="4">
        <f t="shared" si="24"/>
        <v>83700</v>
      </c>
      <c r="AW19" s="6">
        <f t="shared" si="55"/>
        <v>105.95847073500001</v>
      </c>
      <c r="AX19" s="4">
        <v>-4750</v>
      </c>
      <c r="AY19" s="4">
        <f t="shared" si="26"/>
        <v>78950</v>
      </c>
      <c r="AZ19" s="6">
        <f t="shared" si="1"/>
        <v>99.945295872500012</v>
      </c>
      <c r="BA19" s="4">
        <v>0</v>
      </c>
      <c r="BB19" s="4">
        <f t="shared" si="27"/>
        <v>78950</v>
      </c>
      <c r="BC19" s="6">
        <f t="shared" si="28"/>
        <v>99.945295872500012</v>
      </c>
      <c r="BD19" s="4">
        <v>2600</v>
      </c>
      <c r="BE19" s="4">
        <f t="shared" si="29"/>
        <v>81550</v>
      </c>
      <c r="BF19" s="6">
        <f t="shared" si="30"/>
        <v>103.2367179025</v>
      </c>
      <c r="BG19" s="4">
        <v>1000</v>
      </c>
      <c r="BH19" s="4">
        <f t="shared" si="56"/>
        <v>82550</v>
      </c>
      <c r="BI19" s="6">
        <f t="shared" si="32"/>
        <v>104.50264945250002</v>
      </c>
      <c r="BJ19" s="4">
        <v>-2150</v>
      </c>
      <c r="BK19" s="4">
        <f t="shared" si="57"/>
        <v>80400</v>
      </c>
      <c r="BL19" s="6">
        <f t="shared" si="34"/>
        <v>101.78089662000001</v>
      </c>
      <c r="BM19" s="4">
        <v>1500</v>
      </c>
      <c r="BN19" s="4">
        <f t="shared" si="58"/>
        <v>81900</v>
      </c>
      <c r="BO19" s="6">
        <f t="shared" si="36"/>
        <v>103.67979394500001</v>
      </c>
      <c r="BP19" s="4">
        <v>5500</v>
      </c>
      <c r="BQ19" s="4">
        <f t="shared" si="59"/>
        <v>87400</v>
      </c>
      <c r="BR19" s="6">
        <f t="shared" si="38"/>
        <v>110.64241747000001</v>
      </c>
    </row>
    <row r="20" spans="1:71" x14ac:dyDescent="0.25">
      <c r="A20" t="s">
        <v>72</v>
      </c>
      <c r="B20" s="4" t="s">
        <v>13</v>
      </c>
      <c r="C20" s="4" t="s">
        <v>14</v>
      </c>
      <c r="D20" s="4" t="s">
        <v>15</v>
      </c>
      <c r="E20" s="4">
        <v>20</v>
      </c>
      <c r="F20" s="4"/>
      <c r="G20" s="4">
        <v>1.42</v>
      </c>
      <c r="H20" s="4" t="s">
        <v>20</v>
      </c>
      <c r="I20" s="4" t="str">
        <f t="shared" si="2"/>
        <v>20--1.42</v>
      </c>
      <c r="J20" s="5">
        <v>0.65043489079999994</v>
      </c>
      <c r="K20" s="4">
        <v>84625</v>
      </c>
      <c r="L20" s="4">
        <v>9800</v>
      </c>
      <c r="M20" s="4">
        <v>250</v>
      </c>
      <c r="N20" s="4"/>
      <c r="O20" s="4">
        <f t="shared" si="3"/>
        <v>94675</v>
      </c>
      <c r="P20" s="6">
        <f t="shared" si="4"/>
        <v>61.579923286489993</v>
      </c>
      <c r="Q20" s="4">
        <v>6000</v>
      </c>
      <c r="R20" s="4">
        <f t="shared" si="5"/>
        <v>100675</v>
      </c>
      <c r="S20" s="4">
        <f t="shared" si="6"/>
        <v>65.48</v>
      </c>
      <c r="T20" s="4">
        <v>4000</v>
      </c>
      <c r="U20" s="4">
        <f t="shared" si="7"/>
        <v>104675</v>
      </c>
      <c r="V20" s="4">
        <f t="shared" si="8"/>
        <v>68.08</v>
      </c>
      <c r="W20" s="4">
        <v>5700</v>
      </c>
      <c r="X20" s="4">
        <f>W20+U20</f>
        <v>110375</v>
      </c>
      <c r="Y20" s="4">
        <f>ROUND(X20*J20/1000,2)</f>
        <v>71.790000000000006</v>
      </c>
      <c r="Z20" s="4">
        <v>-11650</v>
      </c>
      <c r="AA20" s="4">
        <f>Z20+X20</f>
        <v>98725</v>
      </c>
      <c r="AB20" s="4">
        <f>ROUND(AA20*J20/1000,2)</f>
        <v>64.209999999999994</v>
      </c>
      <c r="AC20" s="4">
        <v>-4200</v>
      </c>
      <c r="AD20" s="4">
        <f>AC20+AA20</f>
        <v>94525</v>
      </c>
      <c r="AE20" s="4">
        <f>ROUND(AD20*J20/1000,2)</f>
        <v>61.48</v>
      </c>
      <c r="AF20" s="30">
        <v>1950</v>
      </c>
      <c r="AG20" s="4">
        <f>AF20+AD20</f>
        <v>96475</v>
      </c>
      <c r="AH20" s="4">
        <f>ROUND(AG20*J20/1000,2)</f>
        <v>62.75</v>
      </c>
      <c r="AI20" s="30">
        <v>-4825</v>
      </c>
      <c r="AJ20" s="4">
        <f>AI20+AG20</f>
        <v>91650</v>
      </c>
      <c r="AK20" s="4">
        <f>ROUND(AJ20*J20/1000,2)</f>
        <v>59.61</v>
      </c>
      <c r="AL20" s="4">
        <f>1920</f>
        <v>1920</v>
      </c>
      <c r="AM20" s="4">
        <f>AJ20+AL20</f>
        <v>93570</v>
      </c>
      <c r="AN20" s="4">
        <f>ROUND(AM20*J20/1000,2)</f>
        <v>60.86</v>
      </c>
      <c r="AO20" s="4">
        <v>-1200</v>
      </c>
      <c r="AP20" s="4">
        <f t="shared" si="21"/>
        <v>92370</v>
      </c>
      <c r="AQ20" s="6">
        <f t="shared" si="0"/>
        <v>60.080670863195991</v>
      </c>
      <c r="AR20" s="4">
        <v>-2125</v>
      </c>
      <c r="AS20" s="4">
        <f t="shared" si="22"/>
        <v>90245</v>
      </c>
      <c r="AT20" s="6">
        <f t="shared" si="23"/>
        <v>58.698496720245998</v>
      </c>
      <c r="AU20" s="4">
        <v>200</v>
      </c>
      <c r="AV20" s="4">
        <f t="shared" si="24"/>
        <v>90445</v>
      </c>
      <c r="AW20" s="6">
        <f>AV20*J20/1000</f>
        <v>58.828583698405993</v>
      </c>
      <c r="AX20" s="4">
        <v>-4150</v>
      </c>
      <c r="AY20" s="4">
        <f t="shared" si="26"/>
        <v>86295</v>
      </c>
      <c r="AZ20" s="6">
        <f t="shared" si="1"/>
        <v>56.129278901585998</v>
      </c>
      <c r="BA20" s="4">
        <v>0</v>
      </c>
      <c r="BB20" s="4">
        <f t="shared" si="27"/>
        <v>86295</v>
      </c>
      <c r="BC20" s="6">
        <f t="shared" si="28"/>
        <v>56.129278901585998</v>
      </c>
      <c r="BD20" s="4">
        <v>2600</v>
      </c>
      <c r="BE20" s="4">
        <f t="shared" si="29"/>
        <v>88895</v>
      </c>
      <c r="BF20" s="6">
        <f t="shared" si="30"/>
        <v>57.820409617665995</v>
      </c>
      <c r="BG20" s="4">
        <v>900</v>
      </c>
      <c r="BH20" s="4">
        <f>BE20+BG20</f>
        <v>89795</v>
      </c>
      <c r="BI20" s="6">
        <f t="shared" si="32"/>
        <v>58.405801019385997</v>
      </c>
      <c r="BJ20" s="4">
        <v>-2100</v>
      </c>
      <c r="BK20" s="4">
        <f>BH20+BJ20</f>
        <v>87695</v>
      </c>
      <c r="BL20" s="6">
        <f t="shared" si="34"/>
        <v>57.039887748705993</v>
      </c>
      <c r="BM20" s="4">
        <v>1450</v>
      </c>
      <c r="BN20" s="4">
        <f>BK20+BM20</f>
        <v>89145</v>
      </c>
      <c r="BO20" s="6">
        <f t="shared" si="36"/>
        <v>57.983018340365994</v>
      </c>
      <c r="BP20" s="4">
        <v>5150</v>
      </c>
      <c r="BQ20" s="4">
        <f>BN20+BP20</f>
        <v>94295</v>
      </c>
      <c r="BR20" s="6">
        <f t="shared" si="38"/>
        <v>61.332758027985996</v>
      </c>
    </row>
    <row r="21" spans="1:71" x14ac:dyDescent="0.25">
      <c r="A21" t="s">
        <v>73</v>
      </c>
      <c r="B21" s="4" t="s">
        <v>13</v>
      </c>
      <c r="C21" s="4" t="s">
        <v>14</v>
      </c>
      <c r="D21" s="4" t="s">
        <v>18</v>
      </c>
      <c r="E21" s="4">
        <v>20</v>
      </c>
      <c r="F21" s="4"/>
      <c r="G21" s="4">
        <v>3.8</v>
      </c>
      <c r="H21" s="4" t="s">
        <v>22</v>
      </c>
      <c r="I21" s="4" t="str">
        <f t="shared" si="2"/>
        <v>20--3.8</v>
      </c>
      <c r="J21" s="5">
        <v>1.5176386799999999</v>
      </c>
      <c r="K21" s="4">
        <v>78125</v>
      </c>
      <c r="L21" s="4">
        <v>7500</v>
      </c>
      <c r="M21" s="4">
        <v>250</v>
      </c>
      <c r="N21" s="4"/>
      <c r="O21" s="4">
        <f t="shared" si="3"/>
        <v>85875</v>
      </c>
      <c r="P21" s="6">
        <f t="shared" si="4"/>
        <v>130.32722164500001</v>
      </c>
      <c r="Q21" s="4">
        <v>5600</v>
      </c>
      <c r="R21" s="4">
        <f t="shared" si="5"/>
        <v>91475</v>
      </c>
      <c r="S21" s="4">
        <f t="shared" si="6"/>
        <v>138.83000000000001</v>
      </c>
      <c r="T21" s="4">
        <v>3900</v>
      </c>
      <c r="U21" s="4">
        <f t="shared" si="7"/>
        <v>95375</v>
      </c>
      <c r="V21" s="4">
        <f t="shared" si="8"/>
        <v>144.74</v>
      </c>
      <c r="W21" s="4">
        <v>6000</v>
      </c>
      <c r="X21" s="4">
        <f t="shared" ref="X21:X34" si="60">W21+U21</f>
        <v>101375</v>
      </c>
      <c r="Y21" s="4">
        <f t="shared" ref="Y21:Y34" si="61">ROUND(X21*J21/1000,2)</f>
        <v>153.85</v>
      </c>
      <c r="Z21" s="4">
        <v>-10200</v>
      </c>
      <c r="AA21" s="4">
        <f t="shared" ref="AA21:AA34" si="62">Z21+X21</f>
        <v>91175</v>
      </c>
      <c r="AB21" s="4">
        <f t="shared" ref="AB21:AB34" si="63">ROUND(AA21*J21/1000,2)</f>
        <v>138.37</v>
      </c>
      <c r="AC21" s="4">
        <v>-4900</v>
      </c>
      <c r="AD21" s="4">
        <f t="shared" ref="AD21:AD34" si="64">AC21+AA21</f>
        <v>86275</v>
      </c>
      <c r="AE21" s="4">
        <f t="shared" ref="AE21:AE34" si="65">ROUND(AD21*J21/1000,2)</f>
        <v>130.93</v>
      </c>
      <c r="AF21" s="30">
        <v>3300</v>
      </c>
      <c r="AG21" s="4">
        <f t="shared" ref="AG21:AG34" si="66">AF21+AD21</f>
        <v>89575</v>
      </c>
      <c r="AH21" s="4">
        <f t="shared" ref="AH21:AH34" si="67">ROUND(AG21*J21/1000,2)</f>
        <v>135.94</v>
      </c>
      <c r="AI21" s="30">
        <v>-3800</v>
      </c>
      <c r="AJ21" s="4">
        <f t="shared" ref="AJ21:AJ34" si="68">AI21+AG21</f>
        <v>85775</v>
      </c>
      <c r="AK21" s="4">
        <f t="shared" ref="AK21:AK34" si="69">ROUND(AJ21*J21/1000,2)</f>
        <v>130.18</v>
      </c>
      <c r="AL21" s="4">
        <f>2000</f>
        <v>2000</v>
      </c>
      <c r="AM21" s="4">
        <f t="shared" si="19"/>
        <v>87775</v>
      </c>
      <c r="AN21" s="4">
        <f t="shared" si="20"/>
        <v>133.21</v>
      </c>
      <c r="AO21" s="4">
        <v>-1950</v>
      </c>
      <c r="AP21" s="4">
        <f t="shared" si="21"/>
        <v>85825</v>
      </c>
      <c r="AQ21" s="6">
        <f t="shared" si="0"/>
        <v>130.25133971099999</v>
      </c>
      <c r="AR21" s="4">
        <v>-2625</v>
      </c>
      <c r="AS21" s="4">
        <f t="shared" si="22"/>
        <v>83200</v>
      </c>
      <c r="AT21" s="6">
        <f t="shared" si="23"/>
        <v>126.26753817599999</v>
      </c>
      <c r="AU21" s="4">
        <v>500</v>
      </c>
      <c r="AV21" s="4">
        <f t="shared" si="24"/>
        <v>83700</v>
      </c>
      <c r="AW21" s="6">
        <f t="shared" ref="AW21:AW34" si="70">AV21*J21/1000</f>
        <v>127.02635751599999</v>
      </c>
      <c r="AX21" s="4">
        <v>-4750</v>
      </c>
      <c r="AY21" s="4">
        <f t="shared" si="26"/>
        <v>78950</v>
      </c>
      <c r="AZ21" s="6">
        <f t="shared" si="1"/>
        <v>119.817573786</v>
      </c>
      <c r="BA21" s="4">
        <v>0</v>
      </c>
      <c r="BB21" s="4">
        <f t="shared" si="27"/>
        <v>78950</v>
      </c>
      <c r="BC21" s="6">
        <f t="shared" si="28"/>
        <v>119.817573786</v>
      </c>
      <c r="BD21" s="4">
        <v>2600</v>
      </c>
      <c r="BE21" s="4">
        <f t="shared" si="29"/>
        <v>81550</v>
      </c>
      <c r="BF21" s="6">
        <f t="shared" si="30"/>
        <v>123.763434354</v>
      </c>
      <c r="BG21" s="4">
        <v>1000</v>
      </c>
      <c r="BH21" s="4">
        <f t="shared" ref="BH21:BH34" si="71">BE21+BG21</f>
        <v>82550</v>
      </c>
      <c r="BI21" s="6">
        <f t="shared" si="32"/>
        <v>125.28107303399999</v>
      </c>
      <c r="BJ21" s="4">
        <v>-2150</v>
      </c>
      <c r="BK21" s="4">
        <f t="shared" ref="BK21:BK34" si="72">BH21+BJ21</f>
        <v>80400</v>
      </c>
      <c r="BL21" s="6">
        <f t="shared" si="34"/>
        <v>122.018149872</v>
      </c>
      <c r="BM21" s="4">
        <v>1500</v>
      </c>
      <c r="BN21" s="4">
        <f t="shared" ref="BN21:BN34" si="73">BK21+BM21</f>
        <v>81900</v>
      </c>
      <c r="BO21" s="6">
        <f t="shared" si="36"/>
        <v>124.29460789199999</v>
      </c>
      <c r="BP21" s="4">
        <v>5500</v>
      </c>
      <c r="BQ21" s="4">
        <f t="shared" ref="BQ21:BQ34" si="74">BN21+BP21</f>
        <v>87400</v>
      </c>
      <c r="BR21" s="6">
        <f t="shared" si="38"/>
        <v>132.64162063200001</v>
      </c>
    </row>
    <row r="22" spans="1:71" x14ac:dyDescent="0.25">
      <c r="A22" t="s">
        <v>74</v>
      </c>
      <c r="B22" s="4" t="s">
        <v>13</v>
      </c>
      <c r="C22" s="4" t="s">
        <v>14</v>
      </c>
      <c r="D22" s="4" t="s">
        <v>18</v>
      </c>
      <c r="E22" s="4">
        <v>20</v>
      </c>
      <c r="F22" s="4"/>
      <c r="G22" s="4">
        <v>4.5</v>
      </c>
      <c r="H22" s="4" t="s">
        <v>22</v>
      </c>
      <c r="I22" s="4" t="str">
        <f t="shared" si="2"/>
        <v>20--4.5</v>
      </c>
      <c r="J22" s="5">
        <v>1.7195467500000001</v>
      </c>
      <c r="K22" s="4">
        <v>78125</v>
      </c>
      <c r="L22" s="4">
        <v>7500</v>
      </c>
      <c r="M22" s="4">
        <v>250</v>
      </c>
      <c r="N22" s="4"/>
      <c r="O22" s="4">
        <f t="shared" si="3"/>
        <v>85875</v>
      </c>
      <c r="P22" s="6">
        <f t="shared" si="4"/>
        <v>147.66607715625003</v>
      </c>
      <c r="Q22" s="4">
        <v>5600</v>
      </c>
      <c r="R22" s="4">
        <f t="shared" si="5"/>
        <v>91475</v>
      </c>
      <c r="S22" s="4">
        <f t="shared" si="6"/>
        <v>157.30000000000001</v>
      </c>
      <c r="T22" s="4">
        <v>3900</v>
      </c>
      <c r="U22" s="4">
        <f t="shared" si="7"/>
        <v>95375</v>
      </c>
      <c r="V22" s="4">
        <f t="shared" si="8"/>
        <v>164</v>
      </c>
      <c r="W22" s="4">
        <v>6000</v>
      </c>
      <c r="X22" s="4">
        <f t="shared" si="60"/>
        <v>101375</v>
      </c>
      <c r="Y22" s="4">
        <f t="shared" si="61"/>
        <v>174.32</v>
      </c>
      <c r="Z22" s="4">
        <v>-10200</v>
      </c>
      <c r="AA22" s="4">
        <f t="shared" si="62"/>
        <v>91175</v>
      </c>
      <c r="AB22" s="4">
        <f t="shared" si="63"/>
        <v>156.78</v>
      </c>
      <c r="AC22" s="4">
        <v>-4900</v>
      </c>
      <c r="AD22" s="4">
        <f t="shared" si="64"/>
        <v>86275</v>
      </c>
      <c r="AE22" s="4">
        <f t="shared" si="65"/>
        <v>148.35</v>
      </c>
      <c r="AF22" s="30">
        <v>3300</v>
      </c>
      <c r="AG22" s="4">
        <f t="shared" si="66"/>
        <v>89575</v>
      </c>
      <c r="AH22" s="4">
        <f t="shared" si="67"/>
        <v>154.03</v>
      </c>
      <c r="AI22" s="30">
        <v>-3800</v>
      </c>
      <c r="AJ22" s="4">
        <f t="shared" si="68"/>
        <v>85775</v>
      </c>
      <c r="AK22" s="4">
        <f t="shared" si="69"/>
        <v>147.49</v>
      </c>
      <c r="AL22" s="4">
        <f>2000</f>
        <v>2000</v>
      </c>
      <c r="AM22" s="4">
        <f t="shared" si="19"/>
        <v>87775</v>
      </c>
      <c r="AN22" s="4">
        <f t="shared" si="20"/>
        <v>150.93</v>
      </c>
      <c r="AO22" s="4">
        <v>-1950</v>
      </c>
      <c r="AP22" s="4">
        <f t="shared" si="21"/>
        <v>85825</v>
      </c>
      <c r="AQ22" s="6">
        <f t="shared" si="0"/>
        <v>147.58009981875003</v>
      </c>
      <c r="AR22" s="4">
        <v>-2625</v>
      </c>
      <c r="AS22" s="4">
        <f t="shared" si="22"/>
        <v>83200</v>
      </c>
      <c r="AT22" s="6">
        <f t="shared" si="23"/>
        <v>143.0662896</v>
      </c>
      <c r="AU22" s="4">
        <v>500</v>
      </c>
      <c r="AV22" s="4">
        <f t="shared" si="24"/>
        <v>83700</v>
      </c>
      <c r="AW22" s="6">
        <f t="shared" si="70"/>
        <v>143.92606297500001</v>
      </c>
      <c r="AX22" s="4">
        <v>-4750</v>
      </c>
      <c r="AY22" s="4">
        <f t="shared" si="26"/>
        <v>78950</v>
      </c>
      <c r="AZ22" s="6">
        <f t="shared" si="1"/>
        <v>135.75821591250002</v>
      </c>
      <c r="BA22" s="4">
        <v>0</v>
      </c>
      <c r="BB22" s="4">
        <f t="shared" si="27"/>
        <v>78950</v>
      </c>
      <c r="BC22" s="6">
        <f t="shared" si="28"/>
        <v>135.75821591250002</v>
      </c>
      <c r="BD22" s="4">
        <v>2600</v>
      </c>
      <c r="BE22" s="4">
        <f t="shared" si="29"/>
        <v>81550</v>
      </c>
      <c r="BF22" s="6">
        <f t="shared" si="30"/>
        <v>140.2290374625</v>
      </c>
      <c r="BG22" s="4">
        <v>1000</v>
      </c>
      <c r="BH22" s="4">
        <f t="shared" si="71"/>
        <v>82550</v>
      </c>
      <c r="BI22" s="6">
        <f t="shared" si="32"/>
        <v>141.94858421250001</v>
      </c>
      <c r="BJ22" s="4">
        <v>-2150</v>
      </c>
      <c r="BK22" s="4">
        <f t="shared" si="72"/>
        <v>80400</v>
      </c>
      <c r="BL22" s="6">
        <f t="shared" si="34"/>
        <v>138.25155870000003</v>
      </c>
      <c r="BM22" s="4">
        <v>1500</v>
      </c>
      <c r="BN22" s="4">
        <f t="shared" si="73"/>
        <v>81900</v>
      </c>
      <c r="BO22" s="6">
        <f t="shared" si="36"/>
        <v>140.83087882500001</v>
      </c>
      <c r="BP22" s="4">
        <v>5500</v>
      </c>
      <c r="BQ22" s="4">
        <f t="shared" si="74"/>
        <v>87400</v>
      </c>
      <c r="BR22" s="6">
        <f t="shared" si="38"/>
        <v>150.28838595000002</v>
      </c>
    </row>
    <row r="23" spans="1:71" x14ac:dyDescent="0.25">
      <c r="A23" t="s">
        <v>75</v>
      </c>
      <c r="B23" s="4" t="s">
        <v>13</v>
      </c>
      <c r="C23" s="4" t="s">
        <v>14</v>
      </c>
      <c r="D23" s="4" t="s">
        <v>18</v>
      </c>
      <c r="E23" s="4">
        <v>21.7</v>
      </c>
      <c r="F23" s="4"/>
      <c r="G23" s="4">
        <v>2.8</v>
      </c>
      <c r="H23" s="4" t="s">
        <v>22</v>
      </c>
      <c r="I23" s="4" t="str">
        <f t="shared" si="2"/>
        <v>21.7--2.8</v>
      </c>
      <c r="J23" s="5">
        <v>1.30463676</v>
      </c>
      <c r="K23" s="4">
        <v>78125</v>
      </c>
      <c r="L23" s="4">
        <v>7500</v>
      </c>
      <c r="M23" s="4">
        <v>250</v>
      </c>
      <c r="N23" s="4"/>
      <c r="O23" s="4">
        <f t="shared" si="3"/>
        <v>85875</v>
      </c>
      <c r="P23" s="6">
        <f t="shared" si="4"/>
        <v>112.03568176500001</v>
      </c>
      <c r="Q23" s="4">
        <v>5600</v>
      </c>
      <c r="R23" s="4">
        <f t="shared" si="5"/>
        <v>91475</v>
      </c>
      <c r="S23" s="4">
        <f t="shared" si="6"/>
        <v>119.34</v>
      </c>
      <c r="T23" s="4">
        <v>3900</v>
      </c>
      <c r="U23" s="4">
        <f t="shared" si="7"/>
        <v>95375</v>
      </c>
      <c r="V23" s="4">
        <f t="shared" si="8"/>
        <v>124.43</v>
      </c>
      <c r="W23" s="4">
        <v>6000</v>
      </c>
      <c r="X23" s="4">
        <f t="shared" si="60"/>
        <v>101375</v>
      </c>
      <c r="Y23" s="4">
        <f t="shared" si="61"/>
        <v>132.26</v>
      </c>
      <c r="Z23" s="4">
        <v>-10200</v>
      </c>
      <c r="AA23" s="4">
        <f t="shared" si="62"/>
        <v>91175</v>
      </c>
      <c r="AB23" s="4">
        <f t="shared" si="63"/>
        <v>118.95</v>
      </c>
      <c r="AC23" s="4">
        <v>-4900</v>
      </c>
      <c r="AD23" s="4">
        <f t="shared" si="64"/>
        <v>86275</v>
      </c>
      <c r="AE23" s="4">
        <f t="shared" si="65"/>
        <v>112.56</v>
      </c>
      <c r="AF23" s="30">
        <v>3300</v>
      </c>
      <c r="AG23" s="4">
        <f t="shared" si="66"/>
        <v>89575</v>
      </c>
      <c r="AH23" s="4">
        <f t="shared" si="67"/>
        <v>116.86</v>
      </c>
      <c r="AI23" s="30">
        <v>-3800</v>
      </c>
      <c r="AJ23" s="4">
        <f t="shared" si="68"/>
        <v>85775</v>
      </c>
      <c r="AK23" s="4">
        <f t="shared" si="69"/>
        <v>111.91</v>
      </c>
      <c r="AL23" s="4">
        <f>2000</f>
        <v>2000</v>
      </c>
      <c r="AM23" s="4">
        <f t="shared" si="19"/>
        <v>87775</v>
      </c>
      <c r="AN23" s="4">
        <f t="shared" si="20"/>
        <v>114.51</v>
      </c>
      <c r="AO23" s="4">
        <v>-1950</v>
      </c>
      <c r="AP23" s="4">
        <f t="shared" si="21"/>
        <v>85825</v>
      </c>
      <c r="AQ23" s="6">
        <f t="shared" si="0"/>
        <v>111.97044992699999</v>
      </c>
      <c r="AR23" s="4">
        <v>-2625</v>
      </c>
      <c r="AS23" s="4">
        <f t="shared" si="22"/>
        <v>83200</v>
      </c>
      <c r="AT23" s="6">
        <f t="shared" si="23"/>
        <v>108.54577843199999</v>
      </c>
      <c r="AU23" s="4">
        <v>500</v>
      </c>
      <c r="AV23" s="4">
        <f t="shared" si="24"/>
        <v>83700</v>
      </c>
      <c r="AW23" s="6">
        <f t="shared" si="70"/>
        <v>109.19809681199999</v>
      </c>
      <c r="AX23" s="4">
        <v>-4750</v>
      </c>
      <c r="AY23" s="4">
        <f t="shared" si="26"/>
        <v>78950</v>
      </c>
      <c r="AZ23" s="6">
        <f t="shared" si="1"/>
        <v>103.00107220199999</v>
      </c>
      <c r="BA23" s="4">
        <v>0</v>
      </c>
      <c r="BB23" s="4">
        <f t="shared" si="27"/>
        <v>78950</v>
      </c>
      <c r="BC23" s="6">
        <f t="shared" si="28"/>
        <v>103.00107220199999</v>
      </c>
      <c r="BD23" s="4">
        <v>2600</v>
      </c>
      <c r="BE23" s="4">
        <f t="shared" si="29"/>
        <v>81550</v>
      </c>
      <c r="BF23" s="6">
        <f t="shared" si="30"/>
        <v>106.39312777799999</v>
      </c>
      <c r="BG23" s="4">
        <v>1000</v>
      </c>
      <c r="BH23" s="4">
        <f t="shared" si="71"/>
        <v>82550</v>
      </c>
      <c r="BI23" s="6">
        <f t="shared" si="32"/>
        <v>107.697764538</v>
      </c>
      <c r="BJ23" s="4">
        <v>-2150</v>
      </c>
      <c r="BK23" s="4">
        <f t="shared" si="72"/>
        <v>80400</v>
      </c>
      <c r="BL23" s="6">
        <f t="shared" si="34"/>
        <v>104.89279550399999</v>
      </c>
      <c r="BM23" s="4">
        <v>1500</v>
      </c>
      <c r="BN23" s="4">
        <f t="shared" si="73"/>
        <v>81900</v>
      </c>
      <c r="BO23" s="6">
        <f t="shared" si="36"/>
        <v>106.849750644</v>
      </c>
      <c r="BP23" s="4">
        <v>5500</v>
      </c>
      <c r="BQ23" s="4">
        <f t="shared" si="74"/>
        <v>87400</v>
      </c>
      <c r="BR23" s="6">
        <f t="shared" si="38"/>
        <v>114.02525282399999</v>
      </c>
    </row>
    <row r="24" spans="1:71" x14ac:dyDescent="0.25">
      <c r="A24" t="s">
        <v>76</v>
      </c>
      <c r="B24" s="4" t="s">
        <v>13</v>
      </c>
      <c r="C24" s="4" t="s">
        <v>14</v>
      </c>
      <c r="D24" s="4" t="s">
        <v>18</v>
      </c>
      <c r="E24" s="4">
        <v>21.75</v>
      </c>
      <c r="F24" s="4"/>
      <c r="G24" s="4">
        <v>3.5</v>
      </c>
      <c r="H24" s="4" t="s">
        <v>22</v>
      </c>
      <c r="I24" s="4" t="str">
        <f t="shared" si="2"/>
        <v>21.75--3.5</v>
      </c>
      <c r="J24" s="5">
        <v>1.574710375</v>
      </c>
      <c r="K24" s="4">
        <v>78125</v>
      </c>
      <c r="L24" s="4">
        <v>7500</v>
      </c>
      <c r="M24" s="4">
        <v>250</v>
      </c>
      <c r="N24" s="4"/>
      <c r="O24" s="4">
        <f t="shared" si="3"/>
        <v>85875</v>
      </c>
      <c r="P24" s="6">
        <f t="shared" si="4"/>
        <v>135.22825345312501</v>
      </c>
      <c r="Q24" s="4">
        <v>5600</v>
      </c>
      <c r="R24" s="4">
        <f t="shared" si="5"/>
        <v>91475</v>
      </c>
      <c r="S24" s="4">
        <f t="shared" si="6"/>
        <v>144.05000000000001</v>
      </c>
      <c r="T24" s="4">
        <v>3900</v>
      </c>
      <c r="U24" s="4">
        <f t="shared" si="7"/>
        <v>95375</v>
      </c>
      <c r="V24" s="4">
        <f t="shared" si="8"/>
        <v>150.19</v>
      </c>
      <c r="W24" s="4">
        <v>6000</v>
      </c>
      <c r="X24" s="4">
        <f t="shared" si="60"/>
        <v>101375</v>
      </c>
      <c r="Y24" s="4">
        <f t="shared" si="61"/>
        <v>159.63999999999999</v>
      </c>
      <c r="Z24" s="4">
        <v>-10200</v>
      </c>
      <c r="AA24" s="4">
        <f t="shared" si="62"/>
        <v>91175</v>
      </c>
      <c r="AB24" s="4">
        <f t="shared" si="63"/>
        <v>143.57</v>
      </c>
      <c r="AC24" s="4">
        <v>-4900</v>
      </c>
      <c r="AD24" s="4">
        <f t="shared" si="64"/>
        <v>86275</v>
      </c>
      <c r="AE24" s="4">
        <f t="shared" si="65"/>
        <v>135.86000000000001</v>
      </c>
      <c r="AF24" s="30">
        <v>3300</v>
      </c>
      <c r="AG24" s="4">
        <f t="shared" si="66"/>
        <v>89575</v>
      </c>
      <c r="AH24" s="4">
        <f t="shared" si="67"/>
        <v>141.05000000000001</v>
      </c>
      <c r="AI24" s="30">
        <v>-3800</v>
      </c>
      <c r="AJ24" s="4">
        <f t="shared" si="68"/>
        <v>85775</v>
      </c>
      <c r="AK24" s="4">
        <f t="shared" si="69"/>
        <v>135.07</v>
      </c>
      <c r="AL24" s="4">
        <f>2000</f>
        <v>2000</v>
      </c>
      <c r="AM24" s="4">
        <f t="shared" si="19"/>
        <v>87775</v>
      </c>
      <c r="AN24" s="4">
        <f t="shared" si="20"/>
        <v>138.22</v>
      </c>
      <c r="AO24" s="4">
        <v>-1950</v>
      </c>
      <c r="AP24" s="4">
        <f t="shared" si="21"/>
        <v>85825</v>
      </c>
      <c r="AQ24" s="6">
        <f t="shared" si="0"/>
        <v>135.14951793437501</v>
      </c>
      <c r="AR24" s="4">
        <v>-2625</v>
      </c>
      <c r="AS24" s="4">
        <f t="shared" si="22"/>
        <v>83200</v>
      </c>
      <c r="AT24" s="6">
        <f t="shared" si="23"/>
        <v>131.0159032</v>
      </c>
      <c r="AU24" s="4">
        <v>500</v>
      </c>
      <c r="AV24" s="4">
        <f t="shared" si="24"/>
        <v>83700</v>
      </c>
      <c r="AW24" s="6">
        <f t="shared" si="70"/>
        <v>131.80325838750002</v>
      </c>
      <c r="AX24" s="4">
        <v>-4750</v>
      </c>
      <c r="AY24" s="4">
        <f t="shared" si="26"/>
        <v>78950</v>
      </c>
      <c r="AZ24" s="6">
        <f t="shared" si="1"/>
        <v>124.32338410625</v>
      </c>
      <c r="BA24" s="4">
        <v>0</v>
      </c>
      <c r="BB24" s="4">
        <f t="shared" si="27"/>
        <v>78950</v>
      </c>
      <c r="BC24" s="6">
        <f t="shared" si="28"/>
        <v>124.32338410625</v>
      </c>
      <c r="BD24" s="4">
        <v>2600</v>
      </c>
      <c r="BE24" s="4">
        <f t="shared" si="29"/>
        <v>81550</v>
      </c>
      <c r="BF24" s="6">
        <f t="shared" si="30"/>
        <v>128.41763108124999</v>
      </c>
      <c r="BG24" s="4">
        <v>1000</v>
      </c>
      <c r="BH24" s="4">
        <f t="shared" si="71"/>
        <v>82550</v>
      </c>
      <c r="BI24" s="6">
        <f t="shared" si="32"/>
        <v>129.99234145624999</v>
      </c>
      <c r="BJ24" s="4">
        <v>-2150</v>
      </c>
      <c r="BK24" s="4">
        <f t="shared" si="72"/>
        <v>80400</v>
      </c>
      <c r="BL24" s="6">
        <f t="shared" si="34"/>
        <v>126.60671415</v>
      </c>
      <c r="BM24" s="4">
        <v>1500</v>
      </c>
      <c r="BN24" s="4">
        <f t="shared" si="73"/>
        <v>81900</v>
      </c>
      <c r="BO24" s="6">
        <f t="shared" si="36"/>
        <v>128.96877971249998</v>
      </c>
      <c r="BP24" s="4">
        <v>5500</v>
      </c>
      <c r="BQ24" s="4">
        <f t="shared" si="74"/>
        <v>87400</v>
      </c>
      <c r="BR24" s="6">
        <f t="shared" si="38"/>
        <v>137.62968677500001</v>
      </c>
    </row>
    <row r="25" spans="1:71" x14ac:dyDescent="0.25">
      <c r="A25" t="s">
        <v>77</v>
      </c>
      <c r="B25" s="4" t="s">
        <v>13</v>
      </c>
      <c r="C25" s="4" t="s">
        <v>14</v>
      </c>
      <c r="D25" s="4" t="s">
        <v>18</v>
      </c>
      <c r="E25" s="4">
        <v>25.4</v>
      </c>
      <c r="F25" s="4"/>
      <c r="G25" s="4">
        <v>2.5</v>
      </c>
      <c r="H25" s="4" t="s">
        <v>23</v>
      </c>
      <c r="I25" s="4" t="str">
        <f t="shared" si="2"/>
        <v>25.4--2.5</v>
      </c>
      <c r="J25" s="5">
        <v>1.41138425</v>
      </c>
      <c r="K25" s="4">
        <v>76125</v>
      </c>
      <c r="L25" s="4">
        <v>7500</v>
      </c>
      <c r="M25" s="4">
        <v>250</v>
      </c>
      <c r="N25" s="4"/>
      <c r="O25" s="4">
        <f t="shared" si="3"/>
        <v>83875</v>
      </c>
      <c r="P25" s="6">
        <f t="shared" si="4"/>
        <v>118.37985396875</v>
      </c>
      <c r="Q25" s="4">
        <v>5600</v>
      </c>
      <c r="R25" s="4">
        <f t="shared" si="5"/>
        <v>89475</v>
      </c>
      <c r="S25" s="4">
        <f t="shared" si="6"/>
        <v>126.28</v>
      </c>
      <c r="T25" s="4">
        <v>3900</v>
      </c>
      <c r="U25" s="4">
        <f t="shared" si="7"/>
        <v>93375</v>
      </c>
      <c r="V25" s="4">
        <f t="shared" si="8"/>
        <v>131.79</v>
      </c>
      <c r="W25" s="4">
        <v>6000</v>
      </c>
      <c r="X25" s="4">
        <f t="shared" si="60"/>
        <v>99375</v>
      </c>
      <c r="Y25" s="4">
        <f t="shared" si="61"/>
        <v>140.26</v>
      </c>
      <c r="Z25" s="4">
        <v>-10200</v>
      </c>
      <c r="AA25" s="4">
        <f t="shared" si="62"/>
        <v>89175</v>
      </c>
      <c r="AB25" s="4">
        <f t="shared" si="63"/>
        <v>125.86</v>
      </c>
      <c r="AC25" s="4">
        <v>-4900</v>
      </c>
      <c r="AD25" s="4">
        <f t="shared" si="64"/>
        <v>84275</v>
      </c>
      <c r="AE25" s="4">
        <f t="shared" si="65"/>
        <v>118.94</v>
      </c>
      <c r="AF25" s="30">
        <v>3300</v>
      </c>
      <c r="AG25" s="4">
        <f t="shared" si="66"/>
        <v>87575</v>
      </c>
      <c r="AH25" s="4">
        <f t="shared" si="67"/>
        <v>123.6</v>
      </c>
      <c r="AI25" s="30">
        <v>-3800</v>
      </c>
      <c r="AJ25" s="4">
        <f t="shared" si="68"/>
        <v>83775</v>
      </c>
      <c r="AK25" s="4">
        <f t="shared" si="69"/>
        <v>118.24</v>
      </c>
      <c r="AL25" s="4">
        <f>2000</f>
        <v>2000</v>
      </c>
      <c r="AM25" s="4">
        <f t="shared" si="19"/>
        <v>85775</v>
      </c>
      <c r="AN25" s="4">
        <f t="shared" si="20"/>
        <v>121.06</v>
      </c>
      <c r="AO25" s="4">
        <v>-1950</v>
      </c>
      <c r="AP25" s="4">
        <f t="shared" si="21"/>
        <v>83825</v>
      </c>
      <c r="AQ25" s="6">
        <f t="shared" si="0"/>
        <v>118.30928475624999</v>
      </c>
      <c r="AR25" s="4">
        <v>-2625</v>
      </c>
      <c r="AS25" s="4">
        <f t="shared" si="22"/>
        <v>81200</v>
      </c>
      <c r="AT25" s="6">
        <f t="shared" si="23"/>
        <v>114.6044011</v>
      </c>
      <c r="AU25" s="4">
        <v>500</v>
      </c>
      <c r="AV25" s="4">
        <f t="shared" si="24"/>
        <v>81700</v>
      </c>
      <c r="AW25" s="6">
        <f t="shared" si="70"/>
        <v>115.310093225</v>
      </c>
      <c r="AX25" s="4">
        <v>-4750</v>
      </c>
      <c r="AY25" s="4">
        <f t="shared" si="26"/>
        <v>76950</v>
      </c>
      <c r="AZ25" s="6">
        <f t="shared" si="1"/>
        <v>108.60601803750001</v>
      </c>
      <c r="BA25" s="4">
        <v>0</v>
      </c>
      <c r="BB25" s="4">
        <f t="shared" si="27"/>
        <v>76950</v>
      </c>
      <c r="BC25" s="6">
        <f t="shared" si="28"/>
        <v>108.60601803750001</v>
      </c>
      <c r="BD25" s="4">
        <v>2600</v>
      </c>
      <c r="BE25" s="4">
        <f t="shared" si="29"/>
        <v>79550</v>
      </c>
      <c r="BF25" s="6">
        <f t="shared" si="30"/>
        <v>112.2756170875</v>
      </c>
      <c r="BG25" s="4">
        <v>1000</v>
      </c>
      <c r="BH25" s="4">
        <f t="shared" si="71"/>
        <v>80550</v>
      </c>
      <c r="BI25" s="6">
        <f t="shared" si="32"/>
        <v>113.68700133749999</v>
      </c>
      <c r="BJ25" s="4">
        <v>-2150</v>
      </c>
      <c r="BK25" s="4">
        <f t="shared" si="72"/>
        <v>78400</v>
      </c>
      <c r="BL25" s="6">
        <f t="shared" si="34"/>
        <v>110.6525252</v>
      </c>
      <c r="BM25" s="4">
        <v>1500</v>
      </c>
      <c r="BN25" s="4">
        <f t="shared" si="73"/>
        <v>79900</v>
      </c>
      <c r="BO25" s="6">
        <f t="shared" si="36"/>
        <v>112.769601575</v>
      </c>
      <c r="BP25" s="4">
        <v>5500</v>
      </c>
      <c r="BQ25" s="4">
        <f t="shared" si="74"/>
        <v>85400</v>
      </c>
      <c r="BR25" s="6">
        <f t="shared" si="38"/>
        <v>120.53221495</v>
      </c>
    </row>
    <row r="26" spans="1:71" x14ac:dyDescent="0.25">
      <c r="A26" t="s">
        <v>78</v>
      </c>
      <c r="B26" s="4" t="s">
        <v>13</v>
      </c>
      <c r="C26" s="4" t="s">
        <v>14</v>
      </c>
      <c r="D26" s="4" t="s">
        <v>18</v>
      </c>
      <c r="E26" s="4">
        <v>25.4</v>
      </c>
      <c r="F26" s="4"/>
      <c r="G26" s="4">
        <v>3.2</v>
      </c>
      <c r="H26" s="4" t="s">
        <v>23</v>
      </c>
      <c r="I26" s="4" t="str">
        <f t="shared" si="2"/>
        <v>25.4--3.2</v>
      </c>
      <c r="J26" s="5">
        <v>1.7513491200000002</v>
      </c>
      <c r="K26" s="4">
        <v>76125</v>
      </c>
      <c r="L26" s="4">
        <v>7500</v>
      </c>
      <c r="M26" s="4">
        <v>250</v>
      </c>
      <c r="N26" s="4"/>
      <c r="O26" s="4">
        <f t="shared" si="3"/>
        <v>83875</v>
      </c>
      <c r="P26" s="6">
        <f t="shared" si="4"/>
        <v>146.89440744000001</v>
      </c>
      <c r="Q26" s="4">
        <v>5600</v>
      </c>
      <c r="R26" s="4">
        <f t="shared" si="5"/>
        <v>89475</v>
      </c>
      <c r="S26" s="4">
        <f t="shared" si="6"/>
        <v>156.69999999999999</v>
      </c>
      <c r="T26" s="4">
        <v>3900</v>
      </c>
      <c r="U26" s="4">
        <f t="shared" si="7"/>
        <v>93375</v>
      </c>
      <c r="V26" s="4">
        <f t="shared" si="8"/>
        <v>163.53</v>
      </c>
      <c r="W26" s="4">
        <v>6000</v>
      </c>
      <c r="X26" s="4">
        <f t="shared" si="60"/>
        <v>99375</v>
      </c>
      <c r="Y26" s="4">
        <f t="shared" si="61"/>
        <v>174.04</v>
      </c>
      <c r="Z26" s="4">
        <v>-10200</v>
      </c>
      <c r="AA26" s="4">
        <f t="shared" si="62"/>
        <v>89175</v>
      </c>
      <c r="AB26" s="4">
        <f t="shared" si="63"/>
        <v>156.18</v>
      </c>
      <c r="AC26" s="4">
        <v>-4900</v>
      </c>
      <c r="AD26" s="4">
        <f t="shared" si="64"/>
        <v>84275</v>
      </c>
      <c r="AE26" s="4">
        <f t="shared" si="65"/>
        <v>147.59</v>
      </c>
      <c r="AF26" s="30">
        <v>3300</v>
      </c>
      <c r="AG26" s="4">
        <f t="shared" si="66"/>
        <v>87575</v>
      </c>
      <c r="AH26" s="4">
        <f t="shared" si="67"/>
        <v>153.37</v>
      </c>
      <c r="AI26" s="30">
        <v>-3800</v>
      </c>
      <c r="AJ26" s="4">
        <f t="shared" si="68"/>
        <v>83775</v>
      </c>
      <c r="AK26" s="4">
        <f t="shared" si="69"/>
        <v>146.72</v>
      </c>
      <c r="AL26" s="4">
        <f>2000</f>
        <v>2000</v>
      </c>
      <c r="AM26" s="4">
        <f t="shared" si="19"/>
        <v>85775</v>
      </c>
      <c r="AN26" s="4">
        <f t="shared" si="20"/>
        <v>150.22</v>
      </c>
      <c r="AO26" s="4">
        <v>-1950</v>
      </c>
      <c r="AP26" s="4">
        <f t="shared" si="21"/>
        <v>83825</v>
      </c>
      <c r="AQ26" s="6">
        <f t="shared" si="0"/>
        <v>146.80683998400002</v>
      </c>
      <c r="AR26" s="4">
        <v>-2625</v>
      </c>
      <c r="AS26" s="4">
        <f t="shared" si="22"/>
        <v>81200</v>
      </c>
      <c r="AT26" s="6">
        <f t="shared" si="23"/>
        <v>142.20954854400003</v>
      </c>
      <c r="AU26" s="4">
        <v>500</v>
      </c>
      <c r="AV26" s="4">
        <f t="shared" si="24"/>
        <v>81700</v>
      </c>
      <c r="AW26" s="6">
        <f t="shared" si="70"/>
        <v>143.08522310399999</v>
      </c>
      <c r="AX26" s="4">
        <v>-4750</v>
      </c>
      <c r="AY26" s="4">
        <f t="shared" si="26"/>
        <v>76950</v>
      </c>
      <c r="AZ26" s="6">
        <f t="shared" si="1"/>
        <v>134.76631478400003</v>
      </c>
      <c r="BA26" s="4">
        <v>0</v>
      </c>
      <c r="BB26" s="4">
        <f t="shared" si="27"/>
        <v>76950</v>
      </c>
      <c r="BC26" s="6">
        <f t="shared" si="28"/>
        <v>134.76631478400003</v>
      </c>
      <c r="BD26" s="4">
        <v>2600</v>
      </c>
      <c r="BE26" s="4">
        <f t="shared" si="29"/>
        <v>79550</v>
      </c>
      <c r="BF26" s="6">
        <f t="shared" si="30"/>
        <v>139.319822496</v>
      </c>
      <c r="BG26" s="4">
        <v>1000</v>
      </c>
      <c r="BH26" s="4">
        <f t="shared" si="71"/>
        <v>80550</v>
      </c>
      <c r="BI26" s="6">
        <f t="shared" si="32"/>
        <v>141.07117161600002</v>
      </c>
      <c r="BJ26" s="4">
        <v>-2150</v>
      </c>
      <c r="BK26" s="4">
        <f t="shared" si="72"/>
        <v>78400</v>
      </c>
      <c r="BL26" s="6">
        <f t="shared" si="34"/>
        <v>137.30577100800002</v>
      </c>
      <c r="BM26" s="4">
        <v>1500</v>
      </c>
      <c r="BN26" s="4">
        <f t="shared" si="73"/>
        <v>79900</v>
      </c>
      <c r="BO26" s="6">
        <f t="shared" si="36"/>
        <v>139.93279468800003</v>
      </c>
      <c r="BP26" s="4">
        <v>5500</v>
      </c>
      <c r="BQ26" s="4">
        <f t="shared" si="74"/>
        <v>85400</v>
      </c>
      <c r="BR26" s="6">
        <f t="shared" si="38"/>
        <v>149.56521484800001</v>
      </c>
    </row>
    <row r="27" spans="1:71" x14ac:dyDescent="0.25">
      <c r="A27" t="s">
        <v>79</v>
      </c>
      <c r="B27" s="4" t="s">
        <v>13</v>
      </c>
      <c r="C27" s="4" t="s">
        <v>14</v>
      </c>
      <c r="D27" s="4" t="s">
        <v>18</v>
      </c>
      <c r="E27" s="4">
        <v>25.4</v>
      </c>
      <c r="F27" s="4"/>
      <c r="G27" s="4">
        <v>3.5</v>
      </c>
      <c r="H27" s="4" t="s">
        <v>23</v>
      </c>
      <c r="I27" s="4" t="str">
        <f t="shared" si="2"/>
        <v>25.4--3.5</v>
      </c>
      <c r="J27" s="5">
        <v>1.8896524499999998</v>
      </c>
      <c r="K27" s="4">
        <v>76125</v>
      </c>
      <c r="L27" s="4">
        <v>7500</v>
      </c>
      <c r="M27" s="4">
        <v>250</v>
      </c>
      <c r="N27" s="4"/>
      <c r="O27" s="4">
        <f t="shared" si="3"/>
        <v>83875</v>
      </c>
      <c r="P27" s="6">
        <f t="shared" si="4"/>
        <v>158.49459924374997</v>
      </c>
      <c r="Q27" s="4">
        <v>5600</v>
      </c>
      <c r="R27" s="4">
        <f t="shared" si="5"/>
        <v>89475</v>
      </c>
      <c r="S27" s="4">
        <f t="shared" si="6"/>
        <v>169.08</v>
      </c>
      <c r="T27" s="4">
        <v>3900</v>
      </c>
      <c r="U27" s="4">
        <f t="shared" si="7"/>
        <v>93375</v>
      </c>
      <c r="V27" s="4">
        <f t="shared" si="8"/>
        <v>176.45</v>
      </c>
      <c r="W27" s="4">
        <v>6000</v>
      </c>
      <c r="X27" s="4">
        <f t="shared" si="60"/>
        <v>99375</v>
      </c>
      <c r="Y27" s="4">
        <f t="shared" si="61"/>
        <v>187.78</v>
      </c>
      <c r="Z27" s="4">
        <v>-10200</v>
      </c>
      <c r="AA27" s="4">
        <f t="shared" si="62"/>
        <v>89175</v>
      </c>
      <c r="AB27" s="4">
        <f t="shared" si="63"/>
        <v>168.51</v>
      </c>
      <c r="AC27" s="4">
        <v>-4900</v>
      </c>
      <c r="AD27" s="4">
        <f t="shared" si="64"/>
        <v>84275</v>
      </c>
      <c r="AE27" s="4">
        <f t="shared" si="65"/>
        <v>159.25</v>
      </c>
      <c r="AF27" s="30">
        <v>3300</v>
      </c>
      <c r="AG27" s="4">
        <f t="shared" si="66"/>
        <v>87575</v>
      </c>
      <c r="AH27" s="4">
        <f t="shared" si="67"/>
        <v>165.49</v>
      </c>
      <c r="AI27" s="30">
        <v>-3800</v>
      </c>
      <c r="AJ27" s="4">
        <f t="shared" si="68"/>
        <v>83775</v>
      </c>
      <c r="AK27" s="4">
        <f t="shared" si="69"/>
        <v>158.31</v>
      </c>
      <c r="AL27" s="4">
        <f>2000</f>
        <v>2000</v>
      </c>
      <c r="AM27" s="4">
        <f t="shared" si="19"/>
        <v>85775</v>
      </c>
      <c r="AN27" s="4">
        <f t="shared" si="20"/>
        <v>162.08000000000001</v>
      </c>
      <c r="AO27" s="4">
        <v>-1950</v>
      </c>
      <c r="AP27" s="4">
        <f t="shared" si="21"/>
        <v>83825</v>
      </c>
      <c r="AQ27" s="6">
        <f t="shared" si="0"/>
        <v>158.40011662124999</v>
      </c>
      <c r="AR27" s="4">
        <v>-2625</v>
      </c>
      <c r="AS27" s="4">
        <f t="shared" si="22"/>
        <v>81200</v>
      </c>
      <c r="AT27" s="6">
        <f t="shared" si="23"/>
        <v>153.43977894</v>
      </c>
      <c r="AU27" s="4">
        <v>500</v>
      </c>
      <c r="AV27" s="4">
        <f t="shared" si="24"/>
        <v>81700</v>
      </c>
      <c r="AW27" s="6">
        <f t="shared" si="70"/>
        <v>154.38460516499998</v>
      </c>
      <c r="AX27" s="4">
        <v>-4750</v>
      </c>
      <c r="AY27" s="4">
        <f t="shared" si="26"/>
        <v>76950</v>
      </c>
      <c r="AZ27" s="6">
        <f t="shared" si="1"/>
        <v>145.4087560275</v>
      </c>
      <c r="BA27" s="4">
        <v>0</v>
      </c>
      <c r="BB27" s="4">
        <f t="shared" si="27"/>
        <v>76950</v>
      </c>
      <c r="BC27" s="6">
        <f t="shared" si="28"/>
        <v>145.4087560275</v>
      </c>
      <c r="BD27" s="4">
        <v>2600</v>
      </c>
      <c r="BE27" s="4">
        <f t="shared" si="29"/>
        <v>79550</v>
      </c>
      <c r="BF27" s="6">
        <f t="shared" si="30"/>
        <v>150.32185239749998</v>
      </c>
      <c r="BG27" s="4">
        <v>1000</v>
      </c>
      <c r="BH27" s="4">
        <f t="shared" si="71"/>
        <v>80550</v>
      </c>
      <c r="BI27" s="6">
        <f t="shared" si="32"/>
        <v>152.21150484749998</v>
      </c>
      <c r="BJ27" s="4">
        <v>-2150</v>
      </c>
      <c r="BK27" s="4">
        <f t="shared" si="72"/>
        <v>78400</v>
      </c>
      <c r="BL27" s="6">
        <f t="shared" si="34"/>
        <v>148.14875207999998</v>
      </c>
      <c r="BM27" s="4">
        <v>1500</v>
      </c>
      <c r="BN27" s="4">
        <f t="shared" si="73"/>
        <v>79900</v>
      </c>
      <c r="BO27" s="6">
        <f t="shared" si="36"/>
        <v>150.98323075499999</v>
      </c>
      <c r="BP27" s="4">
        <v>5500</v>
      </c>
      <c r="BQ27" s="4">
        <f t="shared" si="74"/>
        <v>85400</v>
      </c>
      <c r="BR27" s="6">
        <f t="shared" si="38"/>
        <v>161.37631923000001</v>
      </c>
    </row>
    <row r="28" spans="1:71" x14ac:dyDescent="0.25">
      <c r="A28" t="s">
        <v>80</v>
      </c>
      <c r="B28" s="4" t="s">
        <v>13</v>
      </c>
      <c r="C28" s="4" t="s">
        <v>14</v>
      </c>
      <c r="D28" s="4" t="s">
        <v>18</v>
      </c>
      <c r="E28" s="4">
        <v>28.6</v>
      </c>
      <c r="F28" s="4"/>
      <c r="G28" s="4">
        <v>2.65</v>
      </c>
      <c r="H28" s="4" t="s">
        <v>23</v>
      </c>
      <c r="I28" s="4" t="str">
        <f t="shared" si="2"/>
        <v>28.6--2.65</v>
      </c>
      <c r="J28" s="5">
        <v>1.6953251775</v>
      </c>
      <c r="K28" s="4">
        <v>76125</v>
      </c>
      <c r="L28" s="4">
        <v>7500</v>
      </c>
      <c r="M28" s="4">
        <v>250</v>
      </c>
      <c r="N28" s="4"/>
      <c r="O28" s="4">
        <f t="shared" si="3"/>
        <v>83875</v>
      </c>
      <c r="P28" s="6">
        <f t="shared" si="4"/>
        <v>142.19539926281251</v>
      </c>
      <c r="Q28" s="4">
        <v>5600</v>
      </c>
      <c r="R28" s="4">
        <f t="shared" si="5"/>
        <v>89475</v>
      </c>
      <c r="S28" s="4">
        <f t="shared" si="6"/>
        <v>151.69</v>
      </c>
      <c r="T28" s="4">
        <v>3900</v>
      </c>
      <c r="U28" s="4">
        <f t="shared" si="7"/>
        <v>93375</v>
      </c>
      <c r="V28" s="4">
        <f t="shared" si="8"/>
        <v>158.30000000000001</v>
      </c>
      <c r="W28" s="4">
        <v>6000</v>
      </c>
      <c r="X28" s="4">
        <f t="shared" si="60"/>
        <v>99375</v>
      </c>
      <c r="Y28" s="4">
        <f t="shared" si="61"/>
        <v>168.47</v>
      </c>
      <c r="Z28" s="4">
        <v>-10200</v>
      </c>
      <c r="AA28" s="4">
        <f t="shared" si="62"/>
        <v>89175</v>
      </c>
      <c r="AB28" s="4">
        <f t="shared" si="63"/>
        <v>151.18</v>
      </c>
      <c r="AC28" s="4">
        <v>-4900</v>
      </c>
      <c r="AD28" s="4">
        <f t="shared" si="64"/>
        <v>84275</v>
      </c>
      <c r="AE28" s="4">
        <f t="shared" si="65"/>
        <v>142.87</v>
      </c>
      <c r="AF28" s="30">
        <v>3300</v>
      </c>
      <c r="AG28" s="4">
        <f t="shared" si="66"/>
        <v>87575</v>
      </c>
      <c r="AH28" s="4">
        <f t="shared" si="67"/>
        <v>148.47</v>
      </c>
      <c r="AI28" s="30">
        <v>-3800</v>
      </c>
      <c r="AJ28" s="4">
        <f t="shared" si="68"/>
        <v>83775</v>
      </c>
      <c r="AK28" s="4">
        <f t="shared" si="69"/>
        <v>142.03</v>
      </c>
      <c r="AL28" s="4">
        <f>2000</f>
        <v>2000</v>
      </c>
      <c r="AM28" s="4">
        <f t="shared" si="19"/>
        <v>85775</v>
      </c>
      <c r="AN28" s="4">
        <f t="shared" si="20"/>
        <v>145.41999999999999</v>
      </c>
      <c r="AO28" s="4">
        <v>-1950</v>
      </c>
      <c r="AP28" s="4">
        <f t="shared" si="21"/>
        <v>83825</v>
      </c>
      <c r="AQ28" s="6">
        <f t="shared" si="0"/>
        <v>142.11063300393749</v>
      </c>
      <c r="AR28" s="4">
        <v>-2625</v>
      </c>
      <c r="AS28" s="4">
        <f t="shared" si="22"/>
        <v>81200</v>
      </c>
      <c r="AT28" s="6">
        <f t="shared" si="23"/>
        <v>137.66040441300001</v>
      </c>
      <c r="AU28" s="4">
        <v>500</v>
      </c>
      <c r="AV28" s="4">
        <f t="shared" si="24"/>
        <v>81700</v>
      </c>
      <c r="AW28" s="6">
        <f t="shared" si="70"/>
        <v>138.50806700174999</v>
      </c>
      <c r="AX28" s="4">
        <v>-4750</v>
      </c>
      <c r="AY28" s="4">
        <f t="shared" si="26"/>
        <v>76950</v>
      </c>
      <c r="AZ28" s="6">
        <f t="shared" si="1"/>
        <v>130.45527240862501</v>
      </c>
      <c r="BA28" s="4">
        <v>0</v>
      </c>
      <c r="BB28" s="4">
        <f t="shared" si="27"/>
        <v>76950</v>
      </c>
      <c r="BC28" s="6">
        <f t="shared" si="28"/>
        <v>130.45527240862501</v>
      </c>
      <c r="BD28" s="4">
        <v>2600</v>
      </c>
      <c r="BE28" s="4">
        <f t="shared" si="29"/>
        <v>79550</v>
      </c>
      <c r="BF28" s="6">
        <f t="shared" si="30"/>
        <v>134.863117870125</v>
      </c>
      <c r="BG28" s="4">
        <v>1000</v>
      </c>
      <c r="BH28" s="4">
        <f t="shared" si="71"/>
        <v>80550</v>
      </c>
      <c r="BI28" s="6">
        <f t="shared" si="32"/>
        <v>136.55844304762502</v>
      </c>
      <c r="BJ28" s="4">
        <v>-2150</v>
      </c>
      <c r="BK28" s="4">
        <f t="shared" si="72"/>
        <v>78400</v>
      </c>
      <c r="BL28" s="6">
        <f t="shared" si="34"/>
        <v>132.91349391599999</v>
      </c>
      <c r="BM28" s="4">
        <v>1500</v>
      </c>
      <c r="BN28" s="4">
        <f t="shared" si="73"/>
        <v>79900</v>
      </c>
      <c r="BO28" s="6">
        <f t="shared" si="36"/>
        <v>135.45648168225</v>
      </c>
      <c r="BP28" s="4">
        <v>5500</v>
      </c>
      <c r="BQ28" s="4">
        <f t="shared" si="74"/>
        <v>85400</v>
      </c>
      <c r="BR28" s="6">
        <f t="shared" si="38"/>
        <v>144.78077015849999</v>
      </c>
    </row>
    <row r="29" spans="1:71" x14ac:dyDescent="0.25">
      <c r="A29" t="s">
        <v>81</v>
      </c>
      <c r="B29" s="4" t="s">
        <v>13</v>
      </c>
      <c r="C29" s="4" t="s">
        <v>14</v>
      </c>
      <c r="D29" s="4" t="s">
        <v>18</v>
      </c>
      <c r="E29" s="4">
        <v>29.28</v>
      </c>
      <c r="F29" s="4"/>
      <c r="G29" s="4">
        <v>3.4</v>
      </c>
      <c r="H29" s="4" t="s">
        <v>23</v>
      </c>
      <c r="I29" s="4" t="str">
        <f t="shared" si="2"/>
        <v>29.28--3.4</v>
      </c>
      <c r="J29" s="5">
        <v>2.1692667760000002</v>
      </c>
      <c r="K29" s="4">
        <v>76125</v>
      </c>
      <c r="L29" s="4">
        <v>7500</v>
      </c>
      <c r="M29" s="4">
        <v>250</v>
      </c>
      <c r="N29" s="4"/>
      <c r="O29" s="4">
        <f t="shared" si="3"/>
        <v>83875</v>
      </c>
      <c r="P29" s="6">
        <f t="shared" si="4"/>
        <v>181.94725083700004</v>
      </c>
      <c r="Q29" s="4">
        <v>5600</v>
      </c>
      <c r="R29" s="4">
        <f t="shared" si="5"/>
        <v>89475</v>
      </c>
      <c r="S29" s="4">
        <f t="shared" si="6"/>
        <v>194.1</v>
      </c>
      <c r="T29" s="4">
        <v>3900</v>
      </c>
      <c r="U29" s="4">
        <f t="shared" si="7"/>
        <v>93375</v>
      </c>
      <c r="V29" s="4">
        <f t="shared" si="8"/>
        <v>202.56</v>
      </c>
      <c r="W29" s="4">
        <v>6000</v>
      </c>
      <c r="X29" s="4">
        <f t="shared" si="60"/>
        <v>99375</v>
      </c>
      <c r="Y29" s="4">
        <f t="shared" si="61"/>
        <v>215.57</v>
      </c>
      <c r="Z29" s="4">
        <v>-10200</v>
      </c>
      <c r="AA29" s="4">
        <f t="shared" si="62"/>
        <v>89175</v>
      </c>
      <c r="AB29" s="4">
        <f t="shared" si="63"/>
        <v>193.44</v>
      </c>
      <c r="AC29" s="4">
        <v>-4900</v>
      </c>
      <c r="AD29" s="4">
        <f t="shared" si="64"/>
        <v>84275</v>
      </c>
      <c r="AE29" s="4">
        <f t="shared" si="65"/>
        <v>182.81</v>
      </c>
      <c r="AF29" s="30">
        <v>3300</v>
      </c>
      <c r="AG29" s="4">
        <f t="shared" si="66"/>
        <v>87575</v>
      </c>
      <c r="AH29" s="4">
        <f t="shared" si="67"/>
        <v>189.97</v>
      </c>
      <c r="AI29" s="30">
        <v>-3800</v>
      </c>
      <c r="AJ29" s="4">
        <f t="shared" si="68"/>
        <v>83775</v>
      </c>
      <c r="AK29" s="4">
        <f t="shared" si="69"/>
        <v>181.73</v>
      </c>
      <c r="AL29" s="4">
        <f>2000</f>
        <v>2000</v>
      </c>
      <c r="AM29" s="4">
        <f t="shared" si="19"/>
        <v>85775</v>
      </c>
      <c r="AN29" s="4">
        <f t="shared" si="20"/>
        <v>186.07</v>
      </c>
      <c r="AO29" s="4">
        <v>-1950</v>
      </c>
      <c r="AP29" s="4">
        <f t="shared" si="21"/>
        <v>83825</v>
      </c>
      <c r="AQ29" s="6">
        <f t="shared" si="0"/>
        <v>181.83878749820002</v>
      </c>
      <c r="AR29" s="4">
        <v>-2625</v>
      </c>
      <c r="AS29" s="4">
        <f t="shared" si="22"/>
        <v>81200</v>
      </c>
      <c r="AT29" s="6">
        <f t="shared" si="23"/>
        <v>176.14446221119999</v>
      </c>
      <c r="AU29" s="4">
        <v>500</v>
      </c>
      <c r="AV29" s="4">
        <f t="shared" si="24"/>
        <v>81700</v>
      </c>
      <c r="AW29" s="6">
        <f t="shared" si="70"/>
        <v>177.22909559920004</v>
      </c>
      <c r="AX29" s="4">
        <v>-4750</v>
      </c>
      <c r="AY29" s="4">
        <f t="shared" si="26"/>
        <v>76950</v>
      </c>
      <c r="AZ29" s="6">
        <f t="shared" si="1"/>
        <v>166.9250784132</v>
      </c>
      <c r="BA29" s="4">
        <v>0</v>
      </c>
      <c r="BB29" s="4">
        <f t="shared" si="27"/>
        <v>76950</v>
      </c>
      <c r="BC29" s="6">
        <f t="shared" si="28"/>
        <v>166.9250784132</v>
      </c>
      <c r="BD29" s="4">
        <v>2600</v>
      </c>
      <c r="BE29" s="4">
        <f t="shared" si="29"/>
        <v>79550</v>
      </c>
      <c r="BF29" s="6">
        <f t="shared" si="30"/>
        <v>172.56517203080003</v>
      </c>
      <c r="BG29" s="4">
        <v>1000</v>
      </c>
      <c r="BH29" s="4">
        <f t="shared" si="71"/>
        <v>80550</v>
      </c>
      <c r="BI29" s="6">
        <f t="shared" si="32"/>
        <v>174.73443880680003</v>
      </c>
      <c r="BJ29" s="4">
        <v>-2150</v>
      </c>
      <c r="BK29" s="4">
        <f t="shared" si="72"/>
        <v>78400</v>
      </c>
      <c r="BL29" s="6">
        <f t="shared" si="34"/>
        <v>170.07051523840002</v>
      </c>
      <c r="BM29" s="4">
        <v>1500</v>
      </c>
      <c r="BN29" s="4">
        <f t="shared" si="73"/>
        <v>79900</v>
      </c>
      <c r="BO29" s="6">
        <f t="shared" si="36"/>
        <v>173.32441540240001</v>
      </c>
      <c r="BP29" s="4">
        <v>5500</v>
      </c>
      <c r="BQ29" s="4">
        <f t="shared" si="74"/>
        <v>85400</v>
      </c>
      <c r="BR29" s="6">
        <f t="shared" si="38"/>
        <v>185.25538267040002</v>
      </c>
    </row>
    <row r="30" spans="1:71" x14ac:dyDescent="0.25">
      <c r="A30" t="s">
        <v>82</v>
      </c>
      <c r="B30" s="4" t="s">
        <v>13</v>
      </c>
      <c r="C30" s="4" t="s">
        <v>14</v>
      </c>
      <c r="D30" s="4" t="s">
        <v>18</v>
      </c>
      <c r="E30" s="4">
        <v>29.4</v>
      </c>
      <c r="F30" s="4"/>
      <c r="G30" s="4">
        <v>4.5</v>
      </c>
      <c r="H30" s="4" t="s">
        <v>23</v>
      </c>
      <c r="I30" s="4" t="str">
        <f t="shared" si="2"/>
        <v>29.4--4.5</v>
      </c>
      <c r="J30" s="5">
        <v>2.76236865</v>
      </c>
      <c r="K30" s="4">
        <v>76125</v>
      </c>
      <c r="L30" s="4">
        <v>7500</v>
      </c>
      <c r="M30" s="4">
        <v>250</v>
      </c>
      <c r="N30" s="4">
        <v>3500</v>
      </c>
      <c r="O30" s="4">
        <f t="shared" si="3"/>
        <v>87375</v>
      </c>
      <c r="P30" s="6">
        <f t="shared" si="4"/>
        <v>241.36196079375</v>
      </c>
      <c r="Q30" s="4">
        <v>5600</v>
      </c>
      <c r="R30" s="4">
        <f t="shared" si="5"/>
        <v>92975</v>
      </c>
      <c r="S30" s="4">
        <f t="shared" si="6"/>
        <v>256.83</v>
      </c>
      <c r="T30" s="4">
        <v>3900</v>
      </c>
      <c r="U30" s="4">
        <f t="shared" si="7"/>
        <v>96875</v>
      </c>
      <c r="V30" s="4">
        <f t="shared" si="8"/>
        <v>267.60000000000002</v>
      </c>
      <c r="W30" s="4">
        <v>6000</v>
      </c>
      <c r="X30" s="4">
        <f t="shared" si="60"/>
        <v>102875</v>
      </c>
      <c r="Y30" s="4">
        <f t="shared" si="61"/>
        <v>284.18</v>
      </c>
      <c r="Z30" s="4">
        <v>-10200</v>
      </c>
      <c r="AA30" s="4">
        <f t="shared" si="62"/>
        <v>92675</v>
      </c>
      <c r="AB30" s="4">
        <f t="shared" si="63"/>
        <v>256</v>
      </c>
      <c r="AC30" s="4">
        <v>-4900</v>
      </c>
      <c r="AD30" s="4">
        <f t="shared" si="64"/>
        <v>87775</v>
      </c>
      <c r="AE30" s="4">
        <f t="shared" si="65"/>
        <v>242.47</v>
      </c>
      <c r="AF30" s="30">
        <v>3300</v>
      </c>
      <c r="AG30" s="4">
        <f t="shared" si="66"/>
        <v>91075</v>
      </c>
      <c r="AH30" s="4">
        <f t="shared" si="67"/>
        <v>251.58</v>
      </c>
      <c r="AI30" s="30">
        <v>-3800</v>
      </c>
      <c r="AJ30" s="4">
        <f t="shared" si="68"/>
        <v>87275</v>
      </c>
      <c r="AK30" s="4">
        <f t="shared" si="69"/>
        <v>241.09</v>
      </c>
      <c r="AL30" s="4">
        <f>2000</f>
        <v>2000</v>
      </c>
      <c r="AM30" s="4">
        <f t="shared" si="19"/>
        <v>89275</v>
      </c>
      <c r="AN30" s="4">
        <f t="shared" si="20"/>
        <v>246.61</v>
      </c>
      <c r="AO30" s="4">
        <v>-1950</v>
      </c>
      <c r="AP30" s="4">
        <f t="shared" si="21"/>
        <v>87325</v>
      </c>
      <c r="AQ30" s="6">
        <f t="shared" si="0"/>
        <v>241.22384236124998</v>
      </c>
      <c r="AR30" s="4">
        <v>-2625</v>
      </c>
      <c r="AS30" s="4">
        <f t="shared" si="22"/>
        <v>84700</v>
      </c>
      <c r="AT30" s="6">
        <f t="shared" si="23"/>
        <v>233.972624655</v>
      </c>
      <c r="AU30" s="4">
        <v>500</v>
      </c>
      <c r="AV30" s="4">
        <f t="shared" si="24"/>
        <v>85200</v>
      </c>
      <c r="AW30" s="6">
        <f t="shared" si="70"/>
        <v>235.35380898</v>
      </c>
      <c r="AX30" s="4">
        <v>-4750</v>
      </c>
      <c r="AY30" s="4">
        <f t="shared" si="26"/>
        <v>80450</v>
      </c>
      <c r="AZ30" s="6">
        <f t="shared" si="1"/>
        <v>222.23255789249998</v>
      </c>
      <c r="BA30" s="4">
        <v>0</v>
      </c>
      <c r="BB30" s="4">
        <f t="shared" si="27"/>
        <v>80450</v>
      </c>
      <c r="BC30" s="6">
        <f t="shared" si="28"/>
        <v>222.23255789249998</v>
      </c>
      <c r="BD30" s="4">
        <v>2600</v>
      </c>
      <c r="BE30" s="4">
        <f t="shared" si="29"/>
        <v>83050</v>
      </c>
      <c r="BF30" s="6">
        <f t="shared" si="30"/>
        <v>229.41471638249999</v>
      </c>
      <c r="BG30" s="4">
        <v>1000</v>
      </c>
      <c r="BH30" s="4">
        <f t="shared" si="71"/>
        <v>84050</v>
      </c>
      <c r="BI30" s="6">
        <f t="shared" si="32"/>
        <v>232.1770850325</v>
      </c>
      <c r="BJ30" s="4">
        <v>-2150</v>
      </c>
      <c r="BK30" s="4">
        <f t="shared" si="72"/>
        <v>81900</v>
      </c>
      <c r="BL30" s="6">
        <f t="shared" si="34"/>
        <v>226.237992435</v>
      </c>
      <c r="BM30" s="4">
        <v>1500</v>
      </c>
      <c r="BN30" s="4">
        <f t="shared" si="73"/>
        <v>83400</v>
      </c>
      <c r="BO30" s="6">
        <f t="shared" si="36"/>
        <v>230.38154541</v>
      </c>
      <c r="BP30" s="4">
        <v>5500</v>
      </c>
      <c r="BQ30" s="4">
        <f t="shared" si="74"/>
        <v>88900</v>
      </c>
      <c r="BR30" s="6">
        <f t="shared" si="38"/>
        <v>245.574572985</v>
      </c>
      <c r="BS30">
        <f>BK30-BK28</f>
        <v>3500</v>
      </c>
    </row>
    <row r="31" spans="1:71" x14ac:dyDescent="0.25">
      <c r="A31" t="s">
        <v>83</v>
      </c>
      <c r="B31" s="4" t="s">
        <v>13</v>
      </c>
      <c r="C31" s="4" t="s">
        <v>14</v>
      </c>
      <c r="D31" s="4" t="s">
        <v>18</v>
      </c>
      <c r="E31" s="4">
        <v>30</v>
      </c>
      <c r="F31" s="4"/>
      <c r="G31" s="4">
        <v>2.25</v>
      </c>
      <c r="H31" s="4" t="s">
        <v>23</v>
      </c>
      <c r="I31" s="4" t="str">
        <f t="shared" si="2"/>
        <v>30--2.25</v>
      </c>
      <c r="J31" s="5">
        <v>1.5392716875000001</v>
      </c>
      <c r="K31" s="4">
        <v>76125</v>
      </c>
      <c r="L31" s="4">
        <v>7500</v>
      </c>
      <c r="M31" s="4">
        <v>250</v>
      </c>
      <c r="N31" s="4"/>
      <c r="O31" s="4">
        <f t="shared" si="3"/>
        <v>83875</v>
      </c>
      <c r="P31" s="6">
        <f t="shared" si="4"/>
        <v>129.10641278906252</v>
      </c>
      <c r="Q31" s="4">
        <v>5600</v>
      </c>
      <c r="R31" s="4">
        <f t="shared" si="5"/>
        <v>89475</v>
      </c>
      <c r="S31" s="4">
        <f t="shared" si="6"/>
        <v>137.72999999999999</v>
      </c>
      <c r="T31" s="4">
        <v>3900</v>
      </c>
      <c r="U31" s="4">
        <f t="shared" si="7"/>
        <v>93375</v>
      </c>
      <c r="V31" s="4">
        <f t="shared" si="8"/>
        <v>143.72999999999999</v>
      </c>
      <c r="W31" s="4">
        <v>6000</v>
      </c>
      <c r="X31" s="4">
        <f t="shared" si="60"/>
        <v>99375</v>
      </c>
      <c r="Y31" s="4">
        <f t="shared" si="61"/>
        <v>152.97</v>
      </c>
      <c r="Z31" s="4">
        <v>-10200</v>
      </c>
      <c r="AA31" s="4">
        <f t="shared" si="62"/>
        <v>89175</v>
      </c>
      <c r="AB31" s="4">
        <f t="shared" si="63"/>
        <v>137.26</v>
      </c>
      <c r="AC31" s="4">
        <v>-4900</v>
      </c>
      <c r="AD31" s="4">
        <f t="shared" si="64"/>
        <v>84275</v>
      </c>
      <c r="AE31" s="4">
        <f t="shared" si="65"/>
        <v>129.72</v>
      </c>
      <c r="AF31" s="30">
        <v>3300</v>
      </c>
      <c r="AG31" s="4">
        <f t="shared" si="66"/>
        <v>87575</v>
      </c>
      <c r="AH31" s="4">
        <f t="shared" si="67"/>
        <v>134.80000000000001</v>
      </c>
      <c r="AI31" s="30">
        <v>-3800</v>
      </c>
      <c r="AJ31" s="4">
        <f t="shared" si="68"/>
        <v>83775</v>
      </c>
      <c r="AK31" s="4">
        <f t="shared" si="69"/>
        <v>128.94999999999999</v>
      </c>
      <c r="AL31" s="4">
        <f>2000</f>
        <v>2000</v>
      </c>
      <c r="AM31" s="4">
        <f t="shared" si="19"/>
        <v>85775</v>
      </c>
      <c r="AN31" s="4">
        <f t="shared" si="20"/>
        <v>132.03</v>
      </c>
      <c r="AO31" s="4">
        <v>-1950</v>
      </c>
      <c r="AP31" s="4">
        <f t="shared" si="21"/>
        <v>83825</v>
      </c>
      <c r="AQ31" s="6">
        <f t="shared" si="0"/>
        <v>129.02944920468752</v>
      </c>
      <c r="AR31" s="4">
        <v>-2625</v>
      </c>
      <c r="AS31" s="4">
        <f t="shared" si="22"/>
        <v>81200</v>
      </c>
      <c r="AT31" s="6">
        <f t="shared" si="23"/>
        <v>124.98886102500001</v>
      </c>
      <c r="AU31" s="4">
        <v>500</v>
      </c>
      <c r="AV31" s="4">
        <f t="shared" si="24"/>
        <v>81700</v>
      </c>
      <c r="AW31" s="6">
        <f t="shared" si="70"/>
        <v>125.75849686875</v>
      </c>
      <c r="AX31" s="4">
        <v>-4750</v>
      </c>
      <c r="AY31" s="4">
        <f t="shared" si="26"/>
        <v>76950</v>
      </c>
      <c r="AZ31" s="6">
        <f t="shared" si="1"/>
        <v>118.446956353125</v>
      </c>
      <c r="BA31" s="4">
        <v>0</v>
      </c>
      <c r="BB31" s="4">
        <f t="shared" si="27"/>
        <v>76950</v>
      </c>
      <c r="BC31" s="6">
        <f t="shared" si="28"/>
        <v>118.446956353125</v>
      </c>
      <c r="BD31" s="4">
        <v>2600</v>
      </c>
      <c r="BE31" s="4">
        <f t="shared" si="29"/>
        <v>79550</v>
      </c>
      <c r="BF31" s="6">
        <f t="shared" si="30"/>
        <v>122.44906274062501</v>
      </c>
      <c r="BG31" s="4">
        <v>1000</v>
      </c>
      <c r="BH31" s="4">
        <f t="shared" si="71"/>
        <v>80550</v>
      </c>
      <c r="BI31" s="6">
        <f t="shared" si="32"/>
        <v>123.988334428125</v>
      </c>
      <c r="BJ31" s="4">
        <v>-2150</v>
      </c>
      <c r="BK31" s="4">
        <f t="shared" si="72"/>
        <v>78400</v>
      </c>
      <c r="BL31" s="6">
        <f t="shared" si="34"/>
        <v>120.67890030000001</v>
      </c>
      <c r="BM31" s="4">
        <v>1500</v>
      </c>
      <c r="BN31" s="4">
        <f t="shared" si="73"/>
        <v>79900</v>
      </c>
      <c r="BO31" s="6">
        <f t="shared" si="36"/>
        <v>122.98780783125001</v>
      </c>
      <c r="BP31" s="4">
        <v>5500</v>
      </c>
      <c r="BQ31" s="4">
        <f t="shared" si="74"/>
        <v>85400</v>
      </c>
      <c r="BR31" s="6">
        <f t="shared" si="38"/>
        <v>131.4538021125</v>
      </c>
    </row>
    <row r="32" spans="1:71" x14ac:dyDescent="0.25">
      <c r="A32" t="s">
        <v>84</v>
      </c>
      <c r="B32" s="4" t="s">
        <v>13</v>
      </c>
      <c r="C32" s="4" t="s">
        <v>14</v>
      </c>
      <c r="D32" s="4" t="s">
        <v>18</v>
      </c>
      <c r="E32" s="4">
        <v>30.15</v>
      </c>
      <c r="F32" s="4"/>
      <c r="G32" s="4">
        <v>2.3199999999999998</v>
      </c>
      <c r="H32" s="4" t="s">
        <v>24</v>
      </c>
      <c r="I32" s="4" t="str">
        <f t="shared" si="2"/>
        <v>30.15--2.32</v>
      </c>
      <c r="J32" s="5">
        <v>1.5917357367999998</v>
      </c>
      <c r="K32" s="4">
        <v>80625</v>
      </c>
      <c r="L32" s="4">
        <v>7500</v>
      </c>
      <c r="M32" s="4">
        <v>250</v>
      </c>
      <c r="N32" s="4"/>
      <c r="O32" s="4">
        <f t="shared" si="3"/>
        <v>88375</v>
      </c>
      <c r="P32" s="6">
        <f t="shared" si="4"/>
        <v>140.66964573969997</v>
      </c>
      <c r="Q32" s="4">
        <v>5600</v>
      </c>
      <c r="R32" s="4">
        <f t="shared" si="5"/>
        <v>93975</v>
      </c>
      <c r="S32" s="4">
        <f t="shared" si="6"/>
        <v>149.58000000000001</v>
      </c>
      <c r="T32" s="4">
        <v>3900</v>
      </c>
      <c r="U32" s="4">
        <f t="shared" si="7"/>
        <v>97875</v>
      </c>
      <c r="V32" s="4">
        <f t="shared" si="8"/>
        <v>155.79</v>
      </c>
      <c r="W32" s="4">
        <v>6000</v>
      </c>
      <c r="X32" s="4">
        <f t="shared" si="60"/>
        <v>103875</v>
      </c>
      <c r="Y32" s="4">
        <f t="shared" si="61"/>
        <v>165.34</v>
      </c>
      <c r="Z32" s="4">
        <v>-10200</v>
      </c>
      <c r="AA32" s="4">
        <f t="shared" si="62"/>
        <v>93675</v>
      </c>
      <c r="AB32" s="4">
        <f t="shared" si="63"/>
        <v>149.11000000000001</v>
      </c>
      <c r="AC32" s="4">
        <v>-4900</v>
      </c>
      <c r="AD32" s="4">
        <f t="shared" si="64"/>
        <v>88775</v>
      </c>
      <c r="AE32" s="4">
        <f t="shared" si="65"/>
        <v>141.31</v>
      </c>
      <c r="AF32" s="30">
        <v>3300</v>
      </c>
      <c r="AG32" s="4">
        <f t="shared" si="66"/>
        <v>92075</v>
      </c>
      <c r="AH32" s="4">
        <f t="shared" si="67"/>
        <v>146.56</v>
      </c>
      <c r="AI32" s="30">
        <v>-3800</v>
      </c>
      <c r="AJ32" s="4">
        <f t="shared" si="68"/>
        <v>88275</v>
      </c>
      <c r="AK32" s="4">
        <f t="shared" si="69"/>
        <v>140.51</v>
      </c>
      <c r="AL32" s="4">
        <f>2000</f>
        <v>2000</v>
      </c>
      <c r="AM32" s="4">
        <f t="shared" si="19"/>
        <v>90275</v>
      </c>
      <c r="AN32" s="4">
        <f t="shared" si="20"/>
        <v>143.69</v>
      </c>
      <c r="AO32" s="4">
        <v>-1950</v>
      </c>
      <c r="AP32" s="4">
        <f t="shared" si="21"/>
        <v>88325</v>
      </c>
      <c r="AQ32" s="6">
        <f t="shared" si="0"/>
        <v>140.59005895285998</v>
      </c>
      <c r="AR32" s="4">
        <v>-2625</v>
      </c>
      <c r="AS32" s="4">
        <f t="shared" si="22"/>
        <v>85700</v>
      </c>
      <c r="AT32" s="6">
        <f t="shared" si="23"/>
        <v>136.41175264375997</v>
      </c>
      <c r="AU32" s="4">
        <v>500</v>
      </c>
      <c r="AV32" s="4">
        <f t="shared" si="24"/>
        <v>86200</v>
      </c>
      <c r="AW32" s="6">
        <f t="shared" si="70"/>
        <v>137.20762051215999</v>
      </c>
      <c r="AX32" s="4">
        <v>-4750</v>
      </c>
      <c r="AY32" s="4">
        <f t="shared" si="26"/>
        <v>81450</v>
      </c>
      <c r="AZ32" s="6">
        <f t="shared" si="1"/>
        <v>129.64687576235997</v>
      </c>
      <c r="BA32" s="4">
        <v>0</v>
      </c>
      <c r="BB32" s="4">
        <f t="shared" si="27"/>
        <v>81450</v>
      </c>
      <c r="BC32" s="6">
        <f t="shared" si="28"/>
        <v>129.64687576235997</v>
      </c>
      <c r="BD32" s="4">
        <v>2600</v>
      </c>
      <c r="BE32" s="4">
        <f t="shared" si="29"/>
        <v>84050</v>
      </c>
      <c r="BF32" s="6">
        <f t="shared" si="30"/>
        <v>133.78538867803996</v>
      </c>
      <c r="BG32" s="4">
        <v>1000</v>
      </c>
      <c r="BH32" s="4">
        <f t="shared" si="71"/>
        <v>85050</v>
      </c>
      <c r="BI32" s="6">
        <f t="shared" si="32"/>
        <v>135.37712441483998</v>
      </c>
      <c r="BJ32" s="4">
        <v>-2150</v>
      </c>
      <c r="BK32" s="4">
        <f t="shared" si="72"/>
        <v>82900</v>
      </c>
      <c r="BL32" s="6">
        <f t="shared" si="34"/>
        <v>131.95489258071999</v>
      </c>
      <c r="BM32" s="4">
        <v>1500</v>
      </c>
      <c r="BN32" s="4">
        <f t="shared" si="73"/>
        <v>84400</v>
      </c>
      <c r="BO32" s="6">
        <f t="shared" si="36"/>
        <v>134.34249618592</v>
      </c>
      <c r="BP32" s="4">
        <v>5500</v>
      </c>
      <c r="BQ32" s="4">
        <f t="shared" si="74"/>
        <v>89900</v>
      </c>
      <c r="BR32" s="6">
        <f t="shared" si="38"/>
        <v>143.09704273832</v>
      </c>
    </row>
    <row r="33" spans="1:71" x14ac:dyDescent="0.25">
      <c r="A33" t="s">
        <v>85</v>
      </c>
      <c r="B33" s="4" t="s">
        <v>13</v>
      </c>
      <c r="C33" s="4" t="s">
        <v>14</v>
      </c>
      <c r="D33" s="4" t="s">
        <v>18</v>
      </c>
      <c r="E33" s="4">
        <v>31.75</v>
      </c>
      <c r="F33" s="4"/>
      <c r="G33" s="4">
        <v>3.375</v>
      </c>
      <c r="H33" s="4" t="s">
        <v>23</v>
      </c>
      <c r="I33" s="4" t="str">
        <f t="shared" si="2"/>
        <v>31.75--3.375</v>
      </c>
      <c r="J33" s="5">
        <v>2.3609099531250002</v>
      </c>
      <c r="K33" s="4">
        <v>76125</v>
      </c>
      <c r="L33" s="4">
        <v>7500</v>
      </c>
      <c r="M33" s="4">
        <v>250</v>
      </c>
      <c r="N33" s="4"/>
      <c r="O33" s="4">
        <f t="shared" si="3"/>
        <v>83875</v>
      </c>
      <c r="P33" s="6">
        <f t="shared" si="4"/>
        <v>198.02132231835938</v>
      </c>
      <c r="Q33" s="4">
        <v>5600</v>
      </c>
      <c r="R33" s="4">
        <f t="shared" si="5"/>
        <v>89475</v>
      </c>
      <c r="S33" s="4">
        <f t="shared" si="6"/>
        <v>211.24</v>
      </c>
      <c r="T33" s="4">
        <v>3900</v>
      </c>
      <c r="U33" s="4">
        <f t="shared" si="7"/>
        <v>93375</v>
      </c>
      <c r="V33" s="4">
        <f t="shared" si="8"/>
        <v>220.45</v>
      </c>
      <c r="W33" s="4">
        <v>6000</v>
      </c>
      <c r="X33" s="4">
        <f t="shared" si="60"/>
        <v>99375</v>
      </c>
      <c r="Y33" s="4">
        <f t="shared" si="61"/>
        <v>234.62</v>
      </c>
      <c r="Z33" s="4">
        <v>-10200</v>
      </c>
      <c r="AA33" s="4">
        <f t="shared" si="62"/>
        <v>89175</v>
      </c>
      <c r="AB33" s="4">
        <f t="shared" si="63"/>
        <v>210.53</v>
      </c>
      <c r="AC33" s="4">
        <v>-4900</v>
      </c>
      <c r="AD33" s="4">
        <f t="shared" si="64"/>
        <v>84275</v>
      </c>
      <c r="AE33" s="4">
        <f t="shared" si="65"/>
        <v>198.97</v>
      </c>
      <c r="AF33" s="30">
        <v>3300</v>
      </c>
      <c r="AG33" s="4">
        <f t="shared" si="66"/>
        <v>87575</v>
      </c>
      <c r="AH33" s="4">
        <f t="shared" si="67"/>
        <v>206.76</v>
      </c>
      <c r="AI33" s="30">
        <v>-3800</v>
      </c>
      <c r="AJ33" s="4">
        <f t="shared" si="68"/>
        <v>83775</v>
      </c>
      <c r="AK33" s="4">
        <f t="shared" si="69"/>
        <v>197.79</v>
      </c>
      <c r="AL33" s="4">
        <f>2000</f>
        <v>2000</v>
      </c>
      <c r="AM33" s="4">
        <f t="shared" si="19"/>
        <v>85775</v>
      </c>
      <c r="AN33" s="4">
        <f t="shared" si="20"/>
        <v>202.51</v>
      </c>
      <c r="AO33" s="4">
        <v>-1950</v>
      </c>
      <c r="AP33" s="4">
        <f t="shared" si="21"/>
        <v>83825</v>
      </c>
      <c r="AQ33" s="6">
        <f t="shared" si="0"/>
        <v>197.90327682070316</v>
      </c>
      <c r="AR33" s="4">
        <v>-2625</v>
      </c>
      <c r="AS33" s="4">
        <f t="shared" si="22"/>
        <v>81200</v>
      </c>
      <c r="AT33" s="6">
        <f t="shared" si="23"/>
        <v>191.70588819375001</v>
      </c>
      <c r="AU33" s="4">
        <v>500</v>
      </c>
      <c r="AV33" s="4">
        <f t="shared" si="24"/>
        <v>81700</v>
      </c>
      <c r="AW33" s="6">
        <f t="shared" si="70"/>
        <v>192.88634317031253</v>
      </c>
      <c r="AX33" s="4">
        <v>-4750</v>
      </c>
      <c r="AY33" s="4">
        <f t="shared" si="26"/>
        <v>76950</v>
      </c>
      <c r="AZ33" s="6">
        <f t="shared" si="1"/>
        <v>181.67202089296876</v>
      </c>
      <c r="BA33" s="4">
        <v>0</v>
      </c>
      <c r="BB33" s="4">
        <f t="shared" si="27"/>
        <v>76950</v>
      </c>
      <c r="BC33" s="6">
        <f t="shared" si="28"/>
        <v>181.67202089296876</v>
      </c>
      <c r="BD33" s="4">
        <v>2600</v>
      </c>
      <c r="BE33" s="4">
        <f t="shared" si="29"/>
        <v>79550</v>
      </c>
      <c r="BF33" s="6">
        <f t="shared" si="30"/>
        <v>187.81038677109376</v>
      </c>
      <c r="BG33" s="4">
        <v>1000</v>
      </c>
      <c r="BH33" s="4">
        <f t="shared" si="71"/>
        <v>80550</v>
      </c>
      <c r="BI33" s="6">
        <f t="shared" si="32"/>
        <v>190.17129672421876</v>
      </c>
      <c r="BJ33" s="4">
        <v>-2150</v>
      </c>
      <c r="BK33" s="4">
        <f t="shared" si="72"/>
        <v>78400</v>
      </c>
      <c r="BL33" s="6">
        <f t="shared" si="34"/>
        <v>185.09534032500002</v>
      </c>
      <c r="BM33" s="4">
        <v>1500</v>
      </c>
      <c r="BN33" s="4">
        <f t="shared" si="73"/>
        <v>79900</v>
      </c>
      <c r="BO33" s="6">
        <f t="shared" si="36"/>
        <v>188.63670525468751</v>
      </c>
      <c r="BP33" s="4">
        <v>5500</v>
      </c>
      <c r="BQ33" s="4">
        <f t="shared" si="74"/>
        <v>85400</v>
      </c>
      <c r="BR33" s="6">
        <f t="shared" si="38"/>
        <v>201.62170999687504</v>
      </c>
    </row>
    <row r="34" spans="1:71" x14ac:dyDescent="0.25">
      <c r="A34" t="s">
        <v>86</v>
      </c>
      <c r="B34" s="4" t="s">
        <v>13</v>
      </c>
      <c r="C34" s="4" t="s">
        <v>14</v>
      </c>
      <c r="D34" s="4" t="s">
        <v>18</v>
      </c>
      <c r="E34" s="4">
        <v>33.299999999999997</v>
      </c>
      <c r="F34" s="4"/>
      <c r="G34" s="4">
        <v>2</v>
      </c>
      <c r="H34" s="4" t="s">
        <v>23</v>
      </c>
      <c r="I34" s="4" t="str">
        <f t="shared" si="2"/>
        <v>33.3--2</v>
      </c>
      <c r="J34" s="5">
        <v>1.5432778</v>
      </c>
      <c r="K34" s="4">
        <v>76125</v>
      </c>
      <c r="L34" s="4">
        <v>7500</v>
      </c>
      <c r="M34" s="4">
        <v>250</v>
      </c>
      <c r="N34" s="4"/>
      <c r="O34" s="4">
        <f t="shared" si="3"/>
        <v>83875</v>
      </c>
      <c r="P34" s="6">
        <f t="shared" si="4"/>
        <v>129.44242547499999</v>
      </c>
      <c r="Q34" s="4">
        <v>5600</v>
      </c>
      <c r="R34" s="4">
        <f t="shared" si="5"/>
        <v>89475</v>
      </c>
      <c r="S34" s="4">
        <f t="shared" si="6"/>
        <v>138.08000000000001</v>
      </c>
      <c r="T34" s="4">
        <v>3900</v>
      </c>
      <c r="U34" s="4">
        <f t="shared" si="7"/>
        <v>93375</v>
      </c>
      <c r="V34" s="4">
        <f t="shared" si="8"/>
        <v>144.1</v>
      </c>
      <c r="W34" s="4">
        <v>6000</v>
      </c>
      <c r="X34" s="4">
        <f t="shared" si="60"/>
        <v>99375</v>
      </c>
      <c r="Y34" s="4">
        <f t="shared" si="61"/>
        <v>153.36000000000001</v>
      </c>
      <c r="Z34" s="4">
        <v>-10200</v>
      </c>
      <c r="AA34" s="4">
        <f t="shared" si="62"/>
        <v>89175</v>
      </c>
      <c r="AB34" s="4">
        <f t="shared" si="63"/>
        <v>137.62</v>
      </c>
      <c r="AC34" s="4">
        <v>-4900</v>
      </c>
      <c r="AD34" s="4">
        <f t="shared" si="64"/>
        <v>84275</v>
      </c>
      <c r="AE34" s="4">
        <f t="shared" si="65"/>
        <v>130.06</v>
      </c>
      <c r="AF34" s="30">
        <v>3300</v>
      </c>
      <c r="AG34" s="4">
        <f t="shared" si="66"/>
        <v>87575</v>
      </c>
      <c r="AH34" s="4">
        <f t="shared" si="67"/>
        <v>135.15</v>
      </c>
      <c r="AI34" s="30">
        <v>-3800</v>
      </c>
      <c r="AJ34" s="4">
        <f t="shared" si="68"/>
        <v>83775</v>
      </c>
      <c r="AK34" s="4">
        <f t="shared" si="69"/>
        <v>129.29</v>
      </c>
      <c r="AL34" s="4">
        <f>2000</f>
        <v>2000</v>
      </c>
      <c r="AM34" s="4">
        <f t="shared" si="19"/>
        <v>85775</v>
      </c>
      <c r="AN34" s="4">
        <f t="shared" si="20"/>
        <v>132.37</v>
      </c>
      <c r="AO34" s="4">
        <v>-1950</v>
      </c>
      <c r="AP34" s="4">
        <f t="shared" si="21"/>
        <v>83825</v>
      </c>
      <c r="AQ34" s="6">
        <f t="shared" si="0"/>
        <v>129.36526158500001</v>
      </c>
      <c r="AR34" s="4">
        <v>-2625</v>
      </c>
      <c r="AS34" s="4">
        <f t="shared" si="22"/>
        <v>81200</v>
      </c>
      <c r="AT34" s="6">
        <f t="shared" si="23"/>
        <v>125.31415736</v>
      </c>
      <c r="AU34" s="4">
        <v>500</v>
      </c>
      <c r="AV34" s="4">
        <f t="shared" si="24"/>
        <v>81700</v>
      </c>
      <c r="AW34" s="6">
        <f t="shared" si="70"/>
        <v>126.08579626000001</v>
      </c>
      <c r="AX34" s="4">
        <v>-4750</v>
      </c>
      <c r="AY34" s="4">
        <f t="shared" si="26"/>
        <v>76950</v>
      </c>
      <c r="AZ34" s="6">
        <f t="shared" si="1"/>
        <v>118.75522671</v>
      </c>
      <c r="BA34" s="4">
        <v>0</v>
      </c>
      <c r="BB34" s="4">
        <f t="shared" si="27"/>
        <v>76950</v>
      </c>
      <c r="BC34" s="6">
        <f t="shared" si="28"/>
        <v>118.75522671</v>
      </c>
      <c r="BD34" s="4">
        <v>2600</v>
      </c>
      <c r="BE34" s="4">
        <f t="shared" si="29"/>
        <v>79550</v>
      </c>
      <c r="BF34" s="6">
        <f t="shared" si="30"/>
        <v>122.76774899</v>
      </c>
      <c r="BG34" s="4">
        <v>1000</v>
      </c>
      <c r="BH34" s="4">
        <f t="shared" si="71"/>
        <v>80550</v>
      </c>
      <c r="BI34" s="6">
        <f t="shared" si="32"/>
        <v>124.31102679</v>
      </c>
      <c r="BJ34" s="4">
        <v>-2150</v>
      </c>
      <c r="BK34" s="4">
        <f t="shared" si="72"/>
        <v>78400</v>
      </c>
      <c r="BL34" s="6">
        <f t="shared" si="34"/>
        <v>120.99297952000001</v>
      </c>
      <c r="BM34" s="4">
        <v>1500</v>
      </c>
      <c r="BN34" s="4">
        <f t="shared" si="73"/>
        <v>79900</v>
      </c>
      <c r="BO34" s="6">
        <f t="shared" si="36"/>
        <v>123.30789622</v>
      </c>
      <c r="BP34" s="4">
        <v>5500</v>
      </c>
      <c r="BQ34" s="4">
        <f t="shared" si="74"/>
        <v>85400</v>
      </c>
      <c r="BR34" s="6">
        <f t="shared" si="38"/>
        <v>131.79592412000002</v>
      </c>
    </row>
    <row r="35" spans="1:71" x14ac:dyDescent="0.25">
      <c r="A35" t="s">
        <v>87</v>
      </c>
      <c r="B35" s="4" t="s">
        <v>13</v>
      </c>
      <c r="C35" s="4" t="s">
        <v>14</v>
      </c>
      <c r="D35" s="4" t="s">
        <v>15</v>
      </c>
      <c r="E35" s="4">
        <v>36</v>
      </c>
      <c r="F35" s="4"/>
      <c r="G35" s="4">
        <v>0.91</v>
      </c>
      <c r="H35" s="4" t="s">
        <v>20</v>
      </c>
      <c r="I35" s="4" t="str">
        <f t="shared" si="2"/>
        <v>36--0.91</v>
      </c>
      <c r="J35" s="5">
        <v>0.78721713070000021</v>
      </c>
      <c r="K35" s="4">
        <v>84625</v>
      </c>
      <c r="L35" s="4">
        <v>9800</v>
      </c>
      <c r="M35" s="4">
        <v>250</v>
      </c>
      <c r="N35" s="4"/>
      <c r="O35" s="4">
        <f t="shared" si="3"/>
        <v>94675</v>
      </c>
      <c r="P35" s="6">
        <f t="shared" si="4"/>
        <v>74.529781849022513</v>
      </c>
      <c r="Q35" s="4">
        <v>6000</v>
      </c>
      <c r="R35" s="4">
        <f t="shared" si="5"/>
        <v>100675</v>
      </c>
      <c r="S35" s="4">
        <f t="shared" si="6"/>
        <v>79.25</v>
      </c>
      <c r="T35" s="4">
        <v>4000</v>
      </c>
      <c r="U35" s="4">
        <f t="shared" si="7"/>
        <v>104675</v>
      </c>
      <c r="V35" s="4">
        <f t="shared" si="8"/>
        <v>82.4</v>
      </c>
      <c r="W35" s="4">
        <v>5700</v>
      </c>
      <c r="X35" s="4">
        <f>W35+U35</f>
        <v>110375</v>
      </c>
      <c r="Y35" s="4">
        <f>ROUND(X35*J35/1000,2)</f>
        <v>86.89</v>
      </c>
      <c r="Z35" s="4">
        <v>-11650</v>
      </c>
      <c r="AA35" s="4">
        <f>Z35+X35</f>
        <v>98725</v>
      </c>
      <c r="AB35" s="4">
        <f>ROUND(AA35*J35/1000,2)</f>
        <v>77.72</v>
      </c>
      <c r="AC35" s="4">
        <v>-4200</v>
      </c>
      <c r="AD35" s="4">
        <f>AC35+AA35</f>
        <v>94525</v>
      </c>
      <c r="AE35" s="4">
        <f>ROUND(AD35*J35/1000,2)</f>
        <v>74.41</v>
      </c>
      <c r="AF35" s="30">
        <v>1950</v>
      </c>
      <c r="AG35" s="4">
        <f>AF35+AD35</f>
        <v>96475</v>
      </c>
      <c r="AH35" s="4">
        <f>ROUND(AG35*J35/1000,2)</f>
        <v>75.95</v>
      </c>
      <c r="AI35" s="30">
        <v>-4825</v>
      </c>
      <c r="AJ35" s="4">
        <f>AI35+AG35</f>
        <v>91650</v>
      </c>
      <c r="AK35" s="4">
        <f>ROUND(AJ35*J35/1000,2)</f>
        <v>72.150000000000006</v>
      </c>
      <c r="AL35" s="4">
        <f>1920</f>
        <v>1920</v>
      </c>
      <c r="AM35" s="4">
        <f>AJ35+AL35</f>
        <v>93570</v>
      </c>
      <c r="AN35" s="4">
        <f>ROUND(AM35*J35/1000,2)</f>
        <v>73.66</v>
      </c>
      <c r="AO35" s="4">
        <v>-1200</v>
      </c>
      <c r="AP35" s="4">
        <f t="shared" si="21"/>
        <v>92370</v>
      </c>
      <c r="AQ35" s="6">
        <f t="shared" si="0"/>
        <v>72.715246362759018</v>
      </c>
      <c r="AR35" s="4">
        <v>-2125</v>
      </c>
      <c r="AS35" s="4">
        <f t="shared" si="22"/>
        <v>90245</v>
      </c>
      <c r="AT35" s="6">
        <f t="shared" si="23"/>
        <v>71.042409960021516</v>
      </c>
      <c r="AU35" s="4">
        <v>200</v>
      </c>
      <c r="AV35" s="4">
        <f t="shared" si="24"/>
        <v>90445</v>
      </c>
      <c r="AW35" s="6">
        <f>AV35*J35/1000</f>
        <v>71.199853386161507</v>
      </c>
      <c r="AX35" s="4">
        <v>-4150</v>
      </c>
      <c r="AY35" s="4">
        <f t="shared" si="26"/>
        <v>86295</v>
      </c>
      <c r="AZ35" s="6">
        <f t="shared" si="1"/>
        <v>67.932902293756513</v>
      </c>
      <c r="BA35" s="4">
        <v>0</v>
      </c>
      <c r="BB35" s="4">
        <f t="shared" si="27"/>
        <v>86295</v>
      </c>
      <c r="BC35" s="6">
        <f t="shared" si="28"/>
        <v>67.932902293756513</v>
      </c>
      <c r="BD35" s="4">
        <v>2600</v>
      </c>
      <c r="BE35" s="4">
        <f t="shared" si="29"/>
        <v>88895</v>
      </c>
      <c r="BF35" s="6">
        <f t="shared" si="30"/>
        <v>69.979666833576516</v>
      </c>
      <c r="BG35" s="4">
        <v>900</v>
      </c>
      <c r="BH35" s="4">
        <f>BE35+BG35</f>
        <v>89795</v>
      </c>
      <c r="BI35" s="6">
        <f t="shared" si="32"/>
        <v>70.688162251206521</v>
      </c>
      <c r="BJ35" s="4">
        <v>-2100</v>
      </c>
      <c r="BK35" s="4">
        <f>BH35+BJ35</f>
        <v>87695</v>
      </c>
      <c r="BL35" s="6">
        <f t="shared" si="34"/>
        <v>69.03500627673651</v>
      </c>
      <c r="BM35" s="4">
        <v>1450</v>
      </c>
      <c r="BN35" s="4">
        <f>BK35+BM35</f>
        <v>89145</v>
      </c>
      <c r="BO35" s="6">
        <f t="shared" si="36"/>
        <v>70.17647111625152</v>
      </c>
      <c r="BP35" s="4">
        <v>5150</v>
      </c>
      <c r="BQ35" s="4">
        <f>BN35+BP35</f>
        <v>94295</v>
      </c>
      <c r="BR35" s="6">
        <f t="shared" si="38"/>
        <v>74.230639339356529</v>
      </c>
    </row>
    <row r="36" spans="1:71" x14ac:dyDescent="0.25">
      <c r="A36" t="s">
        <v>88</v>
      </c>
      <c r="B36" s="4" t="s">
        <v>13</v>
      </c>
      <c r="C36" s="4" t="s">
        <v>14</v>
      </c>
      <c r="D36" s="4" t="s">
        <v>18</v>
      </c>
      <c r="E36" s="4">
        <v>39</v>
      </c>
      <c r="F36" s="4"/>
      <c r="G36" s="4">
        <v>2.5</v>
      </c>
      <c r="H36" s="4" t="s">
        <v>23</v>
      </c>
      <c r="I36" s="4" t="str">
        <f t="shared" si="2"/>
        <v>39--2.5</v>
      </c>
      <c r="J36" s="5">
        <v>2.2495862500000001</v>
      </c>
      <c r="K36" s="4">
        <v>76125</v>
      </c>
      <c r="L36" s="4">
        <v>7500</v>
      </c>
      <c r="M36" s="4">
        <v>250</v>
      </c>
      <c r="N36" s="4"/>
      <c r="O36" s="4">
        <f t="shared" si="3"/>
        <v>83875</v>
      </c>
      <c r="P36" s="6">
        <f t="shared" si="4"/>
        <v>188.68404671875001</v>
      </c>
      <c r="Q36" s="4">
        <v>5600</v>
      </c>
      <c r="R36" s="4">
        <f t="shared" si="5"/>
        <v>89475</v>
      </c>
      <c r="S36" s="4">
        <f t="shared" si="6"/>
        <v>201.28</v>
      </c>
      <c r="T36" s="4">
        <v>3900</v>
      </c>
      <c r="U36" s="4">
        <f t="shared" si="7"/>
        <v>93375</v>
      </c>
      <c r="V36" s="4">
        <f t="shared" si="8"/>
        <v>210.06</v>
      </c>
      <c r="W36" s="4">
        <v>6000</v>
      </c>
      <c r="X36" s="4">
        <f t="shared" ref="X36:X38" si="75">W36+U36</f>
        <v>99375</v>
      </c>
      <c r="Y36" s="4">
        <f t="shared" ref="Y36:Y38" si="76">ROUND(X36*J36/1000,2)</f>
        <v>223.55</v>
      </c>
      <c r="Z36" s="4">
        <v>-10200</v>
      </c>
      <c r="AA36" s="4">
        <f t="shared" ref="AA36:AA38" si="77">Z36+X36</f>
        <v>89175</v>
      </c>
      <c r="AB36" s="4">
        <f t="shared" ref="AB36:AB38" si="78">ROUND(AA36*J36/1000,2)</f>
        <v>200.61</v>
      </c>
      <c r="AC36" s="4">
        <v>-4900</v>
      </c>
      <c r="AD36" s="4">
        <f t="shared" ref="AD36:AD38" si="79">AC36+AA36</f>
        <v>84275</v>
      </c>
      <c r="AE36" s="4">
        <f t="shared" ref="AE36:AE38" si="80">ROUND(AD36*J36/1000,2)</f>
        <v>189.58</v>
      </c>
      <c r="AF36" s="30">
        <v>3300</v>
      </c>
      <c r="AG36" s="4">
        <f t="shared" ref="AG36:AG38" si="81">AF36+AD36</f>
        <v>87575</v>
      </c>
      <c r="AH36" s="4">
        <f t="shared" ref="AH36:AH38" si="82">ROUND(AG36*J36/1000,2)</f>
        <v>197.01</v>
      </c>
      <c r="AI36" s="30">
        <v>-3800</v>
      </c>
      <c r="AJ36" s="4">
        <f t="shared" ref="AJ36:AJ38" si="83">AI36+AG36</f>
        <v>83775</v>
      </c>
      <c r="AK36" s="4">
        <f t="shared" ref="AK36:AK38" si="84">ROUND(AJ36*J36/1000,2)</f>
        <v>188.46</v>
      </c>
      <c r="AL36" s="4">
        <f>2000</f>
        <v>2000</v>
      </c>
      <c r="AM36" s="4">
        <f t="shared" si="19"/>
        <v>85775</v>
      </c>
      <c r="AN36" s="4">
        <f t="shared" si="20"/>
        <v>192.96</v>
      </c>
      <c r="AO36" s="4">
        <v>-1950</v>
      </c>
      <c r="AP36" s="4">
        <f t="shared" si="21"/>
        <v>83825</v>
      </c>
      <c r="AQ36" s="6">
        <f t="shared" si="0"/>
        <v>188.57156740625001</v>
      </c>
      <c r="AR36" s="4">
        <v>-2625</v>
      </c>
      <c r="AS36" s="4">
        <f t="shared" si="22"/>
        <v>81200</v>
      </c>
      <c r="AT36" s="6">
        <f t="shared" si="23"/>
        <v>182.6664035</v>
      </c>
      <c r="AU36" s="4">
        <v>500</v>
      </c>
      <c r="AV36" s="4">
        <f t="shared" si="24"/>
        <v>81700</v>
      </c>
      <c r="AW36" s="6">
        <f t="shared" ref="AW36:AW38" si="85">AV36*J36/1000</f>
        <v>183.791196625</v>
      </c>
      <c r="AX36" s="4">
        <v>-4750</v>
      </c>
      <c r="AY36" s="4">
        <f t="shared" si="26"/>
        <v>76950</v>
      </c>
      <c r="AZ36" s="6">
        <f t="shared" si="1"/>
        <v>173.1056619375</v>
      </c>
      <c r="BA36" s="4">
        <v>0</v>
      </c>
      <c r="BB36" s="4">
        <f t="shared" si="27"/>
        <v>76950</v>
      </c>
      <c r="BC36" s="6">
        <f t="shared" si="28"/>
        <v>173.1056619375</v>
      </c>
      <c r="BD36" s="4">
        <v>2600</v>
      </c>
      <c r="BE36" s="4">
        <f t="shared" si="29"/>
        <v>79550</v>
      </c>
      <c r="BF36" s="6">
        <f t="shared" si="30"/>
        <v>178.95458618750001</v>
      </c>
      <c r="BG36" s="4">
        <v>1000</v>
      </c>
      <c r="BH36" s="4">
        <f t="shared" ref="BH36:BH38" si="86">BE36+BG36</f>
        <v>80550</v>
      </c>
      <c r="BI36" s="6">
        <f t="shared" si="32"/>
        <v>181.20417243750001</v>
      </c>
      <c r="BJ36" s="4">
        <v>-2150</v>
      </c>
      <c r="BK36" s="4">
        <f t="shared" ref="BK36:BK38" si="87">BH36+BJ36</f>
        <v>78400</v>
      </c>
      <c r="BL36" s="6">
        <f t="shared" si="34"/>
        <v>176.36756199999999</v>
      </c>
      <c r="BM36" s="4">
        <v>1500</v>
      </c>
      <c r="BN36" s="4">
        <f t="shared" ref="BN36:BN38" si="88">BK36+BM36</f>
        <v>79900</v>
      </c>
      <c r="BO36" s="6">
        <f t="shared" si="36"/>
        <v>179.74194137500001</v>
      </c>
      <c r="BP36" s="4">
        <v>5500</v>
      </c>
      <c r="BQ36" s="4">
        <f t="shared" ref="BQ36:BQ38" si="89">BN36+BP36</f>
        <v>85400</v>
      </c>
      <c r="BR36" s="6">
        <f t="shared" si="38"/>
        <v>192.11466575000003</v>
      </c>
    </row>
    <row r="37" spans="1:71" x14ac:dyDescent="0.25">
      <c r="A37" t="s">
        <v>82</v>
      </c>
      <c r="B37" s="4" t="s">
        <v>54</v>
      </c>
      <c r="C37" s="4" t="s">
        <v>14</v>
      </c>
      <c r="D37" s="4" t="s">
        <v>18</v>
      </c>
      <c r="E37" s="4">
        <v>29.4</v>
      </c>
      <c r="F37" s="4"/>
      <c r="G37" s="4">
        <v>4.5</v>
      </c>
      <c r="H37" s="4" t="s">
        <v>23</v>
      </c>
      <c r="I37" s="4" t="str">
        <f t="shared" si="2"/>
        <v>29.4--4.5</v>
      </c>
      <c r="J37" s="5">
        <v>2.76236865</v>
      </c>
      <c r="K37" s="4">
        <v>76125</v>
      </c>
      <c r="L37" s="4">
        <v>7500</v>
      </c>
      <c r="M37" s="4">
        <v>250</v>
      </c>
      <c r="N37" s="4">
        <v>7500</v>
      </c>
      <c r="O37" s="4">
        <f t="shared" si="3"/>
        <v>91375</v>
      </c>
      <c r="P37" s="6">
        <f t="shared" si="4"/>
        <v>252.41143539375</v>
      </c>
      <c r="Q37" s="4">
        <v>5600</v>
      </c>
      <c r="R37" s="4">
        <f t="shared" si="5"/>
        <v>96975</v>
      </c>
      <c r="S37" s="4">
        <f t="shared" si="6"/>
        <v>267.88</v>
      </c>
      <c r="T37" s="4">
        <v>3900</v>
      </c>
      <c r="U37" s="4">
        <f t="shared" si="7"/>
        <v>100875</v>
      </c>
      <c r="V37" s="4">
        <f t="shared" si="8"/>
        <v>278.64999999999998</v>
      </c>
      <c r="W37" s="4">
        <v>6000</v>
      </c>
      <c r="X37" s="4">
        <f t="shared" si="75"/>
        <v>106875</v>
      </c>
      <c r="Y37" s="4">
        <f t="shared" si="76"/>
        <v>295.23</v>
      </c>
      <c r="Z37" s="4">
        <v>-10200</v>
      </c>
      <c r="AA37" s="4">
        <f t="shared" si="77"/>
        <v>96675</v>
      </c>
      <c r="AB37" s="4">
        <f t="shared" si="78"/>
        <v>267.05</v>
      </c>
      <c r="AC37" s="4">
        <v>-4900</v>
      </c>
      <c r="AD37" s="4">
        <f t="shared" si="79"/>
        <v>91775</v>
      </c>
      <c r="AE37" s="4">
        <f t="shared" si="80"/>
        <v>253.52</v>
      </c>
      <c r="AF37" s="30">
        <v>3300</v>
      </c>
      <c r="AG37" s="4">
        <f t="shared" si="81"/>
        <v>95075</v>
      </c>
      <c r="AH37" s="4">
        <f t="shared" si="82"/>
        <v>262.63</v>
      </c>
      <c r="AI37" s="30">
        <v>-3800</v>
      </c>
      <c r="AJ37" s="4">
        <f t="shared" si="83"/>
        <v>91275</v>
      </c>
      <c r="AK37" s="4">
        <f t="shared" si="84"/>
        <v>252.14</v>
      </c>
      <c r="AL37" s="4">
        <f>2000</f>
        <v>2000</v>
      </c>
      <c r="AM37" s="4">
        <f t="shared" si="19"/>
        <v>93275</v>
      </c>
      <c r="AN37" s="4">
        <f t="shared" si="20"/>
        <v>257.66000000000003</v>
      </c>
      <c r="AO37" s="4">
        <v>-1950</v>
      </c>
      <c r="AP37" s="4">
        <f t="shared" si="21"/>
        <v>91325</v>
      </c>
      <c r="AQ37" s="6">
        <f t="shared" si="0"/>
        <v>252.27331696125</v>
      </c>
      <c r="AR37" s="4">
        <v>-2625</v>
      </c>
      <c r="AS37" s="4">
        <f t="shared" si="22"/>
        <v>88700</v>
      </c>
      <c r="AT37" s="6">
        <f t="shared" si="23"/>
        <v>245.022099255</v>
      </c>
      <c r="AU37" s="4">
        <v>500</v>
      </c>
      <c r="AV37" s="4">
        <f t="shared" si="24"/>
        <v>89200</v>
      </c>
      <c r="AW37" s="6">
        <f t="shared" si="85"/>
        <v>246.40328357999999</v>
      </c>
      <c r="AX37" s="4">
        <v>-4750</v>
      </c>
      <c r="AY37" s="4">
        <f t="shared" si="26"/>
        <v>84450</v>
      </c>
      <c r="AZ37" s="6">
        <f t="shared" si="1"/>
        <v>233.28203249250001</v>
      </c>
      <c r="BA37" s="4">
        <v>0</v>
      </c>
      <c r="BB37" s="4">
        <f t="shared" si="27"/>
        <v>84450</v>
      </c>
      <c r="BC37" s="6">
        <f t="shared" si="28"/>
        <v>233.28203249250001</v>
      </c>
      <c r="BD37" s="4">
        <v>2600</v>
      </c>
      <c r="BE37" s="4">
        <f t="shared" si="29"/>
        <v>87050</v>
      </c>
      <c r="BF37" s="6">
        <f t="shared" si="30"/>
        <v>240.46419098250001</v>
      </c>
      <c r="BG37" s="4">
        <v>1000</v>
      </c>
      <c r="BH37" s="4">
        <f t="shared" si="86"/>
        <v>88050</v>
      </c>
      <c r="BI37" s="6">
        <f t="shared" si="32"/>
        <v>243.2265596325</v>
      </c>
      <c r="BJ37" s="4">
        <v>-2150</v>
      </c>
      <c r="BK37" s="4">
        <f t="shared" si="87"/>
        <v>85900</v>
      </c>
      <c r="BL37" s="6">
        <f t="shared" si="34"/>
        <v>237.28746703500002</v>
      </c>
      <c r="BM37" s="4">
        <v>1500</v>
      </c>
      <c r="BN37" s="4">
        <f t="shared" si="88"/>
        <v>87400</v>
      </c>
      <c r="BO37" s="6">
        <f t="shared" si="36"/>
        <v>241.43102001</v>
      </c>
      <c r="BP37" s="4">
        <v>5500</v>
      </c>
      <c r="BQ37" s="4">
        <f t="shared" si="89"/>
        <v>92900</v>
      </c>
      <c r="BR37" s="6">
        <f t="shared" si="38"/>
        <v>256.62404758499997</v>
      </c>
      <c r="BS37">
        <f>BK37-BK30</f>
        <v>4000</v>
      </c>
    </row>
    <row r="38" spans="1:71" s="28" customFormat="1" x14ac:dyDescent="0.25">
      <c r="A38" s="15"/>
      <c r="B38" s="4" t="s">
        <v>13</v>
      </c>
      <c r="C38" s="4" t="s">
        <v>14</v>
      </c>
      <c r="D38" s="4" t="s">
        <v>18</v>
      </c>
      <c r="E38" s="4">
        <v>39</v>
      </c>
      <c r="F38" s="4">
        <v>34</v>
      </c>
      <c r="G38" s="4">
        <v>2.5</v>
      </c>
      <c r="H38" s="4" t="s">
        <v>24</v>
      </c>
      <c r="I38" s="4" t="str">
        <f t="shared" si="2"/>
        <v>39-34-2.5</v>
      </c>
      <c r="J38" s="5">
        <f>+(E38-G38)*G38*0.024556</f>
        <v>2.2407349999999999</v>
      </c>
      <c r="K38" s="13">
        <v>80625</v>
      </c>
      <c r="L38" s="13">
        <v>7500</v>
      </c>
      <c r="M38" s="13">
        <v>250</v>
      </c>
      <c r="N38" s="13"/>
      <c r="O38" s="13">
        <f t="shared" si="3"/>
        <v>88375</v>
      </c>
      <c r="P38" s="14">
        <f t="shared" si="4"/>
        <v>198.02495562499999</v>
      </c>
      <c r="Q38" s="13">
        <v>5600</v>
      </c>
      <c r="R38" s="13">
        <f t="shared" si="5"/>
        <v>93975</v>
      </c>
      <c r="S38" s="13">
        <f t="shared" si="6"/>
        <v>210.57</v>
      </c>
      <c r="T38" s="13">
        <v>3900</v>
      </c>
      <c r="U38" s="4">
        <f t="shared" si="7"/>
        <v>97875</v>
      </c>
      <c r="V38" s="4">
        <f t="shared" si="8"/>
        <v>219.31</v>
      </c>
      <c r="W38" s="4">
        <v>6000</v>
      </c>
      <c r="X38" s="4">
        <f t="shared" si="75"/>
        <v>103875</v>
      </c>
      <c r="Y38" s="4">
        <f t="shared" si="76"/>
        <v>232.76</v>
      </c>
      <c r="Z38" s="4">
        <v>-10200</v>
      </c>
      <c r="AA38" s="4">
        <f t="shared" si="77"/>
        <v>93675</v>
      </c>
      <c r="AB38" s="4">
        <f t="shared" si="78"/>
        <v>209.9</v>
      </c>
      <c r="AC38" s="4">
        <v>-4900</v>
      </c>
      <c r="AD38" s="4">
        <f t="shared" si="79"/>
        <v>88775</v>
      </c>
      <c r="AE38" s="4">
        <f t="shared" si="80"/>
        <v>198.92</v>
      </c>
      <c r="AF38" s="30">
        <v>3300</v>
      </c>
      <c r="AG38" s="4">
        <f t="shared" si="81"/>
        <v>92075</v>
      </c>
      <c r="AH38" s="4">
        <f t="shared" si="82"/>
        <v>206.32</v>
      </c>
      <c r="AI38" s="30">
        <v>-3800</v>
      </c>
      <c r="AJ38" s="4">
        <f t="shared" si="83"/>
        <v>88275</v>
      </c>
      <c r="AK38" s="4">
        <f t="shared" si="84"/>
        <v>197.8</v>
      </c>
      <c r="AL38" s="4">
        <f>2000</f>
        <v>2000</v>
      </c>
      <c r="AM38" s="4">
        <f t="shared" si="19"/>
        <v>90275</v>
      </c>
      <c r="AN38" s="4">
        <f t="shared" si="20"/>
        <v>202.28</v>
      </c>
      <c r="AO38" s="4">
        <v>-1950</v>
      </c>
      <c r="AP38" s="4">
        <f t="shared" si="21"/>
        <v>88325</v>
      </c>
      <c r="AQ38" s="6">
        <f t="shared" si="0"/>
        <v>197.912918875</v>
      </c>
      <c r="AR38" s="4">
        <v>-2625</v>
      </c>
      <c r="AS38" s="4">
        <f t="shared" si="22"/>
        <v>85700</v>
      </c>
      <c r="AT38" s="6">
        <f t="shared" si="23"/>
        <v>192.0309895</v>
      </c>
      <c r="AU38" s="4">
        <v>500</v>
      </c>
      <c r="AV38" s="4">
        <f t="shared" si="24"/>
        <v>86200</v>
      </c>
      <c r="AW38" s="6">
        <f t="shared" si="85"/>
        <v>193.15135699999999</v>
      </c>
      <c r="AX38" s="4">
        <v>-4750</v>
      </c>
      <c r="AY38" s="4">
        <f t="shared" si="26"/>
        <v>81450</v>
      </c>
      <c r="AZ38" s="6">
        <f t="shared" si="1"/>
        <v>182.50786575000001</v>
      </c>
      <c r="BA38" s="4">
        <v>0</v>
      </c>
      <c r="BB38" s="4">
        <f t="shared" si="27"/>
        <v>81450</v>
      </c>
      <c r="BC38" s="6">
        <f t="shared" si="28"/>
        <v>182.50786575000001</v>
      </c>
      <c r="BD38" s="4">
        <v>2600</v>
      </c>
      <c r="BE38" s="4">
        <f t="shared" si="29"/>
        <v>84050</v>
      </c>
      <c r="BF38" s="6">
        <f t="shared" si="30"/>
        <v>188.33377675</v>
      </c>
      <c r="BG38" s="4">
        <v>1000</v>
      </c>
      <c r="BH38" s="4">
        <f t="shared" si="86"/>
        <v>85050</v>
      </c>
      <c r="BI38" s="6">
        <f t="shared" si="32"/>
        <v>190.57451175</v>
      </c>
      <c r="BJ38" s="4">
        <v>-2150</v>
      </c>
      <c r="BK38" s="4">
        <f t="shared" si="87"/>
        <v>82900</v>
      </c>
      <c r="BL38" s="6">
        <f t="shared" si="34"/>
        <v>185.75693150000001</v>
      </c>
      <c r="BM38" s="4">
        <v>1500</v>
      </c>
      <c r="BN38" s="4">
        <f t="shared" si="88"/>
        <v>84400</v>
      </c>
      <c r="BO38" s="6">
        <f t="shared" si="36"/>
        <v>189.11803399999999</v>
      </c>
      <c r="BP38" s="4">
        <v>5500</v>
      </c>
      <c r="BQ38" s="4">
        <f t="shared" si="89"/>
        <v>89900</v>
      </c>
      <c r="BR38" s="6">
        <f t="shared" si="38"/>
        <v>201.44207649999998</v>
      </c>
    </row>
    <row r="40" spans="1:71" x14ac:dyDescent="0.25">
      <c r="J40" s="31"/>
    </row>
    <row r="42" spans="1:71" x14ac:dyDescent="0.25">
      <c r="BD42" s="31"/>
    </row>
  </sheetData>
  <sheetProtection formatCells="0" sort="0" autoFilter="0"/>
  <autoFilter ref="A3:BR38" xr:uid="{0F8A46E6-51C3-4EE6-8339-E04B3D0AE22F}"/>
  <mergeCells count="20">
    <mergeCell ref="BM2:BO2"/>
    <mergeCell ref="BP2:BR2"/>
    <mergeCell ref="Z2:AB2"/>
    <mergeCell ref="AR2:AT2"/>
    <mergeCell ref="AO2:AQ2"/>
    <mergeCell ref="AL2:AN2"/>
    <mergeCell ref="AC2:AE2"/>
    <mergeCell ref="AF2:AH2"/>
    <mergeCell ref="AI2:AK2"/>
    <mergeCell ref="BG2:BI2"/>
    <mergeCell ref="BJ2:BL2"/>
    <mergeCell ref="BA2:BC2"/>
    <mergeCell ref="BD2:BF2"/>
    <mergeCell ref="AU2:AW2"/>
    <mergeCell ref="AX2:AZ2"/>
    <mergeCell ref="B2:J2"/>
    <mergeCell ref="K2:P2"/>
    <mergeCell ref="Q2:S2"/>
    <mergeCell ref="T2:V2"/>
    <mergeCell ref="W2:Y2"/>
  </mergeCells>
  <pageMargins left="0.7" right="0.7" top="0.75" bottom="0.75" header="0.3" footer="0.3"/>
  <pageSetup paperSize="9" scale="83" fitToHeight="0" orientation="portrait" r:id="rId1"/>
  <headerFooter>
    <oddHeader>&amp;C&amp;G</oddHeader>
    <oddFooter>&amp;LClassification: &amp;"Microsoft Sans Serif,Bold"&amp;K34A853Public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d3c16d-8b53-41e8-9770-dab5a12b10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F8FB3756F55449A52CE735CA9391F8" ma:contentTypeVersion="18" ma:contentTypeDescription="Create a new document." ma:contentTypeScope="" ma:versionID="4b5c2876ab0e8b444d837360000bc9b8">
  <xsd:schema xmlns:xsd="http://www.w3.org/2001/XMLSchema" xmlns:xs="http://www.w3.org/2001/XMLSchema" xmlns:p="http://schemas.microsoft.com/office/2006/metadata/properties" xmlns:ns3="10d3c16d-8b53-41e8-9770-dab5a12b10e2" xmlns:ns4="31de56ea-e54b-4cea-806d-d00a062c4d75" targetNamespace="http://schemas.microsoft.com/office/2006/metadata/properties" ma:root="true" ma:fieldsID="26e69982884194b850b3379117d69aa9" ns3:_="" ns4:_="">
    <xsd:import namespace="10d3c16d-8b53-41e8-9770-dab5a12b10e2"/>
    <xsd:import namespace="31de56ea-e54b-4cea-806d-d00a062c4d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3c16d-8b53-41e8-9770-dab5a12b10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e56ea-e54b-4cea-806d-d00a062c4d7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C2A8C6-1D7E-4207-AF75-81CD5E8B1545}">
  <ds:schemaRefs>
    <ds:schemaRef ds:uri="http://purl.org/dc/elements/1.1/"/>
    <ds:schemaRef ds:uri="http://schemas.microsoft.com/office/2006/metadata/properties"/>
    <ds:schemaRef ds:uri="31de56ea-e54b-4cea-806d-d00a062c4d7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0d3c16d-8b53-41e8-9770-dab5a12b10e2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61B90B-D949-4A11-9036-DF4CC7FA7D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d3c16d-8b53-41e8-9770-dab5a12b10e2"/>
    <ds:schemaRef ds:uri="31de56ea-e54b-4cea-806d-d00a062c4d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D3032E-7637-409E-B789-7178468ECB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Tata _ERW-Q4 FY26</vt:lpstr>
      <vt:lpstr>Tata_CEW - Q1 FY27</vt:lpstr>
      <vt:lpstr>'Tata _ERW-Q4 FY26'!Print_Area</vt:lpstr>
      <vt:lpstr>'Tata_CEW - Q1 FY27'!Print_Area</vt:lpstr>
      <vt:lpstr>'Tata _ERW-Q4 FY26'!Print_Titles</vt:lpstr>
      <vt:lpstr>'Tata_CEW - Q1 FY27'!Print_Titles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Eswaran (MAT/Hosur/TVSMotor)</dc:creator>
  <cp:lastModifiedBy>Apoorv Gupta</cp:lastModifiedBy>
  <cp:lastPrinted>2023-10-04T12:47:40Z</cp:lastPrinted>
  <dcterms:created xsi:type="dcterms:W3CDTF">2021-12-17T12:35:51Z</dcterms:created>
  <dcterms:modified xsi:type="dcterms:W3CDTF">2026-07-24T13:23:20Z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2023-08-19T04:10:30Z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22bc6802-5ae2-4d16-a462-304df39e2aa1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2f50afb6-ab6e-4e8b-96b5-6e00ab52e29e_Enabled">
    <vt:lpwstr>true</vt:lpwstr>
  </property>
  <property fmtid="{D5CDD505-2E9C-101B-9397-08002B2CF9AE}" pid="10" name="MSIP_Label_2f50afb6-ab6e-4e8b-96b5-6e00ab52e29e_SetDate">
    <vt:lpwstr>2023-10-04T14:03:25Z</vt:lpwstr>
  </property>
  <property fmtid="{D5CDD505-2E9C-101B-9397-08002B2CF9AE}" pid="11" name="MSIP_Label_2f50afb6-ab6e-4e8b-96b5-6e00ab52e29e_Method">
    <vt:lpwstr>Standard</vt:lpwstr>
  </property>
  <property fmtid="{D5CDD505-2E9C-101B-9397-08002B2CF9AE}" pid="12" name="MSIP_Label_2f50afb6-ab6e-4e8b-96b5-6e00ab52e29e_Name">
    <vt:lpwstr>2f50afb6-ab6e-4e8b-96b5-6e00ab52e29e</vt:lpwstr>
  </property>
  <property fmtid="{D5CDD505-2E9C-101B-9397-08002B2CF9AE}" pid="13" name="MSIP_Label_2f50afb6-ab6e-4e8b-96b5-6e00ab52e29e_SiteId">
    <vt:lpwstr>f35425af-4755-4e0c-b1bb-b3cb9f1c6afd</vt:lpwstr>
  </property>
  <property fmtid="{D5CDD505-2E9C-101B-9397-08002B2CF9AE}" pid="14" name="MSIP_Label_2f50afb6-ab6e-4e8b-96b5-6e00ab52e29e_ActionId">
    <vt:lpwstr>e96f6a62-37ff-4c92-b484-459a536601aa</vt:lpwstr>
  </property>
  <property fmtid="{D5CDD505-2E9C-101B-9397-08002B2CF9AE}" pid="15" name="MSIP_Label_2f50afb6-ab6e-4e8b-96b5-6e00ab52e29e_ContentBits">
    <vt:lpwstr>0</vt:lpwstr>
  </property>
  <property fmtid="{D5CDD505-2E9C-101B-9397-08002B2CF9AE}" pid="16" name="ContentTypeId">
    <vt:lpwstr>0x0101001BF8FB3756F55449A52CE735CA9391F8</vt:lpwstr>
  </property>
</Properties>
</file>